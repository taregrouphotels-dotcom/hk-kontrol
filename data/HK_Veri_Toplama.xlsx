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934" firstSheet="0" activeTab="10" autoFilterDateGrouping="1"/>
  </bookViews>
  <sheets>
    <sheet xmlns:r="http://schemas.openxmlformats.org/officeDocument/2006/relationships" name="Nasıl Doldurulur" sheetId="1" state="visible" r:id="rId1"/>
    <sheet xmlns:r="http://schemas.openxmlformats.org/officeDocument/2006/relationships" name="Oteller" sheetId="2" state="visible" r:id="rId2"/>
    <sheet xmlns:r="http://schemas.openxmlformats.org/officeDocument/2006/relationships" name="Oda Tipleri" sheetId="3" state="visible" r:id="rId3"/>
    <sheet xmlns:r="http://schemas.openxmlformats.org/officeDocument/2006/relationships" name="Oda Özellikleri" sheetId="4" state="visible" r:id="rId4"/>
    <sheet xmlns:r="http://schemas.openxmlformats.org/officeDocument/2006/relationships" name="Odalar" sheetId="5" state="visible" r:id="rId5"/>
    <sheet xmlns:r="http://schemas.openxmlformats.org/officeDocument/2006/relationships" name="Kontrol Adımları" sheetId="6" state="visible" r:id="rId6"/>
    <sheet xmlns:r="http://schemas.openxmlformats.org/officeDocument/2006/relationships" name="Kalem Kataloğu" sheetId="7" state="visible" r:id="rId7"/>
    <sheet xmlns:r="http://schemas.openxmlformats.org/officeDocument/2006/relationships" name="Envanter - Demirbaş" sheetId="8" state="visible" r:id="rId8"/>
    <sheet xmlns:r="http://schemas.openxmlformats.org/officeDocument/2006/relationships" name="Envanter - Mutfak" sheetId="9" state="visible" r:id="rId9"/>
    <sheet xmlns:r="http://schemas.openxmlformats.org/officeDocument/2006/relationships" name="Minibar ve İkram" sheetId="10" state="visible" r:id="rId10"/>
    <sheet xmlns:r="http://schemas.openxmlformats.org/officeDocument/2006/relationships" name="Eksikler" sheetId="11" state="visible" r:id="rId11"/>
  </sheets>
  <definedNames>
    <definedName name="_xlnm._FilterDatabase" localSheetId="6" hidden="1">'Kalem Kataloğu'!$A$1:$I$193</definedName>
    <definedName name="_xlnm._FilterDatabase" localSheetId="7" hidden="1">'Envanter - Demirbaş'!$A$1:$K$493</definedName>
    <definedName name="_xlnm._FilterDatabase" localSheetId="8" hidden="1">'Envanter - Mutfak'!$A$1:$K$135</definedName>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4"/>
    </font>
    <font>
      <name val="Arial"/>
      <sz val="10"/>
    </font>
    <font>
      <name val="Arial"/>
      <b val="1"/>
      <sz val="10"/>
    </font>
    <font>
      <name val="Arial"/>
      <b val="1"/>
      <color rgb="FFFFFFFF"/>
      <sz val="10"/>
    </font>
    <font>
      <name val="Arial"/>
      <color rgb="FF0000FF"/>
      <sz val="10"/>
    </font>
    <font>
      <name val="Arial"/>
      <color rgb="FF000000"/>
      <sz val="10"/>
    </font>
    <font>
      <name val="Arial"/>
      <i val="1"/>
      <sz val="9"/>
    </font>
  </fonts>
  <fills count="4">
    <fill>
      <patternFill/>
    </fill>
    <fill>
      <patternFill patternType="gray125"/>
    </fill>
    <fill>
      <patternFill patternType="solid">
        <fgColor rgb="FF4F5A2E"/>
      </patternFill>
    </fill>
    <fill>
      <patternFill patternType="solid">
        <fgColor rgb="FFFFF2A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xf numFmtId="0" fontId="5" fillId="3" borderId="0" applyAlignment="1" pivotButton="0" quotePrefix="0" xfId="0">
      <alignment vertical="top" wrapText="1"/>
    </xf>
    <xf numFmtId="0" fontId="7" fillId="0" borderId="0" pivotButton="0" quotePrefix="0" xfId="0"/>
    <xf numFmtId="49" fontId="5"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1" sqref="A11"/>
    </sheetView>
  </sheetViews>
  <sheetFormatPr baseColWidth="8" defaultRowHeight="14.4"/>
  <cols>
    <col width="130" customWidth="1" min="1" max="1"/>
  </cols>
  <sheetData>
    <row r="1" ht="17.4" customHeight="1">
      <c r="A1" s="1" t="inlineStr">
        <is>
          <t>HK Kontrol · Veri Toplama Dosyası (v2 · 19.10.2026)</t>
        </is>
      </c>
    </row>
    <row r="2">
      <c r="A2" s="2" t="inlineStr">
        <is>
          <t>Uygulamaya yüklenecek temel verileri toplar. Personel adları burada yok; admin panelinden eklenir.</t>
        </is>
      </c>
    </row>
    <row r="3">
      <c r="A3" s="2" t="n"/>
    </row>
    <row r="4">
      <c r="A4" s="3" t="inlineStr">
        <is>
          <t>Renkler</t>
        </is>
      </c>
    </row>
    <row r="5">
      <c r="A5" s="2" t="inlineStr">
        <is>
          <t>Mavi yazı: girdiğin veri (değiştirebilirsin).  Siyah yazı: formül, dokunma.  Sarı hücre: eksik bilgi, doldurulması gerekiyor.</t>
        </is>
      </c>
    </row>
    <row r="6">
      <c r="A6" s="2" t="n"/>
    </row>
    <row r="7">
      <c r="A7" s="3" t="inlineStr">
        <is>
          <t>Sayfalar</t>
        </is>
      </c>
    </row>
    <row r="8">
      <c r="A8" s="2" t="inlineStr">
        <is>
          <t>1. Oteller: Her tesis bir satır. Bölge İstanbul veya İzmir (süpervizör yetkisi buna göre). Tiny Houses ayrı birim olarak tanımlı.</t>
        </is>
      </c>
    </row>
    <row r="9" ht="26.4" customHeight="1">
      <c r="A9" s="2" t="inlineStr">
        <is>
          <t>2. Oda Tipleri: Her tip bir satır. Kod tüm tesislerde benzersiz. Temizlik süreleri: min (şüpheli kısa) ve max (süre aşımı) dakika; max takibi "Max Süre Aktif = Evet" olan tiplerde çalışır.</t>
        </is>
      </c>
    </row>
    <row r="10">
      <c r="A10" s="2" t="inlineStr">
        <is>
          <t>3. Oda Özellikleri: Özellik × oda tipi tablosu (Özellikler.xlsx dosyasından). Evet / boş.</t>
        </is>
      </c>
    </row>
    <row r="11">
      <c r="A11" s="2" t="inlineStr">
        <is>
          <t>4. Odalar: Her oda bir satır. Oda tipi kodu açılır listeden.</t>
        </is>
      </c>
    </row>
    <row r="12">
      <c r="A12" s="2" t="inlineStr">
        <is>
          <t>5. Kontrol Adımları: Her oda tipi için çekim sırası. Şu an sadece X3 dolu (17 adım); diğer tipler video/foto gelince eklenecek.</t>
        </is>
      </c>
    </row>
    <row r="13" ht="26.4" customHeight="1">
      <c r="A13" s="2" t="inlineStr">
        <is>
          <t>6. Kalem Kataloğu: TESİS BAZINDA tüm demirbaş, mutfak malzemesi, sarf, içecek ve ikram kalemleri. Her kalemin kodu, adı ve fotoğrafı burada. Personel uygulamada kaleme basınca bu fotoğrafı görür.</t>
        </is>
      </c>
    </row>
    <row r="14">
      <c r="A14" s="2" t="inlineStr">
        <is>
          <t>7. Envanter - Demirbaş: Oda tipi + kalem + adet (mobilya, tekstil, cihaz, banyo sarfı). Kalem adı ve türü katalogdan formülle gelir.</t>
        </is>
      </c>
    </row>
    <row r="15">
      <c r="A15" s="2" t="inlineStr">
        <is>
          <t>8. Envanter - Mutfak: Oda tipi + kalem + adet (tabak, bardak, çatal, kaşık, tencere, tava…).</t>
        </is>
      </c>
    </row>
    <row r="16">
      <c r="A16" s="2" t="inlineStr">
        <is>
          <t>9. Minibar ve İkram: Dolaptaki içecekler ve masadaki tepsideki ikramlar. Hiçbiri ücretli değil.</t>
        </is>
      </c>
    </row>
    <row r="17">
      <c r="A17" s="2" t="inlineStr">
        <is>
          <t>10. Eksikler: Kalan işler.</t>
        </is>
      </c>
    </row>
    <row r="18">
      <c r="A18" s="2" t="n"/>
    </row>
    <row r="19">
      <c r="A19" s="3" t="inlineStr">
        <is>
          <t>Kurallar</t>
        </is>
      </c>
    </row>
    <row r="20" ht="26.4" customHeight="1">
      <c r="A20" s="2" t="inlineStr">
        <is>
          <t>Kalem Kodu tesis içinde benzersizdir (ör. Tare Houses Hotel + fork). Aynı kalem bir tesisteki farklı oda tiplerinde aynı kodla kullanılır, böylece fotoğraf bir kez yüklenir.</t>
        </is>
      </c>
    </row>
    <row r="21">
      <c r="A21" s="2" t="inlineStr">
        <is>
          <t>Foto Dosyası kolonu, pakette data/item_photos/ altındaki dosyayı gösterir. Boşsa admin panelinden fotoğraf yüklenecek (Foto Durumu = Çekilecek).</t>
        </is>
      </c>
    </row>
    <row r="22">
      <c r="A22" s="2" t="inlineStr">
        <is>
          <t>Envanterde 'Doğrulandı mı = Hayır' olan adetler fotoğraftan/videodan tahmin edildi; odada elle sayılıp Evet yapılmalı.</t>
        </is>
      </c>
    </row>
    <row r="23" ht="26.4" customHeight="1">
      <c r="A23" s="2" t="inlineStr">
        <is>
          <t>Kaynaklar: X3 = 18.10.2026 videosu. Tare Houses X1/X2/X4 = Drive'daki Temmuz 2024 profesyonel çekim fotoğrafları (eski olabilir). Özellikler = Özellikler.xlsx.</t>
        </is>
      </c>
    </row>
  </sheetData>
  <pageMargins left="0.75" right="0.75" top="1" bottom="1" header="0.5" footer="0.5"/>
  <headerFooter>
    <oddHeader/>
    <oddFooter>&amp;C&amp;"Aptos"&amp;6 &amp;K626469_x000d_# General</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6"/>
  <sheetViews>
    <sheetView workbookViewId="0">
      <pane ySplit="1" topLeftCell="A2" activePane="bottomLeft" state="frozen"/>
      <selection pane="bottomLeft" activeCell="A1" sqref="A1"/>
    </sheetView>
  </sheetViews>
  <sheetFormatPr baseColWidth="8" defaultRowHeight="14.4"/>
  <cols>
    <col width="24" customWidth="1" min="1" max="1"/>
    <col width="10" customWidth="1" min="2" max="2"/>
    <col width="12" customWidth="1" min="3" max="3"/>
    <col width="44" customWidth="1" min="4" max="4"/>
    <col width="9" customWidth="1" min="5" max="5"/>
    <col width="12" customWidth="1" min="6" max="6"/>
    <col width="24" customWidth="1" min="7" max="7"/>
    <col width="16" customWidth="1" min="8" max="8"/>
    <col width="50" customWidth="1" min="9" max="9"/>
  </cols>
  <sheetData>
    <row r="1" ht="30" customHeight="1">
      <c r="A1" s="4" t="inlineStr">
        <is>
          <t>Otel Adı</t>
        </is>
      </c>
      <c r="B1" s="4" t="inlineStr">
        <is>
          <t>Şehir</t>
        </is>
      </c>
      <c r="C1" s="4" t="inlineStr">
        <is>
          <t>Bölge (yetki)</t>
        </is>
      </c>
      <c r="D1" s="4" t="inlineStr">
        <is>
          <t>Semt / Adres</t>
        </is>
      </c>
      <c r="E1" s="4" t="inlineStr">
        <is>
          <t>Kat Sayısı</t>
        </is>
      </c>
      <c r="F1" s="4" t="inlineStr">
        <is>
          <t>Oda Sayısı (otomatik)</t>
        </is>
      </c>
      <c r="G1" s="4" t="inlineStr">
        <is>
          <t>PMS'teki Adı (HotelRunner)</t>
        </is>
      </c>
      <c r="H1" s="4" t="inlineStr">
        <is>
          <t>Kilit</t>
        </is>
      </c>
      <c r="I1" s="4" t="inlineStr">
        <is>
          <t>Not</t>
        </is>
      </c>
    </row>
    <row r="2" ht="26.4" customHeight="1">
      <c r="A2" s="5" t="inlineStr">
        <is>
          <t>Tare Houses Hotel</t>
        </is>
      </c>
      <c r="B2" s="5" t="inlineStr">
        <is>
          <t>İstanbul</t>
        </is>
      </c>
      <c r="C2" s="5" t="inlineStr">
        <is>
          <t>İstanbul</t>
        </is>
      </c>
      <c r="D2" s="5" t="inlineStr">
        <is>
          <t>Beşiktaş · Vişnezade Mah., Şair Nedim Cad., Çatlak Çeşme Sok. No:2</t>
        </is>
      </c>
      <c r="E2" s="5" t="n">
        <v>5</v>
      </c>
      <c r="F2" s="6">
        <f>COUNTIF(Odalar!A:A,A2)</f>
        <v/>
      </c>
      <c r="G2" s="5" t="inlineStr">
        <is>
          <t>Tare Houses Hotel</t>
        </is>
      </c>
      <c r="H2" s="5" t="inlineStr">
        <is>
          <t>TTLock</t>
        </is>
      </c>
      <c r="I2" s="5" t="inlineStr">
        <is>
          <t>Pilot otel.</t>
        </is>
      </c>
    </row>
    <row r="3">
      <c r="A3" s="5" t="inlineStr">
        <is>
          <t>Tare Suites Beşiktaş</t>
        </is>
      </c>
      <c r="B3" s="5" t="inlineStr">
        <is>
          <t>İstanbul</t>
        </is>
      </c>
      <c r="C3" s="5" t="inlineStr">
        <is>
          <t>İstanbul</t>
        </is>
      </c>
      <c r="D3" s="5" t="inlineStr">
        <is>
          <t>Beşiktaş · Sinanpaşa Mah., Aşık Garip Sok. No:6</t>
        </is>
      </c>
      <c r="E3" s="5" t="n">
        <v>3</v>
      </c>
      <c r="F3" s="6">
        <f>COUNTIF(Odalar!A:A,A3)</f>
        <v/>
      </c>
      <c r="G3" s="5" t="inlineStr">
        <is>
          <t>Tare Suites Beşiktaş</t>
        </is>
      </c>
      <c r="H3" s="5" t="inlineStr">
        <is>
          <t>TTLock</t>
        </is>
      </c>
      <c r="I3" s="5" t="n"/>
    </row>
    <row r="4">
      <c r="A4" s="5" t="inlineStr">
        <is>
          <t>Tare Suites Urla</t>
        </is>
      </c>
      <c r="B4" s="5" t="inlineStr">
        <is>
          <t>İzmir</t>
        </is>
      </c>
      <c r="C4" s="5" t="inlineStr">
        <is>
          <t>İzmir</t>
        </is>
      </c>
      <c r="D4" s="5" t="inlineStr">
        <is>
          <t>Urla</t>
        </is>
      </c>
      <c r="E4" s="5" t="n">
        <v>3</v>
      </c>
      <c r="F4" s="6">
        <f>COUNTIF(Odalar!A:A,A4)</f>
        <v/>
      </c>
      <c r="G4" s="5" t="inlineStr">
        <is>
          <t>Tare Suites Urla</t>
        </is>
      </c>
      <c r="H4" s="5" t="inlineStr">
        <is>
          <t>TTLock</t>
        </is>
      </c>
      <c r="I4" s="5" t="inlineStr">
        <is>
          <t>B&amp;B (kahvaltılı) satış sadece burada.</t>
        </is>
      </c>
    </row>
    <row r="5">
      <c r="A5" s="5" t="inlineStr">
        <is>
          <t>Tare Village Urla</t>
        </is>
      </c>
      <c r="B5" s="5" t="inlineStr">
        <is>
          <t>İzmir</t>
        </is>
      </c>
      <c r="C5" s="5" t="inlineStr">
        <is>
          <t>İzmir</t>
        </is>
      </c>
      <c r="D5" s="5" t="inlineStr">
        <is>
          <t>Urla</t>
        </is>
      </c>
      <c r="E5" s="5" t="n">
        <v>3</v>
      </c>
      <c r="F5" s="6">
        <f>COUNTIF(Odalar!A:A,A5)</f>
        <v/>
      </c>
      <c r="G5" s="5" t="inlineStr">
        <is>
          <t>Tare Village Urla</t>
        </is>
      </c>
      <c r="H5" s="5" t="inlineStr">
        <is>
          <t>Key-box</t>
        </is>
      </c>
      <c r="I5" s="5" t="inlineStr">
        <is>
          <t>PMS'te ayrı otel.</t>
        </is>
      </c>
    </row>
    <row r="6" ht="26.4" customHeight="1">
      <c r="A6" s="5" t="inlineStr">
        <is>
          <t>Tiny Houses</t>
        </is>
      </c>
      <c r="B6" s="5" t="inlineStr">
        <is>
          <t>İzmir</t>
        </is>
      </c>
      <c r="C6" s="5" t="inlineStr">
        <is>
          <t>İzmir</t>
        </is>
      </c>
      <c r="D6" s="5" t="inlineStr">
        <is>
          <t>Urla</t>
        </is>
      </c>
      <c r="E6" s="5" t="n">
        <v>1</v>
      </c>
      <c r="F6" s="6">
        <f>COUNTIF(Odalar!A:A,A6)</f>
        <v/>
      </c>
      <c r="G6" s="5" t="inlineStr">
        <is>
          <t>Tare Suites Urla</t>
        </is>
      </c>
      <c r="H6" s="5" t="inlineStr">
        <is>
          <t>Key-box</t>
        </is>
      </c>
      <c r="I6" s="5" t="inlineStr">
        <is>
          <t>Ayrı birim olarak takip edilir. PMS'te Tare Suites Urla altında; uygulamada kendi oteli gibi.</t>
        </is>
      </c>
    </row>
  </sheetData>
  <dataValidations count="1">
    <dataValidation sqref="C2:C30" showDropDown="0" showInputMessage="0" showErrorMessage="0" allowBlank="1" type="list">
      <formula1>"İstanbul,İzmir"</formula1>
    </dataValidation>
  </dataValidations>
  <pageMargins left="0.75" right="0.75" top="1" bottom="1" header="0.5" footer="0.5"/>
  <headerFooter>
    <oddHeader/>
    <oddFooter>&amp;C&amp;"Aptos"&amp;6 &amp;K626469_x000d_# General</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Q21"/>
  <sheetViews>
    <sheetView topLeftCell="D1" workbookViewId="0">
      <pane ySplit="1" topLeftCell="A2" activePane="bottomLeft" state="frozen"/>
      <selection pane="bottomLeft" activeCell="Q9" sqref="Q9"/>
    </sheetView>
  </sheetViews>
  <sheetFormatPr baseColWidth="8" defaultRowHeight="14.4"/>
  <cols>
    <col width="10" customWidth="1" min="1" max="1"/>
    <col width="26" customWidth="1" min="2" max="2"/>
    <col width="20" customWidth="1" min="3" max="3"/>
    <col width="10" customWidth="1" min="4" max="4"/>
    <col width="9" customWidth="1" min="5" max="5"/>
    <col width="18" customWidth="1" min="6" max="6"/>
    <col width="8" customWidth="1" min="7" max="7"/>
    <col width="9" customWidth="1" min="8" max="8"/>
    <col width="12" customWidth="1" min="9" max="9"/>
    <col width="16" customWidth="1" min="10" max="10"/>
    <col width="10" customWidth="1" min="11" max="11"/>
    <col width="11" customWidth="1" min="12" max="12"/>
    <col width="10" customWidth="1" min="13" max="13"/>
    <col width="11" customWidth="1" min="14" max="14"/>
    <col width="9" customWidth="1" min="15" max="15"/>
    <col width="10" customWidth="1" min="16" max="16"/>
    <col width="60" customWidth="1" min="17" max="17"/>
  </cols>
  <sheetData>
    <row r="1" ht="30" customHeight="1">
      <c r="A1" s="4" t="inlineStr">
        <is>
          <t>Oda Tipi Kodu</t>
        </is>
      </c>
      <c r="B1" s="4" t="inlineStr">
        <is>
          <t>Oda Tipi Adı</t>
        </is>
      </c>
      <c r="C1" s="4" t="inlineStr">
        <is>
          <t>Otel</t>
        </is>
      </c>
      <c r="D1" s="4" t="inlineStr">
        <is>
          <t>PMS Kodu</t>
        </is>
      </c>
      <c r="E1" s="4" t="inlineStr">
        <is>
          <t>Yaklaşık m²</t>
        </is>
      </c>
      <c r="F1" s="4" t="inlineStr">
        <is>
          <t>Yatak Tipi</t>
        </is>
      </c>
      <c r="G1" s="4" t="inlineStr">
        <is>
          <t>Maks. Kişi</t>
        </is>
      </c>
      <c r="H1" s="4" t="inlineStr">
        <is>
          <t>Mutfak Var mı</t>
        </is>
      </c>
      <c r="I1" s="4" t="inlineStr">
        <is>
          <t>Banyo (Duş/Küvet)</t>
        </is>
      </c>
      <c r="J1" s="4" t="inlineStr">
        <is>
          <t>Dış Alan</t>
        </is>
      </c>
      <c r="K1" s="4" t="inlineStr">
        <is>
          <t>Min. Süre Çıkış (dk)</t>
        </is>
      </c>
      <c r="L1" s="4" t="inlineStr">
        <is>
          <t>Min. Süre Konaklama (dk)</t>
        </is>
      </c>
      <c r="M1" s="4" t="inlineStr">
        <is>
          <t>Max. Süre Çıkış (dk)</t>
        </is>
      </c>
      <c r="N1" s="4" t="inlineStr">
        <is>
          <t>Max. Süre Konaklama (dk)</t>
        </is>
      </c>
      <c r="O1" s="4" t="inlineStr">
        <is>
          <t>Max Süre Aktif</t>
        </is>
      </c>
      <c r="P1" s="4" t="inlineStr">
        <is>
          <t>Oda Sayısı (otomatik)</t>
        </is>
      </c>
      <c r="Q1" s="4" t="inlineStr">
        <is>
          <t>Not</t>
        </is>
      </c>
    </row>
    <row r="2" ht="26.4" customHeight="1">
      <c r="A2" s="5" t="inlineStr">
        <is>
          <t>X1</t>
        </is>
      </c>
      <c r="B2" s="5" t="inlineStr">
        <is>
          <t>Deluxe Suite</t>
        </is>
      </c>
      <c r="C2" s="5" t="inlineStr">
        <is>
          <t>Tare Houses Hotel</t>
        </is>
      </c>
      <c r="D2" s="5" t="inlineStr">
        <is>
          <t>X1</t>
        </is>
      </c>
      <c r="E2" s="5" t="n">
        <v>35</v>
      </c>
      <c r="F2" s="5" t="inlineStr">
        <is>
          <t>King size</t>
        </is>
      </c>
      <c r="G2" s="7" t="n">
        <v>2</v>
      </c>
      <c r="H2" s="5" t="inlineStr">
        <is>
          <t>Evet</t>
        </is>
      </c>
      <c r="I2" s="5" t="inlineStr">
        <is>
          <t>Duş</t>
        </is>
      </c>
      <c r="J2" s="5" t="inlineStr">
        <is>
          <t>Yok</t>
        </is>
      </c>
      <c r="K2" s="7" t="n"/>
      <c r="L2" s="7" t="n"/>
      <c r="M2" s="7" t="n"/>
      <c r="N2" s="7" t="n"/>
      <c r="O2" s="5" t="inlineStr">
        <is>
          <t>Hayır</t>
        </is>
      </c>
      <c r="P2" s="6">
        <f>COUNTIF(Odalar!D:D,A2)</f>
        <v/>
      </c>
      <c r="Q2" s="5" t="inlineStr">
        <is>
          <t>Odalar 101-201-301-401. İsim/m² Özellikler.xlsx sütun sırasından eşlendi (X1→Deluxe Suite); teyit et.</t>
        </is>
      </c>
    </row>
    <row r="3" ht="26.4" customHeight="1">
      <c r="A3" s="5" t="inlineStr">
        <is>
          <t>X2</t>
        </is>
      </c>
      <c r="B3" s="5" t="inlineStr">
        <is>
          <t>Deluxe Triple Room</t>
        </is>
      </c>
      <c r="C3" s="5" t="inlineStr">
        <is>
          <t>Tare Houses Hotel</t>
        </is>
      </c>
      <c r="D3" s="5" t="inlineStr">
        <is>
          <t>X2</t>
        </is>
      </c>
      <c r="E3" s="5" t="n">
        <v>32</v>
      </c>
      <c r="F3" s="5" t="inlineStr">
        <is>
          <t>King size</t>
        </is>
      </c>
      <c r="G3" s="7" t="n">
        <v>2</v>
      </c>
      <c r="H3" s="5" t="inlineStr">
        <is>
          <t>Evet</t>
        </is>
      </c>
      <c r="I3" s="5" t="inlineStr">
        <is>
          <t>Duş</t>
        </is>
      </c>
      <c r="J3" s="5" t="inlineStr">
        <is>
          <t>Yok</t>
        </is>
      </c>
      <c r="K3" s="7" t="n"/>
      <c r="L3" s="7" t="n"/>
      <c r="M3" s="7" t="n"/>
      <c r="N3" s="7" t="n"/>
      <c r="O3" s="5" t="inlineStr">
        <is>
          <t>Hayır</t>
        </is>
      </c>
      <c r="P3" s="6">
        <f>COUNTIF(Odalar!D:D,A3)</f>
        <v/>
      </c>
      <c r="Q3" s="5" t="inlineStr">
        <is>
          <t>Odalar 102-202-302-402. Özellikler.xlsx sırasıyla Deluxe Triple Room; teyit et.</t>
        </is>
      </c>
    </row>
    <row r="4" ht="26.4" customHeight="1">
      <c r="A4" s="5" t="inlineStr">
        <is>
          <t>X3</t>
        </is>
      </c>
      <c r="B4" s="5" t="inlineStr">
        <is>
          <t>Deluxe Double Room</t>
        </is>
      </c>
      <c r="C4" s="5" t="inlineStr">
        <is>
          <t>Tare Houses Hotel</t>
        </is>
      </c>
      <c r="D4" s="5" t="inlineStr">
        <is>
          <t>X3</t>
        </is>
      </c>
      <c r="E4" s="5" t="n">
        <v>28</v>
      </c>
      <c r="F4" s="5" t="inlineStr">
        <is>
          <t>King size</t>
        </is>
      </c>
      <c r="G4" s="7" t="n">
        <v>2</v>
      </c>
      <c r="H4" s="5" t="inlineStr">
        <is>
          <t>Evet</t>
        </is>
      </c>
      <c r="I4" s="5" t="inlineStr">
        <is>
          <t>Duş</t>
        </is>
      </c>
      <c r="J4" s="5" t="inlineStr">
        <is>
          <t>Yok</t>
        </is>
      </c>
      <c r="K4" s="5" t="n">
        <v>25</v>
      </c>
      <c r="L4" s="5" t="n">
        <v>10</v>
      </c>
      <c r="M4" s="7" t="n"/>
      <c r="N4" s="7" t="n"/>
      <c r="O4" s="5" t="inlineStr">
        <is>
          <t>Hayır</t>
        </is>
      </c>
      <c r="P4" s="6">
        <f>COUNTIF(Odalar!D:D,A4)</f>
        <v/>
      </c>
      <c r="Q4" s="5" t="inlineStr">
        <is>
          <t>Odalar 103-203-303-403. Mini buzdolabı, 2 göz ocak, evye. Kontrol adımları ve envanter dolu (18.10.2026 videosu).</t>
        </is>
      </c>
    </row>
    <row r="5" ht="26.4" customHeight="1">
      <c r="A5" s="5" t="inlineStr">
        <is>
          <t>X4</t>
        </is>
      </c>
      <c r="B5" s="5" t="inlineStr">
        <is>
          <t>Exclusive Suite</t>
        </is>
      </c>
      <c r="C5" s="5" t="inlineStr">
        <is>
          <t>Tare Houses Hotel</t>
        </is>
      </c>
      <c r="D5" s="5" t="inlineStr">
        <is>
          <t>X4</t>
        </is>
      </c>
      <c r="E5" s="5" t="n">
        <v>37</v>
      </c>
      <c r="F5" s="5" t="inlineStr">
        <is>
          <t>King size</t>
        </is>
      </c>
      <c r="G5" s="7" t="n">
        <v>2</v>
      </c>
      <c r="H5" s="5" t="inlineStr">
        <is>
          <t>Evet</t>
        </is>
      </c>
      <c r="I5" s="5" t="inlineStr">
        <is>
          <t>Duş</t>
        </is>
      </c>
      <c r="J5" s="5" t="inlineStr">
        <is>
          <t>Yok</t>
        </is>
      </c>
      <c r="K5" s="7" t="n"/>
      <c r="L5" s="7" t="n"/>
      <c r="M5" s="7" t="n"/>
      <c r="N5" s="7" t="n"/>
      <c r="O5" s="5" t="inlineStr">
        <is>
          <t>Hayır</t>
        </is>
      </c>
      <c r="P5" s="6">
        <f>COUNTIF(Odalar!D:D,A5)</f>
        <v/>
      </c>
      <c r="Q5" s="5" t="inlineStr">
        <is>
          <t>Odalar 104-204-304-404. Özellikler.xlsx sırasıyla Exclusive Suite; teyit et.</t>
        </is>
      </c>
    </row>
    <row r="6" ht="26.4" customHeight="1">
      <c r="A6" s="5" t="inlineStr">
        <is>
          <t>PH</t>
        </is>
      </c>
      <c r="B6" s="5" t="inlineStr">
        <is>
          <t>PentHouse Suite</t>
        </is>
      </c>
      <c r="C6" s="5" t="inlineStr">
        <is>
          <t>Tare Houses Hotel</t>
        </is>
      </c>
      <c r="D6" s="5" t="inlineStr">
        <is>
          <t>PH</t>
        </is>
      </c>
      <c r="E6" s="5" t="n">
        <v>140</v>
      </c>
      <c r="F6" s="5" t="inlineStr">
        <is>
          <t>King size</t>
        </is>
      </c>
      <c r="G6" s="7" t="n">
        <v>2</v>
      </c>
      <c r="H6" s="5" t="inlineStr">
        <is>
          <t>Evet</t>
        </is>
      </c>
      <c r="I6" s="5" t="inlineStr">
        <is>
          <t>Duş+Küvet</t>
        </is>
      </c>
      <c r="J6" s="5" t="inlineStr">
        <is>
          <t>Teras</t>
        </is>
      </c>
      <c r="K6" s="7" t="n"/>
      <c r="L6" s="7" t="n"/>
      <c r="M6" s="7" t="n"/>
      <c r="N6" s="7" t="n"/>
      <c r="O6" s="5" t="inlineStr">
        <is>
          <t>Hayır</t>
        </is>
      </c>
      <c r="P6" s="6">
        <f>COUNTIF(Odalar!D:D,A6)</f>
        <v/>
      </c>
      <c r="Q6" s="5" t="inlineStr">
        <is>
          <t>Oda 501. Teras + barbekü, küvet, bornoz, fırın, mikrodalga, kahve makinesi, bulaşık makinesi.</t>
        </is>
      </c>
    </row>
    <row r="7" ht="26.4" customHeight="1">
      <c r="A7" s="5" t="inlineStr">
        <is>
          <t>BGS</t>
        </is>
      </c>
      <c r="B7" s="5" t="inlineStr">
        <is>
          <t>Garden Suite</t>
        </is>
      </c>
      <c r="C7" s="5" t="inlineStr">
        <is>
          <t>Tare Suites Beşiktaş</t>
        </is>
      </c>
      <c r="D7" s="5" t="inlineStr">
        <is>
          <t>GS</t>
        </is>
      </c>
      <c r="E7" s="5" t="n">
        <v>50</v>
      </c>
      <c r="F7" s="5" t="inlineStr">
        <is>
          <t>King size + Sofa yatak</t>
        </is>
      </c>
      <c r="G7" s="7" t="n">
        <v>4</v>
      </c>
      <c r="H7" s="5" t="inlineStr">
        <is>
          <t>Evet</t>
        </is>
      </c>
      <c r="I7" s="5" t="inlineStr">
        <is>
          <t>Duş</t>
        </is>
      </c>
      <c r="J7" s="5" t="inlineStr">
        <is>
          <t>Balkon, Bahçe</t>
        </is>
      </c>
      <c r="K7" s="7" t="n"/>
      <c r="L7" s="7" t="n"/>
      <c r="M7" s="7" t="n"/>
      <c r="N7" s="7" t="n"/>
      <c r="O7" s="5" t="inlineStr">
        <is>
          <t>Hayır</t>
        </is>
      </c>
      <c r="P7" s="6">
        <f>COUNTIF(Odalar!D:D,A7)</f>
        <v/>
      </c>
      <c r="Q7" s="5" t="inlineStr">
        <is>
          <t>Oda 101. Bahçe + balkon, sofa yatak, kanepe.</t>
        </is>
      </c>
    </row>
    <row r="8" ht="26.4" customHeight="1">
      <c r="A8" s="5" t="inlineStr">
        <is>
          <t>BSAB</t>
        </is>
      </c>
      <c r="B8" s="5" t="inlineStr">
        <is>
          <t>Studio Apartment with Balcony</t>
        </is>
      </c>
      <c r="C8" s="5" t="inlineStr">
        <is>
          <t>Tare Suites Beşiktaş</t>
        </is>
      </c>
      <c r="D8" s="5" t="inlineStr">
        <is>
          <t>SAB</t>
        </is>
      </c>
      <c r="E8" s="5" t="n">
        <v>28</v>
      </c>
      <c r="F8" s="5" t="inlineStr">
        <is>
          <t>King size</t>
        </is>
      </c>
      <c r="G8" s="7" t="n">
        <v>2</v>
      </c>
      <c r="H8" s="5" t="inlineStr">
        <is>
          <t>Evet</t>
        </is>
      </c>
      <c r="I8" s="5" t="inlineStr">
        <is>
          <t>Duş</t>
        </is>
      </c>
      <c r="J8" s="5" t="inlineStr">
        <is>
          <t>Balkon</t>
        </is>
      </c>
      <c r="K8" s="7" t="n"/>
      <c r="L8" s="7" t="n"/>
      <c r="M8" s="7" t="n"/>
      <c r="N8" s="7" t="n"/>
      <c r="O8" s="5" t="inlineStr">
        <is>
          <t>Hayır</t>
        </is>
      </c>
      <c r="P8" s="6">
        <f>COUNTIF(Odalar!D:D,A8)</f>
        <v/>
      </c>
      <c r="Q8" s="5" t="inlineStr">
        <is>
          <t>Odalar 201, 301. Balkon.</t>
        </is>
      </c>
    </row>
    <row r="9">
      <c r="A9" s="5" t="inlineStr">
        <is>
          <t>BSA</t>
        </is>
      </c>
      <c r="B9" s="5" t="inlineStr">
        <is>
          <t>Studio Apartment</t>
        </is>
      </c>
      <c r="C9" s="5" t="inlineStr">
        <is>
          <t>Tare Suites Beşiktaş</t>
        </is>
      </c>
      <c r="D9" s="5" t="inlineStr">
        <is>
          <t>SA</t>
        </is>
      </c>
      <c r="E9" s="5" t="n">
        <v>25</v>
      </c>
      <c r="F9" s="5" t="inlineStr">
        <is>
          <t>King size</t>
        </is>
      </c>
      <c r="G9" s="7" t="n">
        <v>2</v>
      </c>
      <c r="H9" s="5" t="inlineStr">
        <is>
          <t>Evet</t>
        </is>
      </c>
      <c r="I9" s="5" t="inlineStr">
        <is>
          <t>Duş</t>
        </is>
      </c>
      <c r="J9" s="5" t="inlineStr">
        <is>
          <t>Yok</t>
        </is>
      </c>
      <c r="K9" s="7" t="n"/>
      <c r="L9" s="7" t="n"/>
      <c r="M9" s="7" t="n"/>
      <c r="N9" s="7" t="n"/>
      <c r="O9" s="5" t="inlineStr">
        <is>
          <t>Hayır</t>
        </is>
      </c>
      <c r="P9" s="6">
        <f>COUNTIF(Odalar!D:D,A9)</f>
        <v/>
      </c>
      <c r="Q9" s="5" t="inlineStr">
        <is>
          <t>Odalar 202, 302. Mikrodalga ve çamaşır makinesi var.</t>
        </is>
      </c>
    </row>
    <row r="10">
      <c r="A10" s="5" t="inlineStr">
        <is>
          <t>EDR</t>
        </is>
      </c>
      <c r="B10" s="5" t="inlineStr">
        <is>
          <t>Economy Double Room</t>
        </is>
      </c>
      <c r="C10" s="5" t="inlineStr">
        <is>
          <t>Tare Suites Urla</t>
        </is>
      </c>
      <c r="D10" s="5" t="inlineStr">
        <is>
          <t>EDR</t>
        </is>
      </c>
      <c r="E10" s="5" t="n">
        <v>14</v>
      </c>
      <c r="F10" s="5" t="inlineStr">
        <is>
          <t>Çift kişilik</t>
        </is>
      </c>
      <c r="G10" s="7" t="n">
        <v>2</v>
      </c>
      <c r="H10" s="5" t="inlineStr">
        <is>
          <t>Hayır</t>
        </is>
      </c>
      <c r="I10" s="5" t="inlineStr">
        <is>
          <t>Duş</t>
        </is>
      </c>
      <c r="J10" s="5" t="inlineStr">
        <is>
          <t>Yok</t>
        </is>
      </c>
      <c r="K10" s="7" t="n"/>
      <c r="L10" s="7" t="n"/>
      <c r="M10" s="7" t="n"/>
      <c r="N10" s="7" t="n"/>
      <c r="O10" s="5" t="inlineStr">
        <is>
          <t>Hayır</t>
        </is>
      </c>
      <c r="P10" s="6">
        <f>COUNTIF(Odalar!D:D,A10)</f>
        <v/>
      </c>
      <c r="Q10" s="5" t="inlineStr">
        <is>
          <t>Odalar 101, 102, 202. Mutfak yok, kasa var.</t>
        </is>
      </c>
    </row>
    <row r="11">
      <c r="A11" s="5" t="inlineStr">
        <is>
          <t>DSSW</t>
        </is>
      </c>
      <c r="B11" s="5" t="inlineStr">
        <is>
          <t>Deluxe Suite Sea View</t>
        </is>
      </c>
      <c r="C11" s="5" t="inlineStr">
        <is>
          <t>Tare Suites Urla</t>
        </is>
      </c>
      <c r="D11" s="5" t="inlineStr">
        <is>
          <t>DSSW</t>
        </is>
      </c>
      <c r="E11" s="5" t="n">
        <v>25</v>
      </c>
      <c r="F11" s="5" t="inlineStr">
        <is>
          <t>Çift kişilik</t>
        </is>
      </c>
      <c r="G11" s="7" t="n">
        <v>2</v>
      </c>
      <c r="H11" s="5" t="inlineStr">
        <is>
          <t>Hayır</t>
        </is>
      </c>
      <c r="I11" s="5" t="inlineStr">
        <is>
          <t>Duş</t>
        </is>
      </c>
      <c r="J11" s="5" t="inlineStr">
        <is>
          <t>Yok</t>
        </is>
      </c>
      <c r="K11" s="7" t="n"/>
      <c r="L11" s="7" t="n"/>
      <c r="M11" s="7" t="n"/>
      <c r="N11" s="7" t="n"/>
      <c r="O11" s="5" t="inlineStr">
        <is>
          <t>Hayır</t>
        </is>
      </c>
      <c r="P11" s="6">
        <f>COUNTIF(Odalar!D:D,A11)</f>
        <v/>
      </c>
      <c r="Q11" s="5" t="inlineStr">
        <is>
          <t>Odalar 201, 301. Deniz manzarası, mutfak yok, kasa var.</t>
        </is>
      </c>
    </row>
    <row r="12">
      <c r="A12" s="5" t="inlineStr">
        <is>
          <t>EXSB</t>
        </is>
      </c>
      <c r="B12" s="5" t="inlineStr">
        <is>
          <t>Exclusive Suite with Balcony</t>
        </is>
      </c>
      <c r="C12" s="5" t="inlineStr">
        <is>
          <t>Tare Suites Urla</t>
        </is>
      </c>
      <c r="D12" s="5" t="inlineStr">
        <is>
          <t>EXSB</t>
        </is>
      </c>
      <c r="E12" s="5" t="n">
        <v>24</v>
      </c>
      <c r="F12" s="5" t="inlineStr">
        <is>
          <t>Çift kişilik</t>
        </is>
      </c>
      <c r="G12" s="7" t="n">
        <v>2</v>
      </c>
      <c r="H12" s="5" t="inlineStr">
        <is>
          <t>Hayır</t>
        </is>
      </c>
      <c r="I12" s="5" t="inlineStr">
        <is>
          <t>Duş</t>
        </is>
      </c>
      <c r="J12" s="5" t="inlineStr">
        <is>
          <t>Balkon</t>
        </is>
      </c>
      <c r="K12" s="7" t="n"/>
      <c r="L12" s="7" t="n"/>
      <c r="M12" s="7" t="n"/>
      <c r="N12" s="7" t="n"/>
      <c r="O12" s="5" t="inlineStr">
        <is>
          <t>Hayır</t>
        </is>
      </c>
      <c r="P12" s="6">
        <f>COUNTIF(Odalar!D:D,A12)</f>
        <v/>
      </c>
      <c r="Q12" s="5" t="inlineStr">
        <is>
          <t>Odalar 203, 302. Balkon + deniz manzarası, mutfak yok, kasa var.</t>
        </is>
      </c>
    </row>
    <row r="13">
      <c r="A13" s="5" t="inlineStr">
        <is>
          <t>DS</t>
        </is>
      </c>
      <c r="B13" s="5" t="inlineStr">
        <is>
          <t>Deluxe Suite</t>
        </is>
      </c>
      <c r="C13" s="5" t="inlineStr">
        <is>
          <t>Tare Suites Urla</t>
        </is>
      </c>
      <c r="D13" s="5" t="inlineStr">
        <is>
          <t>DS</t>
        </is>
      </c>
      <c r="E13" s="5" t="n">
        <v>20</v>
      </c>
      <c r="F13" s="5" t="inlineStr">
        <is>
          <t>Çift kişilik</t>
        </is>
      </c>
      <c r="G13" s="7" t="n">
        <v>2</v>
      </c>
      <c r="H13" s="5" t="inlineStr">
        <is>
          <t>Hayır</t>
        </is>
      </c>
      <c r="I13" s="5" t="inlineStr">
        <is>
          <t>Duş</t>
        </is>
      </c>
      <c r="J13" s="5" t="inlineStr">
        <is>
          <t>Yok</t>
        </is>
      </c>
      <c r="K13" s="7" t="n"/>
      <c r="L13" s="7" t="n"/>
      <c r="M13" s="7" t="n"/>
      <c r="N13" s="7" t="n"/>
      <c r="O13" s="5" t="inlineStr">
        <is>
          <t>Hayır</t>
        </is>
      </c>
      <c r="P13" s="6">
        <f>COUNTIF(Odalar!D:D,A13)</f>
        <v/>
      </c>
      <c r="Q13" s="5" t="inlineStr">
        <is>
          <t>Odalar 204, 304. Mutfak yok, kasa var.</t>
        </is>
      </c>
    </row>
    <row r="14">
      <c r="A14" s="5" t="inlineStr">
        <is>
          <t>DFS</t>
        </is>
      </c>
      <c r="B14" s="5" t="inlineStr">
        <is>
          <t>Duplex Family Suite</t>
        </is>
      </c>
      <c r="C14" s="5" t="inlineStr">
        <is>
          <t>Tare Suites Urla</t>
        </is>
      </c>
      <c r="D14" s="5" t="inlineStr">
        <is>
          <t>DFS</t>
        </is>
      </c>
      <c r="E14" s="5" t="n">
        <v>25</v>
      </c>
      <c r="F14" s="5" t="inlineStr">
        <is>
          <t>Çift kişilik</t>
        </is>
      </c>
      <c r="G14" s="7" t="n">
        <v>4</v>
      </c>
      <c r="H14" s="5" t="inlineStr">
        <is>
          <t>Hayır</t>
        </is>
      </c>
      <c r="I14" s="5" t="inlineStr">
        <is>
          <t>Duş</t>
        </is>
      </c>
      <c r="J14" s="5" t="inlineStr">
        <is>
          <t>Yok</t>
        </is>
      </c>
      <c r="K14" s="7" t="n"/>
      <c r="L14" s="7" t="n"/>
      <c r="M14" s="7" t="n"/>
      <c r="N14" s="7" t="n"/>
      <c r="O14" s="5" t="inlineStr">
        <is>
          <t>Hayır</t>
        </is>
      </c>
      <c r="P14" s="6">
        <f>COUNTIF(Odalar!D:D,A14)</f>
        <v/>
      </c>
      <c r="Q14" s="5" t="inlineStr">
        <is>
          <t>Oda 303. Dubleks, mutfak yok, kasa var.</t>
        </is>
      </c>
    </row>
    <row r="15" ht="26.4" customHeight="1">
      <c r="A15" s="5" t="inlineStr">
        <is>
          <t>VGS</t>
        </is>
      </c>
      <c r="B15" s="5" t="inlineStr">
        <is>
          <t>Garden Suite</t>
        </is>
      </c>
      <c r="C15" s="5" t="inlineStr">
        <is>
          <t>Tare Village Urla</t>
        </is>
      </c>
      <c r="D15" s="5" t="inlineStr">
        <is>
          <t>GS</t>
        </is>
      </c>
      <c r="E15" s="7" t="n">
        <v>100</v>
      </c>
      <c r="F15" s="5" t="inlineStr">
        <is>
          <t>King size + Sofa yatak</t>
        </is>
      </c>
      <c r="G15" s="7" t="n">
        <v>4</v>
      </c>
      <c r="H15" s="5" t="inlineStr">
        <is>
          <t>Evet</t>
        </is>
      </c>
      <c r="I15" s="5" t="inlineStr">
        <is>
          <t>Duş</t>
        </is>
      </c>
      <c r="J15" s="5" t="inlineStr">
        <is>
          <t>Yok</t>
        </is>
      </c>
      <c r="K15" s="7" t="n"/>
      <c r="L15" s="7" t="n"/>
      <c r="M15" s="7" t="n"/>
      <c r="N15" s="7" t="n"/>
      <c r="O15" s="5" t="inlineStr">
        <is>
          <t>Hayır</t>
        </is>
      </c>
      <c r="P15" s="6">
        <f>COUNTIF(Odalar!D:D,A15)</f>
        <v/>
      </c>
      <c r="Q15" s="5" t="inlineStr">
        <is>
          <t>Oda 101 (eski V1). Özellikler.xlsx'te Village tipleri yok.</t>
        </is>
      </c>
    </row>
    <row r="16" ht="26.4" customHeight="1">
      <c r="A16" s="5" t="inlineStr">
        <is>
          <t>VBS</t>
        </is>
      </c>
      <c r="B16" s="5" t="inlineStr">
        <is>
          <t>Balcony Suite</t>
        </is>
      </c>
      <c r="C16" s="5" t="inlineStr">
        <is>
          <t>Tare Village Urla</t>
        </is>
      </c>
      <c r="D16" s="5" t="inlineStr">
        <is>
          <t>BS</t>
        </is>
      </c>
      <c r="E16" s="7" t="n">
        <v>40</v>
      </c>
      <c r="F16" s="5" t="inlineStr">
        <is>
          <t>King size + Sofa yatak</t>
        </is>
      </c>
      <c r="G16" s="7" t="n">
        <v>4</v>
      </c>
      <c r="H16" s="5" t="inlineStr">
        <is>
          <t>Evet</t>
        </is>
      </c>
      <c r="I16" s="5" t="inlineStr">
        <is>
          <t>Duş</t>
        </is>
      </c>
      <c r="J16" s="5" t="inlineStr">
        <is>
          <t>Balkon</t>
        </is>
      </c>
      <c r="K16" s="7" t="n"/>
      <c r="L16" s="7" t="n"/>
      <c r="M16" s="7" t="n"/>
      <c r="N16" s="7" t="n"/>
      <c r="O16" s="5" t="inlineStr">
        <is>
          <t>Hayır</t>
        </is>
      </c>
      <c r="P16" s="6">
        <f>COUNTIF(Odalar!D:D,A16)</f>
        <v/>
      </c>
      <c r="Q16" s="5" t="inlineStr">
        <is>
          <t>Oda 201 (eski V2). Özellikler.xlsx'te Village tipleri yok.</t>
        </is>
      </c>
    </row>
    <row r="17">
      <c r="A17" s="5" t="inlineStr">
        <is>
          <t>VSS</t>
        </is>
      </c>
      <c r="B17" s="5" t="inlineStr">
        <is>
          <t>Studio Suite</t>
        </is>
      </c>
      <c r="C17" s="5" t="inlineStr">
        <is>
          <t>Tare Village Urla</t>
        </is>
      </c>
      <c r="D17" s="5" t="inlineStr">
        <is>
          <t>SS</t>
        </is>
      </c>
      <c r="E17" s="7" t="n">
        <v>35</v>
      </c>
      <c r="F17" s="5" t="inlineStr">
        <is>
          <t>Çift kişilik</t>
        </is>
      </c>
      <c r="G17" s="7" t="n">
        <v>2</v>
      </c>
      <c r="H17" s="5" t="inlineStr">
        <is>
          <t>Evet</t>
        </is>
      </c>
      <c r="I17" s="5" t="inlineStr">
        <is>
          <t>Duş</t>
        </is>
      </c>
      <c r="J17" s="5" t="inlineStr">
        <is>
          <t>Yok</t>
        </is>
      </c>
      <c r="K17" s="7" t="n"/>
      <c r="L17" s="7" t="n"/>
      <c r="M17" s="7" t="n"/>
      <c r="N17" s="7" t="n"/>
      <c r="O17" s="5" t="inlineStr">
        <is>
          <t>Hayır</t>
        </is>
      </c>
      <c r="P17" s="6">
        <f>COUNTIF(Odalar!D:D,A17)</f>
        <v/>
      </c>
      <c r="Q17" s="5" t="inlineStr">
        <is>
          <t>Oda 202 (eski V3). Özellikler.xlsx'te Village tipleri yok.</t>
        </is>
      </c>
    </row>
    <row r="18" ht="26.4" customHeight="1">
      <c r="A18" s="5" t="inlineStr">
        <is>
          <t>VTS</t>
        </is>
      </c>
      <c r="B18" s="5" t="inlineStr">
        <is>
          <t>Terrace Suite</t>
        </is>
      </c>
      <c r="C18" s="5" t="inlineStr">
        <is>
          <t>Tare Village Urla</t>
        </is>
      </c>
      <c r="D18" s="5" t="inlineStr">
        <is>
          <t>TS</t>
        </is>
      </c>
      <c r="E18" s="7" t="n">
        <v>80</v>
      </c>
      <c r="F18" s="5" t="inlineStr">
        <is>
          <t>King size + Sofa yatak</t>
        </is>
      </c>
      <c r="G18" s="7" t="n">
        <v>4</v>
      </c>
      <c r="H18" s="5" t="inlineStr">
        <is>
          <t>Evet</t>
        </is>
      </c>
      <c r="I18" s="5" t="inlineStr">
        <is>
          <t>Duş</t>
        </is>
      </c>
      <c r="J18" s="5" t="inlineStr">
        <is>
          <t>Teras</t>
        </is>
      </c>
      <c r="K18" s="7" t="n"/>
      <c r="L18" s="7" t="n"/>
      <c r="M18" s="7" t="n"/>
      <c r="N18" s="7" t="n"/>
      <c r="O18" s="5" t="inlineStr">
        <is>
          <t>Hayır</t>
        </is>
      </c>
      <c r="P18" s="6">
        <f>COUNTIF(Odalar!D:D,A18)</f>
        <v/>
      </c>
      <c r="Q18" s="5" t="inlineStr">
        <is>
          <t>Oda 301 (eski V4). Özellikler.xlsx'te Village tipleri yok.</t>
        </is>
      </c>
    </row>
    <row r="19" ht="26.4" customHeight="1">
      <c r="A19" s="5" t="inlineStr">
        <is>
          <t>TNY</t>
        </is>
      </c>
      <c r="B19" s="5" t="inlineStr">
        <is>
          <t>Tiny House</t>
        </is>
      </c>
      <c r="C19" s="5" t="inlineStr">
        <is>
          <t>Tiny Houses</t>
        </is>
      </c>
      <c r="D19" s="5" t="inlineStr">
        <is>
          <t>Tiny House</t>
        </is>
      </c>
      <c r="E19" s="5" t="n">
        <v>25</v>
      </c>
      <c r="F19" s="5" t="inlineStr">
        <is>
          <t>Çift kişilik</t>
        </is>
      </c>
      <c r="G19" s="7" t="n">
        <v>4</v>
      </c>
      <c r="H19" s="5" t="inlineStr">
        <is>
          <t>Evet</t>
        </is>
      </c>
      <c r="I19" s="5" t="inlineStr">
        <is>
          <t>Duş</t>
        </is>
      </c>
      <c r="J19" s="5" t="inlineStr">
        <is>
          <t>Balkon, Teras, Bahçe</t>
        </is>
      </c>
      <c r="K19" s="7" t="n"/>
      <c r="L19" s="7" t="n"/>
      <c r="M19" s="7" t="n"/>
      <c r="N19" s="7" t="n"/>
      <c r="O19" s="5" t="inlineStr">
        <is>
          <t>Hayır</t>
        </is>
      </c>
      <c r="P19" s="6">
        <f>COUNTIF(Odalar!D:D,A19)</f>
        <v/>
      </c>
      <c r="Q19" s="5" t="inlineStr">
        <is>
          <t>T1–T4, tek tip. PMS'te Tare Suites Urla altında; burada ayrı birim. Ocak yok, buzdolabı + kettle var. Engelli erişimi, evcil hayvan dostu, barbekü.</t>
        </is>
      </c>
    </row>
    <row r="21">
      <c r="A21" s="8" t="inlineStr">
        <is>
          <t>Max Süre Aktif = Evet ise, temizlik bu süreyi aşınca canlı panoda kırmızıya döner ve raporda "süre aşımı" olarak işaretlenir. Hayır ise sadece min. süre (şüpheli kısa) kontrolü çalışır.</t>
        </is>
      </c>
    </row>
  </sheetData>
  <dataValidations count="2">
    <dataValidation sqref="H2:H40 O2:O40" showDropDown="0" showInputMessage="0" showErrorMessage="0" allowBlank="1" type="list">
      <formula1>"Evet,Hayır"</formula1>
    </dataValidation>
    <dataValidation sqref="I2:I40" showDropDown="0" showInputMessage="0" showErrorMessage="0" allowBlank="1" type="list">
      <formula1>"Duş,Küvet,Duş+Küvet"</formula1>
    </dataValidation>
  </dataValidations>
  <pageMargins left="0.75" right="0.75" top="1" bottom="1" header="0.5" footer="0.5"/>
  <headerFooter>
    <oddHeader/>
    <oddFooter>&amp;C&amp;"Aptos"&amp;6 &amp;K626469_x000d_# General</oddFooter>
    <evenHeader/>
    <evenFooter/>
    <firstHeader/>
    <firstFooter/>
  </headerFooter>
  <extLst>
    <ext xmlns:x14="http://schemas.microsoft.com/office/spreadsheetml/2009/9/main" uri="{CCE6A557-97BC-4b89-ADB6-D9C93CAAB3DF}">
      <x14:dataValidations xmlns:xm="http://schemas.microsoft.com/office/excel/2006/main" count="1">
        <x14:dataValidation type="list" allowBlank="1">
          <x14:formula1>
            <xm:f>Oteller!$A$2:$A$30</xm:f>
          </x14:formula1>
          <xm:sqref>C2:C40</xm:sqref>
        </x14:dataValidation>
      </x14:dataValidations>
    </ext>
  </extLst>
</worksheet>
</file>

<file path=xl/worksheets/sheet4.xml><?xml version="1.0" encoding="utf-8"?>
<worksheet xmlns="http://schemas.openxmlformats.org/spreadsheetml/2006/main">
  <sheetPr>
    <outlinePr summaryBelow="1" summaryRight="1"/>
    <pageSetUpPr/>
  </sheetPr>
  <dimension ref="A1:T49"/>
  <sheetViews>
    <sheetView workbookViewId="0">
      <pane ySplit="1" topLeftCell="A8" activePane="bottomLeft" state="frozen"/>
      <selection pane="bottomLeft" activeCell="F12" sqref="F12"/>
    </sheetView>
  </sheetViews>
  <sheetFormatPr baseColWidth="8" defaultRowHeight="14.4"/>
  <cols>
    <col width="16" customWidth="1" min="1" max="1"/>
    <col width="26" customWidth="1" min="2" max="2"/>
    <col width="7" customWidth="1" min="3" max="20"/>
  </cols>
  <sheetData>
    <row r="1" ht="30" customHeight="1">
      <c r="A1" s="4" t="inlineStr">
        <is>
          <t>Kategori</t>
        </is>
      </c>
      <c r="B1" s="4" t="inlineStr">
        <is>
          <t>Özellik</t>
        </is>
      </c>
      <c r="C1" s="4" t="inlineStr">
        <is>
          <t>X1</t>
        </is>
      </c>
      <c r="D1" s="4" t="inlineStr">
        <is>
          <t>X2</t>
        </is>
      </c>
      <c r="E1" s="4" t="inlineStr">
        <is>
          <t>X3</t>
        </is>
      </c>
      <c r="F1" s="4" t="inlineStr">
        <is>
          <t>X4</t>
        </is>
      </c>
      <c r="G1" s="4" t="inlineStr">
        <is>
          <t>PH</t>
        </is>
      </c>
      <c r="H1" s="4" t="inlineStr">
        <is>
          <t>BGS</t>
        </is>
      </c>
      <c r="I1" s="4" t="inlineStr">
        <is>
          <t>BSAB</t>
        </is>
      </c>
      <c r="J1" s="4" t="inlineStr">
        <is>
          <t>BSA</t>
        </is>
      </c>
      <c r="K1" s="4" t="inlineStr">
        <is>
          <t>EDR</t>
        </is>
      </c>
      <c r="L1" s="4" t="inlineStr">
        <is>
          <t>DSSW</t>
        </is>
      </c>
      <c r="M1" s="4" t="inlineStr">
        <is>
          <t>EXSB</t>
        </is>
      </c>
      <c r="N1" s="4" t="inlineStr">
        <is>
          <t>DS</t>
        </is>
      </c>
      <c r="O1" s="4" t="inlineStr">
        <is>
          <t>DFS</t>
        </is>
      </c>
      <c r="P1" s="4" t="inlineStr">
        <is>
          <t>VGS</t>
        </is>
      </c>
      <c r="Q1" s="4" t="inlineStr">
        <is>
          <t>VBS</t>
        </is>
      </c>
      <c r="R1" s="4" t="inlineStr">
        <is>
          <t>VSS</t>
        </is>
      </c>
      <c r="S1" s="4" t="inlineStr">
        <is>
          <t>VTS</t>
        </is>
      </c>
      <c r="T1" s="4" t="inlineStr">
        <is>
          <t>TNY</t>
        </is>
      </c>
    </row>
    <row r="2">
      <c r="A2" s="5" t="inlineStr">
        <is>
          <t>Genel</t>
        </is>
      </c>
      <c r="B2" s="5" t="inlineStr">
        <is>
          <t>Balkon</t>
        </is>
      </c>
      <c r="C2" s="5" t="n"/>
      <c r="D2" s="5" t="n"/>
      <c r="E2" s="5" t="n"/>
      <c r="F2" s="5" t="n"/>
      <c r="G2" s="5" t="n"/>
      <c r="H2" s="5" t="inlineStr">
        <is>
          <t>Evet</t>
        </is>
      </c>
      <c r="I2" s="5" t="inlineStr">
        <is>
          <t>Evet</t>
        </is>
      </c>
      <c r="J2" s="5" t="n"/>
      <c r="K2" s="5" t="n"/>
      <c r="L2" s="5" t="n"/>
      <c r="M2" s="5" t="inlineStr">
        <is>
          <t>Evet</t>
        </is>
      </c>
      <c r="N2" s="5" t="n"/>
      <c r="O2" s="5" t="n"/>
      <c r="P2" s="7" t="n"/>
      <c r="Q2" s="7" t="n"/>
      <c r="R2" s="7" t="n"/>
      <c r="S2" s="7" t="n"/>
      <c r="T2" s="5" t="inlineStr">
        <is>
          <t>Evet</t>
        </is>
      </c>
    </row>
    <row r="3">
      <c r="A3" s="5" t="inlineStr">
        <is>
          <t>Genel</t>
        </is>
      </c>
      <c r="B3" s="5" t="inlineStr">
        <is>
          <t>Teras</t>
        </is>
      </c>
      <c r="C3" s="5" t="n"/>
      <c r="D3" s="5" t="n"/>
      <c r="E3" s="5" t="n"/>
      <c r="F3" s="5" t="n"/>
      <c r="G3" s="5" t="inlineStr">
        <is>
          <t>Evet</t>
        </is>
      </c>
      <c r="H3" s="5" t="n"/>
      <c r="I3" s="5" t="n"/>
      <c r="J3" s="5" t="n"/>
      <c r="K3" s="5" t="n"/>
      <c r="L3" s="5" t="n"/>
      <c r="M3" s="5" t="n"/>
      <c r="N3" s="5" t="n"/>
      <c r="O3" s="5" t="n"/>
      <c r="P3" s="7" t="n"/>
      <c r="Q3" s="7" t="n"/>
      <c r="R3" s="7" t="n"/>
      <c r="S3" s="7" t="n"/>
      <c r="T3" s="5" t="inlineStr">
        <is>
          <t>Evet</t>
        </is>
      </c>
    </row>
    <row r="4">
      <c r="A4" s="5" t="inlineStr">
        <is>
          <t>Genel</t>
        </is>
      </c>
      <c r="B4" s="5" t="inlineStr">
        <is>
          <t>Bahçe</t>
        </is>
      </c>
      <c r="C4" s="5" t="n"/>
      <c r="D4" s="5" t="n"/>
      <c r="E4" s="5" t="n"/>
      <c r="F4" s="5" t="n"/>
      <c r="G4" s="5" t="n"/>
      <c r="H4" s="5" t="inlineStr">
        <is>
          <t>Evet</t>
        </is>
      </c>
      <c r="I4" s="5" t="n"/>
      <c r="J4" s="5" t="n"/>
      <c r="K4" s="5" t="n"/>
      <c r="L4" s="5" t="n"/>
      <c r="M4" s="5" t="n"/>
      <c r="N4" s="5" t="n"/>
      <c r="O4" s="5" t="n"/>
      <c r="P4" s="7" t="n"/>
      <c r="Q4" s="7" t="n"/>
      <c r="R4" s="7" t="n"/>
      <c r="S4" s="7" t="n"/>
      <c r="T4" s="5" t="inlineStr">
        <is>
          <t>Evet</t>
        </is>
      </c>
    </row>
    <row r="5">
      <c r="A5" s="5" t="inlineStr">
        <is>
          <t>Genel</t>
        </is>
      </c>
      <c r="B5" s="5" t="inlineStr">
        <is>
          <t>Oturma Alanı</t>
        </is>
      </c>
      <c r="C5" s="5" t="inlineStr">
        <is>
          <t>Evet</t>
        </is>
      </c>
      <c r="D5" s="5" t="inlineStr">
        <is>
          <t>Evet</t>
        </is>
      </c>
      <c r="E5" s="5" t="n"/>
      <c r="F5" s="5" t="inlineStr">
        <is>
          <t>Evet</t>
        </is>
      </c>
      <c r="G5" s="5" t="inlineStr">
        <is>
          <t>Evet</t>
        </is>
      </c>
      <c r="H5" s="5" t="inlineStr">
        <is>
          <t>Evet</t>
        </is>
      </c>
      <c r="I5" s="5" t="inlineStr">
        <is>
          <t>Evet</t>
        </is>
      </c>
      <c r="J5" s="5" t="inlineStr">
        <is>
          <t>Evet</t>
        </is>
      </c>
      <c r="K5" s="5" t="n"/>
      <c r="L5" s="5" t="inlineStr">
        <is>
          <t>Evet</t>
        </is>
      </c>
      <c r="M5" s="5" t="inlineStr">
        <is>
          <t>Evet</t>
        </is>
      </c>
      <c r="N5" s="5" t="inlineStr">
        <is>
          <t>Evet</t>
        </is>
      </c>
      <c r="O5" s="5" t="inlineStr">
        <is>
          <t>Evet</t>
        </is>
      </c>
      <c r="P5" s="7" t="n"/>
      <c r="Q5" s="7" t="n"/>
      <c r="R5" s="7" t="n"/>
      <c r="S5" s="7" t="n"/>
      <c r="T5" s="5" t="inlineStr">
        <is>
          <t>Evet</t>
        </is>
      </c>
    </row>
    <row r="6">
      <c r="A6" s="5" t="inlineStr">
        <is>
          <t>Genel</t>
        </is>
      </c>
      <c r="B6" s="5" t="inlineStr">
        <is>
          <t>Çalışma Masası</t>
        </is>
      </c>
      <c r="C6" s="5" t="inlineStr">
        <is>
          <t>Evet</t>
        </is>
      </c>
      <c r="D6" s="5" t="inlineStr">
        <is>
          <t>Evet</t>
        </is>
      </c>
      <c r="E6" s="5" t="n"/>
      <c r="F6" s="5" t="inlineStr">
        <is>
          <t>Evet</t>
        </is>
      </c>
      <c r="G6" s="5" t="inlineStr">
        <is>
          <t>Evet</t>
        </is>
      </c>
      <c r="H6" s="5" t="inlineStr">
        <is>
          <t>Evet</t>
        </is>
      </c>
      <c r="I6" s="5" t="inlineStr">
        <is>
          <t>Evet</t>
        </is>
      </c>
      <c r="J6" s="5" t="inlineStr">
        <is>
          <t>Evet</t>
        </is>
      </c>
      <c r="K6" s="5" t="n"/>
      <c r="L6" s="5" t="inlineStr">
        <is>
          <t>Evet</t>
        </is>
      </c>
      <c r="M6" s="5" t="inlineStr">
        <is>
          <t>Evet</t>
        </is>
      </c>
      <c r="N6" s="5" t="inlineStr">
        <is>
          <t>Evet</t>
        </is>
      </c>
      <c r="O6" s="5" t="inlineStr">
        <is>
          <t>Evet</t>
        </is>
      </c>
      <c r="P6" s="7" t="n"/>
      <c r="Q6" s="7" t="n"/>
      <c r="R6" s="7" t="n"/>
      <c r="S6" s="7" t="n"/>
      <c r="T6" s="5" t="inlineStr">
        <is>
          <t>Evet</t>
        </is>
      </c>
    </row>
    <row r="7">
      <c r="A7" s="5" t="inlineStr">
        <is>
          <t>Genel</t>
        </is>
      </c>
      <c r="B7" s="5" t="inlineStr">
        <is>
          <t>Gardırop</t>
        </is>
      </c>
      <c r="C7" s="5" t="inlineStr">
        <is>
          <t>Evet</t>
        </is>
      </c>
      <c r="D7" s="5" t="inlineStr">
        <is>
          <t>Evet</t>
        </is>
      </c>
      <c r="E7" s="5" t="inlineStr">
        <is>
          <t>Evet</t>
        </is>
      </c>
      <c r="F7" s="5" t="inlineStr">
        <is>
          <t>Evet</t>
        </is>
      </c>
      <c r="G7" s="5" t="inlineStr">
        <is>
          <t>Evet</t>
        </is>
      </c>
      <c r="H7" s="5" t="inlineStr">
        <is>
          <t>Evet</t>
        </is>
      </c>
      <c r="I7" s="5" t="inlineStr">
        <is>
          <t>Evet</t>
        </is>
      </c>
      <c r="J7" s="5" t="inlineStr">
        <is>
          <t>Evet</t>
        </is>
      </c>
      <c r="K7" s="5" t="inlineStr">
        <is>
          <t>Evet</t>
        </is>
      </c>
      <c r="L7" s="5" t="inlineStr">
        <is>
          <t>Evet</t>
        </is>
      </c>
      <c r="M7" s="5" t="inlineStr">
        <is>
          <t>Evet</t>
        </is>
      </c>
      <c r="N7" s="5" t="inlineStr">
        <is>
          <t>Evet</t>
        </is>
      </c>
      <c r="O7" s="5" t="inlineStr">
        <is>
          <t>Evet</t>
        </is>
      </c>
      <c r="P7" s="7" t="n"/>
      <c r="Q7" s="7" t="n"/>
      <c r="R7" s="7" t="n"/>
      <c r="S7" s="7" t="n"/>
      <c r="T7" s="5" t="inlineStr">
        <is>
          <t>Evet</t>
        </is>
      </c>
    </row>
    <row r="8">
      <c r="A8" s="5" t="inlineStr">
        <is>
          <t>Genel</t>
        </is>
      </c>
      <c r="B8" s="5" t="inlineStr">
        <is>
          <t>Kanepe</t>
        </is>
      </c>
      <c r="C8" s="5" t="inlineStr">
        <is>
          <t>Evet</t>
        </is>
      </c>
      <c r="D8" s="5" t="inlineStr">
        <is>
          <t>Evet</t>
        </is>
      </c>
      <c r="E8" s="5" t="n"/>
      <c r="F8" s="5" t="n"/>
      <c r="G8" s="5" t="n"/>
      <c r="H8" s="5" t="inlineStr">
        <is>
          <t>Evet</t>
        </is>
      </c>
      <c r="I8" s="5" t="n"/>
      <c r="J8" s="5" t="n"/>
      <c r="K8" s="5" t="n"/>
      <c r="L8" s="5" t="n"/>
      <c r="M8" s="5" t="n"/>
      <c r="N8" s="5" t="n"/>
      <c r="O8" s="5" t="n"/>
      <c r="P8" s="7" t="n"/>
      <c r="Q8" s="7" t="n"/>
      <c r="R8" s="7" t="n"/>
      <c r="S8" s="7" t="n"/>
      <c r="T8" s="5" t="n"/>
    </row>
    <row r="9">
      <c r="A9" s="5" t="inlineStr">
        <is>
          <t>Genel</t>
        </is>
      </c>
      <c r="B9" s="5" t="inlineStr">
        <is>
          <t>Klima</t>
        </is>
      </c>
      <c r="C9" s="5" t="inlineStr">
        <is>
          <t>Evet</t>
        </is>
      </c>
      <c r="D9" s="5" t="inlineStr">
        <is>
          <t>Evet</t>
        </is>
      </c>
      <c r="E9" s="5" t="inlineStr">
        <is>
          <t>Evet</t>
        </is>
      </c>
      <c r="F9" s="5" t="inlineStr">
        <is>
          <t>Evet</t>
        </is>
      </c>
      <c r="G9" s="5" t="inlineStr">
        <is>
          <t>Evet</t>
        </is>
      </c>
      <c r="H9" s="5" t="inlineStr">
        <is>
          <t>Evet</t>
        </is>
      </c>
      <c r="I9" s="5" t="inlineStr">
        <is>
          <t>Evet</t>
        </is>
      </c>
      <c r="J9" s="5" t="inlineStr">
        <is>
          <t>Evet</t>
        </is>
      </c>
      <c r="K9" s="5" t="inlineStr">
        <is>
          <t>Evet</t>
        </is>
      </c>
      <c r="L9" s="5" t="inlineStr">
        <is>
          <t>Evet</t>
        </is>
      </c>
      <c r="M9" s="5" t="inlineStr">
        <is>
          <t>Evet</t>
        </is>
      </c>
      <c r="N9" s="5" t="inlineStr">
        <is>
          <t>Evet</t>
        </is>
      </c>
      <c r="O9" s="5" t="inlineStr">
        <is>
          <t>Evet</t>
        </is>
      </c>
      <c r="P9" s="7" t="n"/>
      <c r="Q9" s="7" t="n"/>
      <c r="R9" s="7" t="n"/>
      <c r="S9" s="7" t="n"/>
      <c r="T9" s="5" t="inlineStr">
        <is>
          <t>Evet</t>
        </is>
      </c>
    </row>
    <row r="10">
      <c r="A10" s="5" t="inlineStr">
        <is>
          <t>Genel</t>
        </is>
      </c>
      <c r="B10" s="5" t="inlineStr">
        <is>
          <t>Ses Yalıtımı</t>
        </is>
      </c>
      <c r="C10" s="5" t="inlineStr">
        <is>
          <t>Evet</t>
        </is>
      </c>
      <c r="D10" s="5" t="inlineStr">
        <is>
          <t>Evet</t>
        </is>
      </c>
      <c r="E10" s="5" t="inlineStr">
        <is>
          <t>Evet</t>
        </is>
      </c>
      <c r="F10" s="5" t="inlineStr">
        <is>
          <t>Evet</t>
        </is>
      </c>
      <c r="G10" s="5" t="inlineStr">
        <is>
          <t>Evet</t>
        </is>
      </c>
      <c r="H10" s="5" t="inlineStr">
        <is>
          <t>Evet</t>
        </is>
      </c>
      <c r="I10" s="5" t="inlineStr">
        <is>
          <t>Evet</t>
        </is>
      </c>
      <c r="J10" s="5" t="inlineStr">
        <is>
          <t>Evet</t>
        </is>
      </c>
      <c r="K10" s="5" t="inlineStr">
        <is>
          <t>Evet</t>
        </is>
      </c>
      <c r="L10" s="5" t="inlineStr">
        <is>
          <t>Evet</t>
        </is>
      </c>
      <c r="M10" s="5" t="inlineStr">
        <is>
          <t>Evet</t>
        </is>
      </c>
      <c r="N10" s="5" t="inlineStr">
        <is>
          <t>Evet</t>
        </is>
      </c>
      <c r="O10" s="5" t="inlineStr">
        <is>
          <t>Evet</t>
        </is>
      </c>
      <c r="P10" s="7" t="n"/>
      <c r="Q10" s="7" t="n"/>
      <c r="R10" s="7" t="n"/>
      <c r="S10" s="7" t="n"/>
      <c r="T10" s="5" t="inlineStr">
        <is>
          <t>Evet</t>
        </is>
      </c>
    </row>
    <row r="11">
      <c r="A11" s="5" t="inlineStr">
        <is>
          <t>Genel</t>
        </is>
      </c>
      <c r="B11" s="5" t="inlineStr">
        <is>
          <t>Barbekü</t>
        </is>
      </c>
      <c r="C11" s="5" t="n"/>
      <c r="D11" s="5" t="n"/>
      <c r="E11" s="5" t="n"/>
      <c r="F11" s="5" t="n"/>
      <c r="G11" s="5" t="inlineStr">
        <is>
          <t>Evet</t>
        </is>
      </c>
      <c r="H11" s="5" t="n"/>
      <c r="I11" s="5" t="n"/>
      <c r="J11" s="5" t="n"/>
      <c r="K11" s="5" t="n"/>
      <c r="L11" s="5" t="n"/>
      <c r="M11" s="5" t="n"/>
      <c r="N11" s="5" t="n"/>
      <c r="O11" s="5" t="n"/>
      <c r="P11" s="7" t="n"/>
      <c r="Q11" s="7" t="n"/>
      <c r="R11" s="7" t="n"/>
      <c r="S11" s="7" t="n"/>
      <c r="T11" s="5" t="inlineStr">
        <is>
          <t>Evet</t>
        </is>
      </c>
    </row>
    <row r="12">
      <c r="A12" s="5" t="inlineStr">
        <is>
          <t>Genel</t>
        </is>
      </c>
      <c r="B12" s="5" t="inlineStr">
        <is>
          <t>Engelli Erişimi</t>
        </is>
      </c>
      <c r="C12" s="5" t="n"/>
      <c r="D12" s="5" t="n"/>
      <c r="E12" s="5" t="n"/>
      <c r="F12" s="5" t="n"/>
      <c r="G12" s="5" t="n"/>
      <c r="H12" s="5" t="n"/>
      <c r="I12" s="5" t="n"/>
      <c r="J12" s="5" t="n"/>
      <c r="K12" s="5" t="n"/>
      <c r="L12" s="5" t="n"/>
      <c r="M12" s="5" t="n"/>
      <c r="N12" s="5" t="n"/>
      <c r="O12" s="5" t="n"/>
      <c r="P12" s="7" t="n"/>
      <c r="Q12" s="7" t="n"/>
      <c r="R12" s="7" t="n"/>
      <c r="S12" s="7" t="n"/>
      <c r="T12" s="5" t="inlineStr">
        <is>
          <t>Evet</t>
        </is>
      </c>
    </row>
    <row r="13">
      <c r="A13" s="5" t="inlineStr">
        <is>
          <t>Genel</t>
        </is>
      </c>
      <c r="B13" s="5" t="inlineStr">
        <is>
          <t>Sigara İçilebilir(Balkon)</t>
        </is>
      </c>
      <c r="C13" s="5" t="n"/>
      <c r="D13" s="5" t="n"/>
      <c r="E13" s="5" t="n"/>
      <c r="F13" s="5" t="n"/>
      <c r="G13" s="5" t="n"/>
      <c r="H13" s="5" t="inlineStr">
        <is>
          <t>Evet</t>
        </is>
      </c>
      <c r="I13" s="5" t="inlineStr">
        <is>
          <t>Evet</t>
        </is>
      </c>
      <c r="J13" s="5" t="n"/>
      <c r="K13" s="5" t="n"/>
      <c r="L13" s="5" t="n"/>
      <c r="M13" s="5" t="inlineStr">
        <is>
          <t>Evet</t>
        </is>
      </c>
      <c r="N13" s="5" t="n"/>
      <c r="O13" s="5" t="n"/>
      <c r="P13" s="7" t="n"/>
      <c r="Q13" s="7" t="n"/>
      <c r="R13" s="7" t="n"/>
      <c r="S13" s="7" t="n"/>
      <c r="T13" s="5" t="inlineStr">
        <is>
          <t>Evet</t>
        </is>
      </c>
    </row>
    <row r="14">
      <c r="A14" s="5" t="inlineStr">
        <is>
          <t>Genel</t>
        </is>
      </c>
      <c r="B14" s="5" t="inlineStr">
        <is>
          <t>Deniz Manzarası</t>
        </is>
      </c>
      <c r="C14" s="5" t="n"/>
      <c r="D14" s="5" t="n"/>
      <c r="E14" s="5" t="n"/>
      <c r="F14" s="5" t="n"/>
      <c r="G14" s="5" t="n"/>
      <c r="H14" s="5" t="n"/>
      <c r="I14" s="5" t="n"/>
      <c r="J14" s="5" t="n"/>
      <c r="K14" s="5" t="n"/>
      <c r="L14" s="5" t="inlineStr">
        <is>
          <t>Evet</t>
        </is>
      </c>
      <c r="M14" s="5" t="inlineStr">
        <is>
          <t>Evet</t>
        </is>
      </c>
      <c r="N14" s="5" t="n"/>
      <c r="O14" s="5" t="n"/>
      <c r="P14" s="7" t="n"/>
      <c r="Q14" s="7" t="n"/>
      <c r="R14" s="7" t="n"/>
      <c r="S14" s="7" t="n"/>
      <c r="T14" s="5" t="n"/>
    </row>
    <row r="15">
      <c r="A15" s="5" t="inlineStr">
        <is>
          <t>Genel</t>
        </is>
      </c>
      <c r="B15" s="5" t="inlineStr">
        <is>
          <t>Doğa Manzarası</t>
        </is>
      </c>
      <c r="C15" s="5" t="n"/>
      <c r="D15" s="5" t="n"/>
      <c r="E15" s="5" t="n"/>
      <c r="F15" s="5" t="n"/>
      <c r="G15" s="5" t="n"/>
      <c r="H15" s="5" t="n"/>
      <c r="I15" s="5" t="n"/>
      <c r="J15" s="5" t="n"/>
      <c r="K15" s="5" t="n"/>
      <c r="L15" s="5" t="n"/>
      <c r="M15" s="5" t="n"/>
      <c r="N15" s="5" t="inlineStr">
        <is>
          <t>Evet</t>
        </is>
      </c>
      <c r="O15" s="5" t="inlineStr">
        <is>
          <t>Evet</t>
        </is>
      </c>
      <c r="P15" s="7" t="n"/>
      <c r="Q15" s="7" t="n"/>
      <c r="R15" s="7" t="n"/>
      <c r="S15" s="7" t="n"/>
      <c r="T15" s="5" t="inlineStr">
        <is>
          <t>Evet</t>
        </is>
      </c>
    </row>
    <row r="16">
      <c r="A16" s="5" t="inlineStr">
        <is>
          <t>Genel</t>
        </is>
      </c>
      <c r="B16" s="5" t="inlineStr">
        <is>
          <t>Şehir Manzarası</t>
        </is>
      </c>
      <c r="C16" s="5" t="inlineStr">
        <is>
          <t>Evet</t>
        </is>
      </c>
      <c r="D16" s="5" t="inlineStr">
        <is>
          <t>Evet</t>
        </is>
      </c>
      <c r="E16" s="5" t="inlineStr">
        <is>
          <t>Evet</t>
        </is>
      </c>
      <c r="F16" s="5" t="inlineStr">
        <is>
          <t>Evet</t>
        </is>
      </c>
      <c r="G16" s="5" t="inlineStr">
        <is>
          <t>Evet</t>
        </is>
      </c>
      <c r="H16" s="5" t="inlineStr">
        <is>
          <t>Evet</t>
        </is>
      </c>
      <c r="I16" s="5" t="inlineStr">
        <is>
          <t>Evet</t>
        </is>
      </c>
      <c r="J16" s="5" t="inlineStr">
        <is>
          <t>Evet</t>
        </is>
      </c>
      <c r="K16" s="5" t="n"/>
      <c r="L16" s="5" t="n"/>
      <c r="M16" s="5" t="n"/>
      <c r="N16" s="5" t="n"/>
      <c r="O16" s="5" t="n"/>
      <c r="P16" s="7" t="n"/>
      <c r="Q16" s="7" t="n"/>
      <c r="R16" s="7" t="n"/>
      <c r="S16" s="7" t="n"/>
      <c r="T16" s="5" t="n"/>
    </row>
    <row r="17">
      <c r="A17" s="5" t="inlineStr">
        <is>
          <t>Genel</t>
        </is>
      </c>
      <c r="B17" s="5" t="inlineStr">
        <is>
          <t>Evcil Hayvan Dostu</t>
        </is>
      </c>
      <c r="C17" s="5" t="n"/>
      <c r="D17" s="5" t="n"/>
      <c r="E17" s="5" t="n"/>
      <c r="F17" s="5" t="n"/>
      <c r="G17" s="5" t="n"/>
      <c r="H17" s="5" t="n"/>
      <c r="I17" s="5" t="n"/>
      <c r="J17" s="5" t="n"/>
      <c r="K17" s="5" t="n"/>
      <c r="L17" s="5" t="n"/>
      <c r="M17" s="5" t="n"/>
      <c r="N17" s="5" t="n"/>
      <c r="O17" s="5" t="n"/>
      <c r="P17" s="7" t="n"/>
      <c r="Q17" s="7" t="n"/>
      <c r="R17" s="7" t="n"/>
      <c r="S17" s="7" t="n"/>
      <c r="T17" s="5" t="inlineStr">
        <is>
          <t>Evet</t>
        </is>
      </c>
    </row>
    <row r="18">
      <c r="A18" s="5" t="inlineStr">
        <is>
          <t>Yatak Tipleri</t>
        </is>
      </c>
      <c r="B18" s="5" t="inlineStr">
        <is>
          <t>Tek Kişilik Yatak</t>
        </is>
      </c>
      <c r="C18" s="5" t="n"/>
      <c r="D18" s="5" t="n"/>
      <c r="E18" s="5" t="n"/>
      <c r="F18" s="5" t="n"/>
      <c r="G18" s="5" t="n"/>
      <c r="H18" s="5" t="n"/>
      <c r="I18" s="5" t="n"/>
      <c r="J18" s="5" t="n"/>
      <c r="K18" s="5" t="n"/>
      <c r="L18" s="5" t="n"/>
      <c r="M18" s="5" t="n"/>
      <c r="N18" s="5" t="n"/>
      <c r="O18" s="5" t="n"/>
      <c r="P18" s="7" t="n"/>
      <c r="Q18" s="7" t="n"/>
      <c r="R18" s="7" t="n"/>
      <c r="S18" s="7" t="n"/>
      <c r="T18" s="5" t="n"/>
    </row>
    <row r="19">
      <c r="A19" s="5" t="inlineStr">
        <is>
          <t>Yatak Tipleri</t>
        </is>
      </c>
      <c r="B19" s="5" t="inlineStr">
        <is>
          <t>Çift Kişilik Yatak</t>
        </is>
      </c>
      <c r="C19" s="5" t="n"/>
      <c r="D19" s="5" t="n"/>
      <c r="E19" s="5" t="n"/>
      <c r="F19" s="5" t="n"/>
      <c r="G19" s="5" t="n"/>
      <c r="H19" s="5" t="n"/>
      <c r="I19" s="5" t="n"/>
      <c r="J19" s="5" t="n"/>
      <c r="K19" s="5" t="inlineStr">
        <is>
          <t>Evet</t>
        </is>
      </c>
      <c r="L19" s="5" t="inlineStr">
        <is>
          <t>Evet</t>
        </is>
      </c>
      <c r="M19" s="5" t="inlineStr">
        <is>
          <t>Evet</t>
        </is>
      </c>
      <c r="N19" s="5" t="inlineStr">
        <is>
          <t>Evet</t>
        </is>
      </c>
      <c r="O19" s="5" t="inlineStr">
        <is>
          <t>Evet</t>
        </is>
      </c>
      <c r="P19" s="7" t="n"/>
      <c r="Q19" s="7" t="n"/>
      <c r="R19" s="7" t="n"/>
      <c r="S19" s="7" t="n"/>
      <c r="T19" s="5" t="inlineStr">
        <is>
          <t>Evet</t>
        </is>
      </c>
    </row>
    <row r="20">
      <c r="A20" s="5" t="inlineStr">
        <is>
          <t>Yatak Tipleri</t>
        </is>
      </c>
      <c r="B20" s="5" t="inlineStr">
        <is>
          <t>King Size Yatak</t>
        </is>
      </c>
      <c r="C20" s="5" t="inlineStr">
        <is>
          <t>Evet</t>
        </is>
      </c>
      <c r="D20" s="5" t="inlineStr">
        <is>
          <t>Evet</t>
        </is>
      </c>
      <c r="E20" s="5" t="inlineStr">
        <is>
          <t>Evet</t>
        </is>
      </c>
      <c r="F20" s="5" t="inlineStr">
        <is>
          <t>Evet</t>
        </is>
      </c>
      <c r="G20" s="5" t="inlineStr">
        <is>
          <t>Evet</t>
        </is>
      </c>
      <c r="H20" s="5" t="inlineStr">
        <is>
          <t>Evet</t>
        </is>
      </c>
      <c r="I20" s="5" t="inlineStr">
        <is>
          <t>Evet</t>
        </is>
      </c>
      <c r="J20" s="5" t="inlineStr">
        <is>
          <t>Evet</t>
        </is>
      </c>
      <c r="K20" s="5" t="n"/>
      <c r="L20" s="5" t="n"/>
      <c r="M20" s="5" t="n"/>
      <c r="N20" s="5" t="n"/>
      <c r="O20" s="5" t="n"/>
      <c r="P20" s="7" t="n"/>
      <c r="Q20" s="7" t="n"/>
      <c r="R20" s="7" t="n"/>
      <c r="S20" s="7" t="n"/>
      <c r="T20" s="5" t="n"/>
    </row>
    <row r="21">
      <c r="A21" s="5" t="inlineStr">
        <is>
          <t>Yatak Tipleri</t>
        </is>
      </c>
      <c r="B21" s="5" t="inlineStr">
        <is>
          <t>Sofa Yatak</t>
        </is>
      </c>
      <c r="C21" s="5" t="n"/>
      <c r="D21" s="5" t="n"/>
      <c r="E21" s="5" t="n"/>
      <c r="F21" s="5" t="n"/>
      <c r="G21" s="5" t="n"/>
      <c r="H21" s="5" t="inlineStr">
        <is>
          <t>Evet</t>
        </is>
      </c>
      <c r="I21" s="5" t="n"/>
      <c r="J21" s="5" t="n"/>
      <c r="K21" s="5" t="n"/>
      <c r="L21" s="5" t="n"/>
      <c r="M21" s="5" t="n"/>
      <c r="N21" s="5" t="n"/>
      <c r="O21" s="5" t="n"/>
      <c r="P21" s="7" t="n"/>
      <c r="Q21" s="7" t="n"/>
      <c r="R21" s="7" t="n"/>
      <c r="S21" s="7" t="n"/>
      <c r="T21" s="5" t="n"/>
    </row>
    <row r="22">
      <c r="A22" s="5" t="inlineStr">
        <is>
          <t>Banyo</t>
        </is>
      </c>
      <c r="B22" s="5" t="inlineStr">
        <is>
          <t>Özel Banyo</t>
        </is>
      </c>
      <c r="C22" s="5" t="inlineStr">
        <is>
          <t>Evet</t>
        </is>
      </c>
      <c r="D22" s="5" t="inlineStr">
        <is>
          <t>Evet</t>
        </is>
      </c>
      <c r="E22" s="5" t="inlineStr">
        <is>
          <t>Evet</t>
        </is>
      </c>
      <c r="F22" s="5" t="inlineStr">
        <is>
          <t>Evet</t>
        </is>
      </c>
      <c r="G22" s="5" t="inlineStr">
        <is>
          <t>Evet</t>
        </is>
      </c>
      <c r="H22" s="5" t="inlineStr">
        <is>
          <t>Evet</t>
        </is>
      </c>
      <c r="I22" s="5" t="inlineStr">
        <is>
          <t>Evet</t>
        </is>
      </c>
      <c r="J22" s="5" t="inlineStr">
        <is>
          <t>Evet</t>
        </is>
      </c>
      <c r="K22" s="5" t="inlineStr">
        <is>
          <t>Evet</t>
        </is>
      </c>
      <c r="L22" s="5" t="inlineStr">
        <is>
          <t>Evet</t>
        </is>
      </c>
      <c r="M22" s="5" t="inlineStr">
        <is>
          <t>Evet</t>
        </is>
      </c>
      <c r="N22" s="5" t="inlineStr">
        <is>
          <t>Evet</t>
        </is>
      </c>
      <c r="O22" s="5" t="inlineStr">
        <is>
          <t>Evet</t>
        </is>
      </c>
      <c r="P22" s="7" t="n"/>
      <c r="Q22" s="7" t="n"/>
      <c r="R22" s="7" t="n"/>
      <c r="S22" s="7" t="n"/>
      <c r="T22" s="5" t="inlineStr">
        <is>
          <t>Evet</t>
        </is>
      </c>
    </row>
    <row r="23">
      <c r="A23" s="5" t="inlineStr">
        <is>
          <t>Banyo</t>
        </is>
      </c>
      <c r="B23" s="5" t="inlineStr">
        <is>
          <t>Duş</t>
        </is>
      </c>
      <c r="C23" s="5" t="inlineStr">
        <is>
          <t>Evet</t>
        </is>
      </c>
      <c r="D23" s="5" t="inlineStr">
        <is>
          <t>Evet</t>
        </is>
      </c>
      <c r="E23" s="5" t="inlineStr">
        <is>
          <t>Evet</t>
        </is>
      </c>
      <c r="F23" s="5" t="inlineStr">
        <is>
          <t>Evet</t>
        </is>
      </c>
      <c r="G23" s="5" t="inlineStr">
        <is>
          <t>Evet</t>
        </is>
      </c>
      <c r="H23" s="5" t="inlineStr">
        <is>
          <t>Evet</t>
        </is>
      </c>
      <c r="I23" s="5" t="inlineStr">
        <is>
          <t>Evet</t>
        </is>
      </c>
      <c r="J23" s="5" t="inlineStr">
        <is>
          <t>Evet</t>
        </is>
      </c>
      <c r="K23" s="5" t="inlineStr">
        <is>
          <t>Evet</t>
        </is>
      </c>
      <c r="L23" s="5" t="inlineStr">
        <is>
          <t>Evet</t>
        </is>
      </c>
      <c r="M23" s="5" t="inlineStr">
        <is>
          <t>Evet</t>
        </is>
      </c>
      <c r="N23" s="5" t="inlineStr">
        <is>
          <t>Evet</t>
        </is>
      </c>
      <c r="O23" s="5" t="inlineStr">
        <is>
          <t>Evet</t>
        </is>
      </c>
      <c r="P23" s="7" t="n"/>
      <c r="Q23" s="7" t="n"/>
      <c r="R23" s="7" t="n"/>
      <c r="S23" s="7" t="n"/>
      <c r="T23" s="5" t="inlineStr">
        <is>
          <t>Evet</t>
        </is>
      </c>
    </row>
    <row r="24">
      <c r="A24" s="5" t="inlineStr">
        <is>
          <t>Banyo</t>
        </is>
      </c>
      <c r="B24" s="5" t="inlineStr">
        <is>
          <t>Küvet</t>
        </is>
      </c>
      <c r="C24" s="5" t="n"/>
      <c r="D24" s="5" t="n"/>
      <c r="E24" s="5" t="n"/>
      <c r="F24" s="5" t="n"/>
      <c r="G24" s="5" t="inlineStr">
        <is>
          <t>Evet</t>
        </is>
      </c>
      <c r="H24" s="5" t="n"/>
      <c r="I24" s="5" t="n"/>
      <c r="J24" s="5" t="n"/>
      <c r="K24" s="5" t="n"/>
      <c r="L24" s="5" t="n"/>
      <c r="M24" s="5" t="n"/>
      <c r="N24" s="5" t="n"/>
      <c r="O24" s="5" t="n"/>
      <c r="P24" s="7" t="n"/>
      <c r="Q24" s="7" t="n"/>
      <c r="R24" s="7" t="n"/>
      <c r="S24" s="7" t="n"/>
      <c r="T24" s="5" t="n"/>
    </row>
    <row r="25">
      <c r="A25" s="5" t="inlineStr">
        <is>
          <t>Banyo</t>
        </is>
      </c>
      <c r="B25" s="5" t="inlineStr">
        <is>
          <t>Havlu</t>
        </is>
      </c>
      <c r="C25" s="5" t="inlineStr">
        <is>
          <t>Evet</t>
        </is>
      </c>
      <c r="D25" s="5" t="inlineStr">
        <is>
          <t>Evet</t>
        </is>
      </c>
      <c r="E25" s="5" t="inlineStr">
        <is>
          <t>Evet</t>
        </is>
      </c>
      <c r="F25" s="5" t="inlineStr">
        <is>
          <t>Evet</t>
        </is>
      </c>
      <c r="G25" s="5" t="inlineStr">
        <is>
          <t>Evet</t>
        </is>
      </c>
      <c r="H25" s="5" t="inlineStr">
        <is>
          <t>Evet</t>
        </is>
      </c>
      <c r="I25" s="5" t="inlineStr">
        <is>
          <t>Evet</t>
        </is>
      </c>
      <c r="J25" s="5" t="inlineStr">
        <is>
          <t>Evet</t>
        </is>
      </c>
      <c r="K25" s="5" t="inlineStr">
        <is>
          <t>Evet</t>
        </is>
      </c>
      <c r="L25" s="5" t="inlineStr">
        <is>
          <t>Evet</t>
        </is>
      </c>
      <c r="M25" s="5" t="inlineStr">
        <is>
          <t>Evet</t>
        </is>
      </c>
      <c r="N25" s="5" t="inlineStr">
        <is>
          <t>Evet</t>
        </is>
      </c>
      <c r="O25" s="5" t="inlineStr">
        <is>
          <t>Evet</t>
        </is>
      </c>
      <c r="P25" s="7" t="n"/>
      <c r="Q25" s="7" t="n"/>
      <c r="R25" s="7" t="n"/>
      <c r="S25" s="7" t="n"/>
      <c r="T25" s="5" t="inlineStr">
        <is>
          <t>Evet</t>
        </is>
      </c>
    </row>
    <row r="26">
      <c r="A26" s="5" t="inlineStr">
        <is>
          <t>Banyo</t>
        </is>
      </c>
      <c r="B26" s="5" t="inlineStr">
        <is>
          <t>Terlik</t>
        </is>
      </c>
      <c r="C26" s="5" t="inlineStr">
        <is>
          <t>Evet</t>
        </is>
      </c>
      <c r="D26" s="5" t="inlineStr">
        <is>
          <t>Evet</t>
        </is>
      </c>
      <c r="E26" s="5" t="inlineStr">
        <is>
          <t>Evet</t>
        </is>
      </c>
      <c r="F26" s="5" t="inlineStr">
        <is>
          <t>Evet</t>
        </is>
      </c>
      <c r="G26" s="5" t="inlineStr">
        <is>
          <t>Evet</t>
        </is>
      </c>
      <c r="H26" s="5" t="inlineStr">
        <is>
          <t>Evet</t>
        </is>
      </c>
      <c r="I26" s="5" t="inlineStr">
        <is>
          <t>Evet</t>
        </is>
      </c>
      <c r="J26" s="5" t="inlineStr">
        <is>
          <t>Evet</t>
        </is>
      </c>
      <c r="K26" s="5" t="inlineStr">
        <is>
          <t>Evet</t>
        </is>
      </c>
      <c r="L26" s="5" t="inlineStr">
        <is>
          <t>Evet</t>
        </is>
      </c>
      <c r="M26" s="5" t="inlineStr">
        <is>
          <t>Evet</t>
        </is>
      </c>
      <c r="N26" s="5" t="inlineStr">
        <is>
          <t>Evet</t>
        </is>
      </c>
      <c r="O26" s="5" t="inlineStr">
        <is>
          <t>Evet</t>
        </is>
      </c>
      <c r="P26" s="7" t="n"/>
      <c r="Q26" s="7" t="n"/>
      <c r="R26" s="7" t="n"/>
      <c r="S26" s="7" t="n"/>
      <c r="T26" s="5" t="inlineStr">
        <is>
          <t>Evet</t>
        </is>
      </c>
    </row>
    <row r="27">
      <c r="A27" s="5" t="inlineStr">
        <is>
          <t>Banyo</t>
        </is>
      </c>
      <c r="B27" s="5" t="inlineStr">
        <is>
          <t>Bornoz</t>
        </is>
      </c>
      <c r="C27" s="5" t="n"/>
      <c r="D27" s="5" t="n"/>
      <c r="E27" s="5" t="n"/>
      <c r="F27" s="5" t="n"/>
      <c r="G27" s="5" t="inlineStr">
        <is>
          <t>Evet</t>
        </is>
      </c>
      <c r="H27" s="5" t="n"/>
      <c r="I27" s="5" t="n"/>
      <c r="J27" s="5" t="n"/>
      <c r="K27" s="5" t="n"/>
      <c r="L27" s="5" t="n"/>
      <c r="M27" s="5" t="n"/>
      <c r="N27" s="5" t="n"/>
      <c r="O27" s="5" t="n"/>
      <c r="P27" s="7" t="n"/>
      <c r="Q27" s="7" t="n"/>
      <c r="R27" s="7" t="n"/>
      <c r="S27" s="7" t="n"/>
      <c r="T27" s="5" t="n"/>
    </row>
    <row r="28">
      <c r="A28" s="5" t="inlineStr">
        <is>
          <t>Banyo</t>
        </is>
      </c>
      <c r="B28" s="5" t="inlineStr">
        <is>
          <t>Saç Kurutma Makinesi</t>
        </is>
      </c>
      <c r="C28" s="5" t="inlineStr">
        <is>
          <t>Evet</t>
        </is>
      </c>
      <c r="D28" s="5" t="inlineStr">
        <is>
          <t>Evet</t>
        </is>
      </c>
      <c r="E28" s="5" t="inlineStr">
        <is>
          <t>Evet</t>
        </is>
      </c>
      <c r="F28" s="5" t="inlineStr">
        <is>
          <t>Evet</t>
        </is>
      </c>
      <c r="G28" s="5" t="inlineStr">
        <is>
          <t>Evet</t>
        </is>
      </c>
      <c r="H28" s="5" t="inlineStr">
        <is>
          <t>Evet</t>
        </is>
      </c>
      <c r="I28" s="5" t="inlineStr">
        <is>
          <t>Evet</t>
        </is>
      </c>
      <c r="J28" s="5" t="inlineStr">
        <is>
          <t>Evet</t>
        </is>
      </c>
      <c r="K28" s="5" t="inlineStr">
        <is>
          <t>Evet</t>
        </is>
      </c>
      <c r="L28" s="5" t="inlineStr">
        <is>
          <t>Evet</t>
        </is>
      </c>
      <c r="M28" s="5" t="inlineStr">
        <is>
          <t>Evet</t>
        </is>
      </c>
      <c r="N28" s="5" t="inlineStr">
        <is>
          <t>Evet</t>
        </is>
      </c>
      <c r="O28" s="5" t="inlineStr">
        <is>
          <t>Evet</t>
        </is>
      </c>
      <c r="P28" s="7" t="n"/>
      <c r="Q28" s="7" t="n"/>
      <c r="R28" s="7" t="n"/>
      <c r="S28" s="7" t="n"/>
      <c r="T28" s="5" t="inlineStr">
        <is>
          <t>Evet</t>
        </is>
      </c>
    </row>
    <row r="29">
      <c r="A29" s="5" t="inlineStr">
        <is>
          <t>Banyo</t>
        </is>
      </c>
      <c r="B29" s="5" t="inlineStr">
        <is>
          <t>Şampuan/Duş Jeli</t>
        </is>
      </c>
      <c r="C29" s="5" t="inlineStr">
        <is>
          <t>Evet</t>
        </is>
      </c>
      <c r="D29" s="5" t="inlineStr">
        <is>
          <t>Evet</t>
        </is>
      </c>
      <c r="E29" s="5" t="inlineStr">
        <is>
          <t>Evet</t>
        </is>
      </c>
      <c r="F29" s="5" t="inlineStr">
        <is>
          <t>Evet</t>
        </is>
      </c>
      <c r="G29" s="5" t="inlineStr">
        <is>
          <t>Evet</t>
        </is>
      </c>
      <c r="H29" s="5" t="inlineStr">
        <is>
          <t>Evet</t>
        </is>
      </c>
      <c r="I29" s="5" t="inlineStr">
        <is>
          <t>Evet</t>
        </is>
      </c>
      <c r="J29" s="5" t="inlineStr">
        <is>
          <t>Evet</t>
        </is>
      </c>
      <c r="K29" s="5" t="inlineStr">
        <is>
          <t>Evet</t>
        </is>
      </c>
      <c r="L29" s="5" t="inlineStr">
        <is>
          <t>Evet</t>
        </is>
      </c>
      <c r="M29" s="5" t="inlineStr">
        <is>
          <t>Evet</t>
        </is>
      </c>
      <c r="N29" s="5" t="inlineStr">
        <is>
          <t>Evet</t>
        </is>
      </c>
      <c r="O29" s="5" t="inlineStr">
        <is>
          <t>Evet</t>
        </is>
      </c>
      <c r="P29" s="7" t="n"/>
      <c r="Q29" s="7" t="n"/>
      <c r="R29" s="7" t="n"/>
      <c r="S29" s="7" t="n"/>
      <c r="T29" s="5" t="inlineStr">
        <is>
          <t>Evet</t>
        </is>
      </c>
    </row>
    <row r="30">
      <c r="A30" s="5" t="inlineStr">
        <is>
          <t>Mutfak</t>
        </is>
      </c>
      <c r="B30" s="5" t="inlineStr">
        <is>
          <t>Mutfak</t>
        </is>
      </c>
      <c r="C30" s="5" t="inlineStr">
        <is>
          <t>Evet</t>
        </is>
      </c>
      <c r="D30" s="5" t="inlineStr">
        <is>
          <t>Evet</t>
        </is>
      </c>
      <c r="E30" s="5" t="inlineStr">
        <is>
          <t>Evet</t>
        </is>
      </c>
      <c r="F30" s="5" t="inlineStr">
        <is>
          <t>Evet</t>
        </is>
      </c>
      <c r="G30" s="5" t="inlineStr">
        <is>
          <t>Evet</t>
        </is>
      </c>
      <c r="H30" s="5" t="inlineStr">
        <is>
          <t>Evet</t>
        </is>
      </c>
      <c r="I30" s="5" t="inlineStr">
        <is>
          <t>Evet</t>
        </is>
      </c>
      <c r="J30" s="5" t="inlineStr">
        <is>
          <t>Evet</t>
        </is>
      </c>
      <c r="K30" s="5" t="n"/>
      <c r="L30" s="5" t="n"/>
      <c r="M30" s="5" t="n"/>
      <c r="N30" s="5" t="n"/>
      <c r="O30" s="5" t="n"/>
      <c r="P30" s="7" t="n"/>
      <c r="Q30" s="7" t="n"/>
      <c r="R30" s="7" t="n"/>
      <c r="S30" s="7" t="n"/>
      <c r="T30" s="5" t="inlineStr">
        <is>
          <t>Evet</t>
        </is>
      </c>
    </row>
    <row r="31">
      <c r="A31" s="5" t="inlineStr">
        <is>
          <t>Mutfak</t>
        </is>
      </c>
      <c r="B31" s="5" t="inlineStr">
        <is>
          <t>Buzdolabı</t>
        </is>
      </c>
      <c r="C31" s="5" t="inlineStr">
        <is>
          <t>Evet</t>
        </is>
      </c>
      <c r="D31" s="5" t="inlineStr">
        <is>
          <t>Evet</t>
        </is>
      </c>
      <c r="E31" s="5" t="inlineStr">
        <is>
          <t>Evet</t>
        </is>
      </c>
      <c r="F31" s="5" t="inlineStr">
        <is>
          <t>Evet</t>
        </is>
      </c>
      <c r="G31" s="5" t="inlineStr">
        <is>
          <t>Evet</t>
        </is>
      </c>
      <c r="H31" s="5" t="inlineStr">
        <is>
          <t>Evet</t>
        </is>
      </c>
      <c r="I31" s="5" t="inlineStr">
        <is>
          <t>Evet</t>
        </is>
      </c>
      <c r="J31" s="5" t="inlineStr">
        <is>
          <t>Evet</t>
        </is>
      </c>
      <c r="K31" s="5" t="n"/>
      <c r="L31" s="5" t="n"/>
      <c r="M31" s="5" t="n"/>
      <c r="N31" s="5" t="n"/>
      <c r="O31" s="5" t="n"/>
      <c r="P31" s="7" t="n"/>
      <c r="Q31" s="7" t="n"/>
      <c r="R31" s="7" t="n"/>
      <c r="S31" s="7" t="n"/>
      <c r="T31" s="5" t="inlineStr">
        <is>
          <t>Evet</t>
        </is>
      </c>
    </row>
    <row r="32">
      <c r="A32" s="5" t="inlineStr">
        <is>
          <t>Mutfak</t>
        </is>
      </c>
      <c r="B32" s="5" t="inlineStr">
        <is>
          <t>Ocak</t>
        </is>
      </c>
      <c r="C32" s="5" t="inlineStr">
        <is>
          <t>Evet</t>
        </is>
      </c>
      <c r="D32" s="5" t="inlineStr">
        <is>
          <t>Evet</t>
        </is>
      </c>
      <c r="E32" s="5" t="inlineStr">
        <is>
          <t>Evet</t>
        </is>
      </c>
      <c r="F32" s="5" t="inlineStr">
        <is>
          <t>Evet</t>
        </is>
      </c>
      <c r="G32" s="5" t="inlineStr">
        <is>
          <t>Evet</t>
        </is>
      </c>
      <c r="H32" s="5" t="inlineStr">
        <is>
          <t>Evet</t>
        </is>
      </c>
      <c r="I32" s="5" t="inlineStr">
        <is>
          <t>Evet</t>
        </is>
      </c>
      <c r="J32" s="5" t="inlineStr">
        <is>
          <t>Evet</t>
        </is>
      </c>
      <c r="K32" s="5" t="n"/>
      <c r="L32" s="5" t="n"/>
      <c r="M32" s="5" t="n"/>
      <c r="N32" s="5" t="n"/>
      <c r="O32" s="5" t="n"/>
      <c r="P32" s="7" t="n"/>
      <c r="Q32" s="7" t="n"/>
      <c r="R32" s="7" t="n"/>
      <c r="S32" s="7" t="n"/>
      <c r="T32" s="5" t="n"/>
    </row>
    <row r="33">
      <c r="A33" s="5" t="inlineStr">
        <is>
          <t>Mutfak</t>
        </is>
      </c>
      <c r="B33" s="5" t="inlineStr">
        <is>
          <t>Fırın</t>
        </is>
      </c>
      <c r="C33" s="5" t="n"/>
      <c r="D33" s="5" t="n"/>
      <c r="E33" s="5" t="n"/>
      <c r="F33" s="5" t="n"/>
      <c r="G33" s="5" t="inlineStr">
        <is>
          <t>Evet</t>
        </is>
      </c>
      <c r="H33" s="5" t="n"/>
      <c r="I33" s="5" t="n"/>
      <c r="J33" s="5" t="n"/>
      <c r="K33" s="5" t="n"/>
      <c r="L33" s="5" t="n"/>
      <c r="M33" s="5" t="n"/>
      <c r="N33" s="5" t="n"/>
      <c r="O33" s="5" t="n"/>
      <c r="P33" s="7" t="n"/>
      <c r="Q33" s="7" t="n"/>
      <c r="R33" s="7" t="n"/>
      <c r="S33" s="7" t="n"/>
      <c r="T33" s="5" t="n"/>
    </row>
    <row r="34">
      <c r="A34" s="5" t="inlineStr">
        <is>
          <t>Mutfak</t>
        </is>
      </c>
      <c r="B34" s="5" t="inlineStr">
        <is>
          <t>Mikrodalga</t>
        </is>
      </c>
      <c r="C34" s="5" t="n"/>
      <c r="D34" s="5" t="n"/>
      <c r="E34" s="5" t="n"/>
      <c r="F34" s="5" t="n"/>
      <c r="G34" s="5" t="inlineStr">
        <is>
          <t>Evet</t>
        </is>
      </c>
      <c r="H34" s="5" t="n"/>
      <c r="I34" s="5" t="n"/>
      <c r="J34" s="5" t="inlineStr">
        <is>
          <t>Evet</t>
        </is>
      </c>
      <c r="K34" s="5" t="n"/>
      <c r="L34" s="5" t="n"/>
      <c r="M34" s="5" t="n"/>
      <c r="N34" s="5" t="n"/>
      <c r="O34" s="5" t="n"/>
      <c r="P34" s="7" t="n"/>
      <c r="Q34" s="7" t="n"/>
      <c r="R34" s="7" t="n"/>
      <c r="S34" s="7" t="n"/>
      <c r="T34" s="5" t="n"/>
    </row>
    <row r="35">
      <c r="A35" s="5" t="inlineStr">
        <is>
          <t>Mutfak</t>
        </is>
      </c>
      <c r="B35" s="5" t="inlineStr">
        <is>
          <t>Su Isıtıcısı</t>
        </is>
      </c>
      <c r="C35" s="5" t="inlineStr">
        <is>
          <t>Evet</t>
        </is>
      </c>
      <c r="D35" s="5" t="inlineStr">
        <is>
          <t>Evet</t>
        </is>
      </c>
      <c r="E35" s="5" t="inlineStr">
        <is>
          <t>Evet</t>
        </is>
      </c>
      <c r="F35" s="5" t="inlineStr">
        <is>
          <t>Evet</t>
        </is>
      </c>
      <c r="G35" s="5" t="inlineStr">
        <is>
          <t>Evet</t>
        </is>
      </c>
      <c r="H35" s="5" t="inlineStr">
        <is>
          <t>Evet</t>
        </is>
      </c>
      <c r="I35" s="5" t="inlineStr">
        <is>
          <t>Evet</t>
        </is>
      </c>
      <c r="J35" s="5" t="inlineStr">
        <is>
          <t>Evet</t>
        </is>
      </c>
      <c r="K35" s="5" t="inlineStr">
        <is>
          <t>Evet</t>
        </is>
      </c>
      <c r="L35" s="5" t="inlineStr">
        <is>
          <t>Evet</t>
        </is>
      </c>
      <c r="M35" s="5" t="inlineStr">
        <is>
          <t>Evet</t>
        </is>
      </c>
      <c r="N35" s="5" t="inlineStr">
        <is>
          <t>Evet</t>
        </is>
      </c>
      <c r="O35" s="5" t="inlineStr">
        <is>
          <t>Evet</t>
        </is>
      </c>
      <c r="P35" s="7" t="n"/>
      <c r="Q35" s="7" t="n"/>
      <c r="R35" s="7" t="n"/>
      <c r="S35" s="7" t="n"/>
      <c r="T35" s="5" t="inlineStr">
        <is>
          <t>Evet</t>
        </is>
      </c>
    </row>
    <row r="36">
      <c r="A36" s="5" t="inlineStr">
        <is>
          <t>Mutfak</t>
        </is>
      </c>
      <c r="B36" s="5" t="inlineStr">
        <is>
          <t>Kahve Makinesi</t>
        </is>
      </c>
      <c r="C36" s="5" t="n"/>
      <c r="D36" s="5" t="n"/>
      <c r="E36" s="5" t="n"/>
      <c r="F36" s="5" t="n"/>
      <c r="G36" s="5" t="inlineStr">
        <is>
          <t>Evet</t>
        </is>
      </c>
      <c r="H36" s="5" t="n"/>
      <c r="I36" s="5" t="n"/>
      <c r="J36" s="5" t="n"/>
      <c r="K36" s="5" t="n"/>
      <c r="L36" s="5" t="n"/>
      <c r="M36" s="5" t="n"/>
      <c r="N36" s="5" t="n"/>
      <c r="O36" s="5" t="n"/>
      <c r="P36" s="7" t="n"/>
      <c r="Q36" s="7" t="n"/>
      <c r="R36" s="7" t="n"/>
      <c r="S36" s="7" t="n"/>
      <c r="T36" s="5" t="n"/>
    </row>
    <row r="37">
      <c r="A37" s="5" t="inlineStr">
        <is>
          <t>Mutfak</t>
        </is>
      </c>
      <c r="B37" s="5" t="inlineStr">
        <is>
          <t>Temel Mutfak Gereçleri</t>
        </is>
      </c>
      <c r="C37" s="5" t="inlineStr">
        <is>
          <t>Evet</t>
        </is>
      </c>
      <c r="D37" s="5" t="inlineStr">
        <is>
          <t>Evet</t>
        </is>
      </c>
      <c r="E37" s="5" t="inlineStr">
        <is>
          <t>Evet</t>
        </is>
      </c>
      <c r="F37" s="5" t="inlineStr">
        <is>
          <t>Evet</t>
        </is>
      </c>
      <c r="G37" s="5" t="inlineStr">
        <is>
          <t>Evet</t>
        </is>
      </c>
      <c r="H37" s="5" t="inlineStr">
        <is>
          <t>Evet</t>
        </is>
      </c>
      <c r="I37" s="5" t="inlineStr">
        <is>
          <t>Evet</t>
        </is>
      </c>
      <c r="J37" s="5" t="inlineStr">
        <is>
          <t>Evet</t>
        </is>
      </c>
      <c r="K37" s="5" t="n"/>
      <c r="L37" s="5" t="n"/>
      <c r="M37" s="5" t="n"/>
      <c r="N37" s="5" t="n"/>
      <c r="O37" s="5" t="n"/>
      <c r="P37" s="7" t="n"/>
      <c r="Q37" s="7" t="n"/>
      <c r="R37" s="7" t="n"/>
      <c r="S37" s="7" t="n"/>
      <c r="T37" s="5" t="inlineStr">
        <is>
          <t>Evet</t>
        </is>
      </c>
    </row>
    <row r="38">
      <c r="A38" s="5" t="inlineStr">
        <is>
          <t>Mutfak</t>
        </is>
      </c>
      <c r="B38" s="5" t="inlineStr">
        <is>
          <t>Tencere&amp;Tava</t>
        </is>
      </c>
      <c r="C38" s="5" t="inlineStr">
        <is>
          <t>Evet</t>
        </is>
      </c>
      <c r="D38" s="5" t="inlineStr">
        <is>
          <t>Evet</t>
        </is>
      </c>
      <c r="E38" s="5" t="inlineStr">
        <is>
          <t>Evet</t>
        </is>
      </c>
      <c r="F38" s="5" t="inlineStr">
        <is>
          <t>Evet</t>
        </is>
      </c>
      <c r="G38" s="5" t="inlineStr">
        <is>
          <t>Evet</t>
        </is>
      </c>
      <c r="H38" s="5" t="inlineStr">
        <is>
          <t>Evet</t>
        </is>
      </c>
      <c r="I38" s="5" t="inlineStr">
        <is>
          <t>Evet</t>
        </is>
      </c>
      <c r="J38" s="5" t="inlineStr">
        <is>
          <t>Evet</t>
        </is>
      </c>
      <c r="K38" s="5" t="n"/>
      <c r="L38" s="5" t="n"/>
      <c r="M38" s="5" t="n"/>
      <c r="N38" s="5" t="n"/>
      <c r="O38" s="5" t="n"/>
      <c r="P38" s="7" t="n"/>
      <c r="Q38" s="7" t="n"/>
      <c r="R38" s="7" t="n"/>
      <c r="S38" s="7" t="n"/>
      <c r="T38" s="5" t="inlineStr">
        <is>
          <t>Evet</t>
        </is>
      </c>
    </row>
    <row r="39">
      <c r="A39" s="5" t="inlineStr">
        <is>
          <t>Mutfak</t>
        </is>
      </c>
      <c r="B39" s="5" t="inlineStr">
        <is>
          <t>Bulaşık Makinesi</t>
        </is>
      </c>
      <c r="C39" s="5" t="n"/>
      <c r="D39" s="5" t="n"/>
      <c r="E39" s="5" t="n"/>
      <c r="F39" s="5" t="n"/>
      <c r="G39" s="5" t="inlineStr">
        <is>
          <t>Evet</t>
        </is>
      </c>
      <c r="H39" s="5" t="n"/>
      <c r="I39" s="5" t="n"/>
      <c r="J39" s="5" t="n"/>
      <c r="K39" s="5" t="n"/>
      <c r="L39" s="5" t="n"/>
      <c r="M39" s="5" t="n"/>
      <c r="N39" s="5" t="n"/>
      <c r="O39" s="5" t="n"/>
      <c r="P39" s="7" t="n"/>
      <c r="Q39" s="7" t="n"/>
      <c r="R39" s="7" t="n"/>
      <c r="S39" s="7" t="n"/>
      <c r="T39" s="5" t="n"/>
    </row>
    <row r="40">
      <c r="A40" s="5" t="inlineStr">
        <is>
          <t>Mutfak</t>
        </is>
      </c>
      <c r="B40" s="5" t="inlineStr">
        <is>
          <t>Çamaşır Makinesi</t>
        </is>
      </c>
      <c r="C40" s="5" t="n"/>
      <c r="D40" s="5" t="n"/>
      <c r="E40" s="5" t="n"/>
      <c r="F40" s="5" t="n"/>
      <c r="G40" s="5" t="n"/>
      <c r="H40" s="5" t="n"/>
      <c r="I40" s="5" t="n"/>
      <c r="J40" s="5" t="inlineStr">
        <is>
          <t>Evet</t>
        </is>
      </c>
      <c r="K40" s="5" t="n"/>
      <c r="L40" s="5" t="n"/>
      <c r="M40" s="5" t="n"/>
      <c r="N40" s="5" t="n"/>
      <c r="O40" s="5" t="n"/>
      <c r="P40" s="7" t="n"/>
      <c r="Q40" s="7" t="n"/>
      <c r="R40" s="7" t="n"/>
      <c r="S40" s="7" t="n"/>
      <c r="T40" s="5" t="n"/>
    </row>
    <row r="41">
      <c r="A41" s="5" t="inlineStr">
        <is>
          <t>Elektronik&amp;Medya</t>
        </is>
      </c>
      <c r="B41" s="5" t="inlineStr">
        <is>
          <t>LED TV</t>
        </is>
      </c>
      <c r="C41" s="5" t="inlineStr">
        <is>
          <t>Evet</t>
        </is>
      </c>
      <c r="D41" s="5" t="inlineStr">
        <is>
          <t>Evet</t>
        </is>
      </c>
      <c r="E41" s="5" t="inlineStr">
        <is>
          <t>Evet</t>
        </is>
      </c>
      <c r="F41" s="5" t="inlineStr">
        <is>
          <t>Evet</t>
        </is>
      </c>
      <c r="G41" s="5" t="inlineStr">
        <is>
          <t>Evet</t>
        </is>
      </c>
      <c r="H41" s="5" t="inlineStr">
        <is>
          <t>Evet</t>
        </is>
      </c>
      <c r="I41" s="5" t="inlineStr">
        <is>
          <t>Evet</t>
        </is>
      </c>
      <c r="J41" s="5" t="inlineStr">
        <is>
          <t>Evet</t>
        </is>
      </c>
      <c r="K41" s="5" t="inlineStr">
        <is>
          <t>Evet</t>
        </is>
      </c>
      <c r="L41" s="5" t="inlineStr">
        <is>
          <t>Evet</t>
        </is>
      </c>
      <c r="M41" s="5" t="inlineStr">
        <is>
          <t>Evet</t>
        </is>
      </c>
      <c r="N41" s="5" t="inlineStr">
        <is>
          <t>Evet</t>
        </is>
      </c>
      <c r="O41" s="5" t="inlineStr">
        <is>
          <t>Evet</t>
        </is>
      </c>
      <c r="P41" s="7" t="n"/>
      <c r="Q41" s="7" t="n"/>
      <c r="R41" s="7" t="n"/>
      <c r="S41" s="7" t="n"/>
      <c r="T41" s="5" t="inlineStr">
        <is>
          <t>Evet</t>
        </is>
      </c>
    </row>
    <row r="42">
      <c r="A42" s="5" t="inlineStr">
        <is>
          <t>Elektronik&amp;Medya</t>
        </is>
      </c>
      <c r="B42" s="5" t="inlineStr">
        <is>
          <t>Uydu Yayını</t>
        </is>
      </c>
      <c r="C42" s="5" t="n"/>
      <c r="D42" s="5" t="n"/>
      <c r="E42" s="5" t="n"/>
      <c r="F42" s="5" t="n"/>
      <c r="G42" s="5" t="n"/>
      <c r="H42" s="5" t="n"/>
      <c r="I42" s="5" t="n"/>
      <c r="J42" s="5" t="n"/>
      <c r="K42" s="5" t="n"/>
      <c r="L42" s="5" t="n"/>
      <c r="M42" s="5" t="n"/>
      <c r="N42" s="5" t="n"/>
      <c r="O42" s="5" t="n"/>
      <c r="P42" s="7" t="n"/>
      <c r="Q42" s="7" t="n"/>
      <c r="R42" s="7" t="n"/>
      <c r="S42" s="7" t="n"/>
      <c r="T42" s="5" t="inlineStr">
        <is>
          <t>Evet</t>
        </is>
      </c>
    </row>
    <row r="43">
      <c r="A43" s="5" t="inlineStr">
        <is>
          <t>Elektronik&amp;Medya</t>
        </is>
      </c>
      <c r="B43" s="5" t="inlineStr">
        <is>
          <t>Smart TV</t>
        </is>
      </c>
      <c r="C43" s="5" t="inlineStr">
        <is>
          <t>Evet</t>
        </is>
      </c>
      <c r="D43" s="5" t="inlineStr">
        <is>
          <t>Evet</t>
        </is>
      </c>
      <c r="E43" s="5" t="inlineStr">
        <is>
          <t>Evet</t>
        </is>
      </c>
      <c r="F43" s="5" t="inlineStr">
        <is>
          <t>Evet</t>
        </is>
      </c>
      <c r="G43" s="5" t="inlineStr">
        <is>
          <t>Evet</t>
        </is>
      </c>
      <c r="H43" s="5" t="inlineStr">
        <is>
          <t>Evet</t>
        </is>
      </c>
      <c r="I43" s="5" t="inlineStr">
        <is>
          <t>Evet</t>
        </is>
      </c>
      <c r="J43" s="5" t="inlineStr">
        <is>
          <t>Evet</t>
        </is>
      </c>
      <c r="K43" s="5" t="inlineStr">
        <is>
          <t>Evet</t>
        </is>
      </c>
      <c r="L43" s="5" t="inlineStr">
        <is>
          <t>Evet</t>
        </is>
      </c>
      <c r="M43" s="5" t="inlineStr">
        <is>
          <t>Evet</t>
        </is>
      </c>
      <c r="N43" s="5" t="inlineStr">
        <is>
          <t>Evet</t>
        </is>
      </c>
      <c r="O43" s="5" t="inlineStr">
        <is>
          <t>Evet</t>
        </is>
      </c>
      <c r="P43" s="7" t="n"/>
      <c r="Q43" s="7" t="n"/>
      <c r="R43" s="7" t="n"/>
      <c r="S43" s="7" t="n"/>
      <c r="T43" s="5" t="n"/>
    </row>
    <row r="44">
      <c r="A44" s="5" t="inlineStr">
        <is>
          <t>Elektronik&amp;Medya</t>
        </is>
      </c>
      <c r="B44" s="5" t="inlineStr">
        <is>
          <t>Netflix</t>
        </is>
      </c>
      <c r="C44" s="5" t="inlineStr">
        <is>
          <t>Evet</t>
        </is>
      </c>
      <c r="D44" s="5" t="inlineStr">
        <is>
          <t>Evet</t>
        </is>
      </c>
      <c r="E44" s="5" t="inlineStr">
        <is>
          <t>Evet</t>
        </is>
      </c>
      <c r="F44" s="5" t="inlineStr">
        <is>
          <t>Evet</t>
        </is>
      </c>
      <c r="G44" s="5" t="inlineStr">
        <is>
          <t>Evet</t>
        </is>
      </c>
      <c r="H44" s="5" t="inlineStr">
        <is>
          <t>Evet</t>
        </is>
      </c>
      <c r="I44" s="5" t="inlineStr">
        <is>
          <t>Evet</t>
        </is>
      </c>
      <c r="J44" s="5" t="inlineStr">
        <is>
          <t>Evet</t>
        </is>
      </c>
      <c r="K44" s="5" t="inlineStr">
        <is>
          <t>Evet</t>
        </is>
      </c>
      <c r="L44" s="5" t="inlineStr">
        <is>
          <t>Evet</t>
        </is>
      </c>
      <c r="M44" s="5" t="inlineStr">
        <is>
          <t>Evet</t>
        </is>
      </c>
      <c r="N44" s="5" t="inlineStr">
        <is>
          <t>Evet</t>
        </is>
      </c>
      <c r="O44" s="5" t="inlineStr">
        <is>
          <t>Evet</t>
        </is>
      </c>
      <c r="P44" s="7" t="n"/>
      <c r="Q44" s="7" t="n"/>
      <c r="R44" s="7" t="n"/>
      <c r="S44" s="7" t="n"/>
      <c r="T44" s="5" t="n"/>
    </row>
    <row r="45">
      <c r="A45" s="5" t="inlineStr">
        <is>
          <t>Güvenlik</t>
        </is>
      </c>
      <c r="B45" s="5" t="inlineStr">
        <is>
          <t>Kasa</t>
        </is>
      </c>
      <c r="C45" s="5" t="n"/>
      <c r="D45" s="5" t="n"/>
      <c r="E45" s="5" t="n"/>
      <c r="F45" s="5" t="n"/>
      <c r="G45" s="5" t="n"/>
      <c r="H45" s="5" t="n"/>
      <c r="I45" s="5" t="n"/>
      <c r="J45" s="5" t="n"/>
      <c r="K45" s="5" t="inlineStr">
        <is>
          <t>Evet</t>
        </is>
      </c>
      <c r="L45" s="5" t="inlineStr">
        <is>
          <t>Evet</t>
        </is>
      </c>
      <c r="M45" s="5" t="inlineStr">
        <is>
          <t>Evet</t>
        </is>
      </c>
      <c r="N45" s="5" t="inlineStr">
        <is>
          <t>Evet</t>
        </is>
      </c>
      <c r="O45" s="5" t="inlineStr">
        <is>
          <t>Evet</t>
        </is>
      </c>
      <c r="P45" s="7" t="n"/>
      <c r="Q45" s="7" t="n"/>
      <c r="R45" s="7" t="n"/>
      <c r="S45" s="7" t="n"/>
      <c r="T45" s="5" t="n"/>
    </row>
    <row r="46">
      <c r="A46" s="5" t="inlineStr">
        <is>
          <t>Güvenlik</t>
        </is>
      </c>
      <c r="B46" s="5" t="inlineStr">
        <is>
          <t>Duman Dedektörü</t>
        </is>
      </c>
      <c r="C46" s="5" t="inlineStr">
        <is>
          <t>Evet</t>
        </is>
      </c>
      <c r="D46" s="5" t="inlineStr">
        <is>
          <t>Evet</t>
        </is>
      </c>
      <c r="E46" s="5" t="inlineStr">
        <is>
          <t>Evet</t>
        </is>
      </c>
      <c r="F46" s="5" t="inlineStr">
        <is>
          <t>Evet</t>
        </is>
      </c>
      <c r="G46" s="5" t="inlineStr">
        <is>
          <t>Evet</t>
        </is>
      </c>
      <c r="H46" s="5" t="inlineStr">
        <is>
          <t>Evet</t>
        </is>
      </c>
      <c r="I46" s="5" t="inlineStr">
        <is>
          <t>Evet</t>
        </is>
      </c>
      <c r="J46" s="5" t="inlineStr">
        <is>
          <t>Evet</t>
        </is>
      </c>
      <c r="K46" s="5" t="inlineStr">
        <is>
          <t>Evet</t>
        </is>
      </c>
      <c r="L46" s="5" t="inlineStr">
        <is>
          <t>Evet</t>
        </is>
      </c>
      <c r="M46" s="5" t="inlineStr">
        <is>
          <t>Evet</t>
        </is>
      </c>
      <c r="N46" s="5" t="inlineStr">
        <is>
          <t>Evet</t>
        </is>
      </c>
      <c r="O46" s="5" t="inlineStr">
        <is>
          <t>Evet</t>
        </is>
      </c>
      <c r="P46" s="7" t="n"/>
      <c r="Q46" s="7" t="n"/>
      <c r="R46" s="7" t="n"/>
      <c r="S46" s="7" t="n"/>
      <c r="T46" s="5" t="inlineStr">
        <is>
          <t>Evet</t>
        </is>
      </c>
    </row>
    <row r="47">
      <c r="A47" s="5" t="inlineStr">
        <is>
          <t>Güvenlik</t>
        </is>
      </c>
      <c r="B47" s="5" t="inlineStr">
        <is>
          <t>Şifreli Giriş</t>
        </is>
      </c>
      <c r="C47" s="5" t="inlineStr">
        <is>
          <t>Evet</t>
        </is>
      </c>
      <c r="D47" s="5" t="inlineStr">
        <is>
          <t>Evet</t>
        </is>
      </c>
      <c r="E47" s="5" t="inlineStr">
        <is>
          <t>Evet</t>
        </is>
      </c>
      <c r="F47" s="5" t="inlineStr">
        <is>
          <t>Evet</t>
        </is>
      </c>
      <c r="G47" s="5" t="inlineStr">
        <is>
          <t>Evet</t>
        </is>
      </c>
      <c r="H47" s="5" t="inlineStr">
        <is>
          <t>Evet</t>
        </is>
      </c>
      <c r="I47" s="5" t="inlineStr">
        <is>
          <t>Evet</t>
        </is>
      </c>
      <c r="J47" s="5" t="inlineStr">
        <is>
          <t>Evet</t>
        </is>
      </c>
      <c r="K47" s="5" t="inlineStr">
        <is>
          <t>Evet</t>
        </is>
      </c>
      <c r="L47" s="5" t="inlineStr">
        <is>
          <t>Evet</t>
        </is>
      </c>
      <c r="M47" s="5" t="inlineStr">
        <is>
          <t>Evet</t>
        </is>
      </c>
      <c r="N47" s="5" t="inlineStr">
        <is>
          <t>Evet</t>
        </is>
      </c>
      <c r="O47" s="5" t="inlineStr">
        <is>
          <t>Evet</t>
        </is>
      </c>
      <c r="P47" s="7" t="n"/>
      <c r="Q47" s="7" t="n"/>
      <c r="R47" s="7" t="n"/>
      <c r="S47" s="7" t="n"/>
      <c r="T47" s="5" t="inlineStr">
        <is>
          <t>Evet</t>
        </is>
      </c>
    </row>
    <row r="49">
      <c r="A49" s="8" t="inlineStr">
        <is>
          <t>Kaynak: Özellikler.xlsx. Village tipleri (VGS, VBS, VSS, VTS) dosyada yoktu, sarı. 'Otel Özellikleri' sayfası dosyada boştu, aktarılmadı.</t>
        </is>
      </c>
    </row>
  </sheetData>
  <dataValidations count="1">
    <dataValidation sqref="C2:T100" showDropDown="0" showInputMessage="0" showErrorMessage="0" allowBlank="1" type="list">
      <formula1>"Evet"</formula1>
    </dataValidation>
  </dataValidations>
  <pageMargins left="0.75" right="0.75" top="1" bottom="1" header="0.5" footer="0.5"/>
  <headerFooter>
    <oddHeader/>
    <oddFooter>&amp;C&amp;"Aptos"&amp;6 &amp;K626469_x000d_# General</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F41"/>
  <sheetViews>
    <sheetView workbookViewId="0">
      <pane ySplit="1" topLeftCell="A14" activePane="bottomLeft" state="frozen"/>
      <selection pane="bottomLeft" activeCell="F31" sqref="F31"/>
    </sheetView>
  </sheetViews>
  <sheetFormatPr baseColWidth="8" defaultRowHeight="14.4"/>
  <cols>
    <col width="22" customWidth="1" min="1" max="1"/>
    <col width="9" customWidth="1" min="2" max="2"/>
    <col width="6" customWidth="1" min="3" max="3"/>
    <col width="13" customWidth="1" min="4" max="4"/>
    <col width="7" customWidth="1" min="5" max="5"/>
    <col width="30" customWidth="1" min="6" max="6"/>
  </cols>
  <sheetData>
    <row r="1" ht="30" customHeight="1">
      <c r="A1" s="4" t="inlineStr">
        <is>
          <t>Otel</t>
        </is>
      </c>
      <c r="B1" s="4" t="inlineStr">
        <is>
          <t>Oda No</t>
        </is>
      </c>
      <c r="C1" s="4" t="inlineStr">
        <is>
          <t>Kat</t>
        </is>
      </c>
      <c r="D1" s="4" t="inlineStr">
        <is>
          <t>Oda Tipi Kodu</t>
        </is>
      </c>
      <c r="E1" s="4" t="inlineStr">
        <is>
          <t>Aktif</t>
        </is>
      </c>
      <c r="F1" s="4" t="inlineStr">
        <is>
          <t>Not</t>
        </is>
      </c>
    </row>
    <row r="2">
      <c r="A2" s="5" t="inlineStr">
        <is>
          <t>Tare Houses Hotel</t>
        </is>
      </c>
      <c r="B2" s="9" t="inlineStr">
        <is>
          <t>101</t>
        </is>
      </c>
      <c r="C2" s="5" t="n">
        <v>1</v>
      </c>
      <c r="D2" s="5" t="inlineStr">
        <is>
          <t>X1</t>
        </is>
      </c>
      <c r="E2" s="5" t="inlineStr">
        <is>
          <t>Evet</t>
        </is>
      </c>
      <c r="F2" s="5" t="n"/>
    </row>
    <row r="3">
      <c r="A3" s="5" t="inlineStr">
        <is>
          <t>Tare Houses Hotel</t>
        </is>
      </c>
      <c r="B3" s="9" t="inlineStr">
        <is>
          <t>102</t>
        </is>
      </c>
      <c r="C3" s="5" t="n">
        <v>1</v>
      </c>
      <c r="D3" s="5" t="inlineStr">
        <is>
          <t>X2</t>
        </is>
      </c>
      <c r="E3" s="5" t="inlineStr">
        <is>
          <t>Evet</t>
        </is>
      </c>
      <c r="F3" s="5" t="n"/>
    </row>
    <row r="4">
      <c r="A4" s="5" t="inlineStr">
        <is>
          <t>Tare Houses Hotel</t>
        </is>
      </c>
      <c r="B4" s="9" t="inlineStr">
        <is>
          <t>103</t>
        </is>
      </c>
      <c r="C4" s="5" t="n">
        <v>1</v>
      </c>
      <c r="D4" s="5" t="inlineStr">
        <is>
          <t>X3</t>
        </is>
      </c>
      <c r="E4" s="5" t="inlineStr">
        <is>
          <t>Evet</t>
        </is>
      </c>
      <c r="F4" s="5" t="n"/>
    </row>
    <row r="5">
      <c r="A5" s="5" t="inlineStr">
        <is>
          <t>Tare Houses Hotel</t>
        </is>
      </c>
      <c r="B5" s="9" t="inlineStr">
        <is>
          <t>104</t>
        </is>
      </c>
      <c r="C5" s="5" t="n">
        <v>1</v>
      </c>
      <c r="D5" s="5" t="inlineStr">
        <is>
          <t>X4</t>
        </is>
      </c>
      <c r="E5" s="5" t="inlineStr">
        <is>
          <t>Evet</t>
        </is>
      </c>
      <c r="F5" s="5" t="n"/>
    </row>
    <row r="6">
      <c r="A6" s="5" t="inlineStr">
        <is>
          <t>Tare Houses Hotel</t>
        </is>
      </c>
      <c r="B6" s="9" t="inlineStr">
        <is>
          <t>201</t>
        </is>
      </c>
      <c r="C6" s="5" t="n">
        <v>2</v>
      </c>
      <c r="D6" s="5" t="inlineStr">
        <is>
          <t>X1</t>
        </is>
      </c>
      <c r="E6" s="5" t="inlineStr">
        <is>
          <t>Evet</t>
        </is>
      </c>
      <c r="F6" s="5" t="n"/>
    </row>
    <row r="7">
      <c r="A7" s="5" t="inlineStr">
        <is>
          <t>Tare Houses Hotel</t>
        </is>
      </c>
      <c r="B7" s="9" t="inlineStr">
        <is>
          <t>202</t>
        </is>
      </c>
      <c r="C7" s="5" t="n">
        <v>2</v>
      </c>
      <c r="D7" s="5" t="inlineStr">
        <is>
          <t>X2</t>
        </is>
      </c>
      <c r="E7" s="5" t="inlineStr">
        <is>
          <t>Evet</t>
        </is>
      </c>
      <c r="F7" s="5" t="n"/>
    </row>
    <row r="8">
      <c r="A8" s="5" t="inlineStr">
        <is>
          <t>Tare Houses Hotel</t>
        </is>
      </c>
      <c r="B8" s="9" t="inlineStr">
        <is>
          <t>203</t>
        </is>
      </c>
      <c r="C8" s="5" t="n">
        <v>2</v>
      </c>
      <c r="D8" s="5" t="inlineStr">
        <is>
          <t>X3</t>
        </is>
      </c>
      <c r="E8" s="5" t="inlineStr">
        <is>
          <t>Evet</t>
        </is>
      </c>
      <c r="F8" s="5" t="n"/>
    </row>
    <row r="9">
      <c r="A9" s="5" t="inlineStr">
        <is>
          <t>Tare Houses Hotel</t>
        </is>
      </c>
      <c r="B9" s="9" t="inlineStr">
        <is>
          <t>204</t>
        </is>
      </c>
      <c r="C9" s="5" t="n">
        <v>2</v>
      </c>
      <c r="D9" s="5" t="inlineStr">
        <is>
          <t>X4</t>
        </is>
      </c>
      <c r="E9" s="5" t="inlineStr">
        <is>
          <t>Evet</t>
        </is>
      </c>
      <c r="F9" s="5" t="n"/>
    </row>
    <row r="10">
      <c r="A10" s="5" t="inlineStr">
        <is>
          <t>Tare Houses Hotel</t>
        </is>
      </c>
      <c r="B10" s="9" t="inlineStr">
        <is>
          <t>301</t>
        </is>
      </c>
      <c r="C10" s="5" t="n">
        <v>3</v>
      </c>
      <c r="D10" s="5" t="inlineStr">
        <is>
          <t>X1</t>
        </is>
      </c>
      <c r="E10" s="5" t="inlineStr">
        <is>
          <t>Evet</t>
        </is>
      </c>
      <c r="F10" s="5" t="n"/>
    </row>
    <row r="11">
      <c r="A11" s="5" t="inlineStr">
        <is>
          <t>Tare Houses Hotel</t>
        </is>
      </c>
      <c r="B11" s="9" t="inlineStr">
        <is>
          <t>302</t>
        </is>
      </c>
      <c r="C11" s="5" t="n">
        <v>3</v>
      </c>
      <c r="D11" s="5" t="inlineStr">
        <is>
          <t>X2</t>
        </is>
      </c>
      <c r="E11" s="5" t="inlineStr">
        <is>
          <t>Evet</t>
        </is>
      </c>
      <c r="F11" s="5" t="n"/>
    </row>
    <row r="12">
      <c r="A12" s="5" t="inlineStr">
        <is>
          <t>Tare Houses Hotel</t>
        </is>
      </c>
      <c r="B12" s="9" t="inlineStr">
        <is>
          <t>303</t>
        </is>
      </c>
      <c r="C12" s="5" t="n">
        <v>3</v>
      </c>
      <c r="D12" s="5" t="inlineStr">
        <is>
          <t>X3</t>
        </is>
      </c>
      <c r="E12" s="5" t="inlineStr">
        <is>
          <t>Evet</t>
        </is>
      </c>
      <c r="F12" s="5" t="n"/>
    </row>
    <row r="13">
      <c r="A13" s="5" t="inlineStr">
        <is>
          <t>Tare Houses Hotel</t>
        </is>
      </c>
      <c r="B13" s="9" t="inlineStr">
        <is>
          <t>304</t>
        </is>
      </c>
      <c r="C13" s="5" t="n">
        <v>3</v>
      </c>
      <c r="D13" s="5" t="inlineStr">
        <is>
          <t>X4</t>
        </is>
      </c>
      <c r="E13" s="5" t="inlineStr">
        <is>
          <t>Evet</t>
        </is>
      </c>
      <c r="F13" s="5" t="n"/>
    </row>
    <row r="14">
      <c r="A14" s="5" t="inlineStr">
        <is>
          <t>Tare Houses Hotel</t>
        </is>
      </c>
      <c r="B14" s="9" t="inlineStr">
        <is>
          <t>401</t>
        </is>
      </c>
      <c r="C14" s="5" t="n">
        <v>4</v>
      </c>
      <c r="D14" s="5" t="inlineStr">
        <is>
          <t>X1</t>
        </is>
      </c>
      <c r="E14" s="5" t="inlineStr">
        <is>
          <t>Evet</t>
        </is>
      </c>
      <c r="F14" s="5" t="n"/>
    </row>
    <row r="15">
      <c r="A15" s="5" t="inlineStr">
        <is>
          <t>Tare Houses Hotel</t>
        </is>
      </c>
      <c r="B15" s="9" t="inlineStr">
        <is>
          <t>402</t>
        </is>
      </c>
      <c r="C15" s="5" t="n">
        <v>4</v>
      </c>
      <c r="D15" s="5" t="inlineStr">
        <is>
          <t>X2</t>
        </is>
      </c>
      <c r="E15" s="5" t="inlineStr">
        <is>
          <t>Evet</t>
        </is>
      </c>
      <c r="F15" s="5" t="n"/>
    </row>
    <row r="16">
      <c r="A16" s="5" t="inlineStr">
        <is>
          <t>Tare Houses Hotel</t>
        </is>
      </c>
      <c r="B16" s="9" t="inlineStr">
        <is>
          <t>403</t>
        </is>
      </c>
      <c r="C16" s="5" t="n">
        <v>4</v>
      </c>
      <c r="D16" s="5" t="inlineStr">
        <is>
          <t>X3</t>
        </is>
      </c>
      <c r="E16" s="5" t="inlineStr">
        <is>
          <t>Evet</t>
        </is>
      </c>
      <c r="F16" s="5" t="n"/>
    </row>
    <row r="17">
      <c r="A17" s="5" t="inlineStr">
        <is>
          <t>Tare Houses Hotel</t>
        </is>
      </c>
      <c r="B17" s="9" t="inlineStr">
        <is>
          <t>404</t>
        </is>
      </c>
      <c r="C17" s="5" t="n">
        <v>4</v>
      </c>
      <c r="D17" s="5" t="inlineStr">
        <is>
          <t>X4</t>
        </is>
      </c>
      <c r="E17" s="5" t="inlineStr">
        <is>
          <t>Evet</t>
        </is>
      </c>
      <c r="F17" s="5" t="n"/>
    </row>
    <row r="18">
      <c r="A18" s="5" t="inlineStr">
        <is>
          <t>Tare Houses Hotel</t>
        </is>
      </c>
      <c r="B18" s="9" t="inlineStr">
        <is>
          <t>501</t>
        </is>
      </c>
      <c r="C18" s="5" t="n">
        <v>5</v>
      </c>
      <c r="D18" s="5" t="inlineStr">
        <is>
          <t>PH</t>
        </is>
      </c>
      <c r="E18" s="5" t="inlineStr">
        <is>
          <t>Evet</t>
        </is>
      </c>
      <c r="F18" s="5" t="n"/>
    </row>
    <row r="19">
      <c r="A19" s="5" t="inlineStr">
        <is>
          <t>Tare Suites Beşiktaş</t>
        </is>
      </c>
      <c r="B19" s="9" t="inlineStr">
        <is>
          <t>101</t>
        </is>
      </c>
      <c r="C19" s="5" t="n">
        <v>1</v>
      </c>
      <c r="D19" s="5" t="inlineStr">
        <is>
          <t>BGS</t>
        </is>
      </c>
      <c r="E19" s="5" t="inlineStr">
        <is>
          <t>Evet</t>
        </is>
      </c>
      <c r="F19" s="5" t="n"/>
    </row>
    <row r="20">
      <c r="A20" s="5" t="inlineStr">
        <is>
          <t>Tare Suites Beşiktaş</t>
        </is>
      </c>
      <c r="B20" s="9" t="inlineStr">
        <is>
          <t>201</t>
        </is>
      </c>
      <c r="C20" s="5" t="n">
        <v>2</v>
      </c>
      <c r="D20" s="5" t="inlineStr">
        <is>
          <t>BSAB</t>
        </is>
      </c>
      <c r="E20" s="5" t="inlineStr">
        <is>
          <t>Evet</t>
        </is>
      </c>
      <c r="F20" s="5" t="n"/>
    </row>
    <row r="21">
      <c r="A21" s="5" t="inlineStr">
        <is>
          <t>Tare Suites Beşiktaş</t>
        </is>
      </c>
      <c r="B21" s="9" t="inlineStr">
        <is>
          <t>202</t>
        </is>
      </c>
      <c r="C21" s="5" t="n">
        <v>2</v>
      </c>
      <c r="D21" s="5" t="inlineStr">
        <is>
          <t>BSA</t>
        </is>
      </c>
      <c r="E21" s="5" t="inlineStr">
        <is>
          <t>Evet</t>
        </is>
      </c>
      <c r="F21" s="5" t="n"/>
    </row>
    <row r="22">
      <c r="A22" s="5" t="inlineStr">
        <is>
          <t>Tare Suites Beşiktaş</t>
        </is>
      </c>
      <c r="B22" s="9" t="inlineStr">
        <is>
          <t>301</t>
        </is>
      </c>
      <c r="C22" s="5" t="n">
        <v>3</v>
      </c>
      <c r="D22" s="5" t="inlineStr">
        <is>
          <t>BSAB</t>
        </is>
      </c>
      <c r="E22" s="5" t="inlineStr">
        <is>
          <t>Evet</t>
        </is>
      </c>
      <c r="F22" s="5" t="n"/>
    </row>
    <row r="23">
      <c r="A23" s="5" t="inlineStr">
        <is>
          <t>Tare Suites Beşiktaş</t>
        </is>
      </c>
      <c r="B23" s="9" t="inlineStr">
        <is>
          <t>302</t>
        </is>
      </c>
      <c r="C23" s="5" t="n">
        <v>3</v>
      </c>
      <c r="D23" s="5" t="inlineStr">
        <is>
          <t>BSA</t>
        </is>
      </c>
      <c r="E23" s="5" t="inlineStr">
        <is>
          <t>Evet</t>
        </is>
      </c>
      <c r="F23" s="5" t="n"/>
    </row>
    <row r="24">
      <c r="A24" s="5" t="inlineStr">
        <is>
          <t>Tare Suites Urla</t>
        </is>
      </c>
      <c r="B24" s="9" t="inlineStr">
        <is>
          <t>101</t>
        </is>
      </c>
      <c r="C24" s="5" t="n">
        <v>1</v>
      </c>
      <c r="D24" s="5" t="inlineStr">
        <is>
          <t>EDR</t>
        </is>
      </c>
      <c r="E24" s="5" t="inlineStr">
        <is>
          <t>Evet</t>
        </is>
      </c>
      <c r="F24" s="5" t="n"/>
    </row>
    <row r="25">
      <c r="A25" s="5" t="inlineStr">
        <is>
          <t>Tare Suites Urla</t>
        </is>
      </c>
      <c r="B25" s="9" t="inlineStr">
        <is>
          <t>102</t>
        </is>
      </c>
      <c r="C25" s="5" t="n">
        <v>1</v>
      </c>
      <c r="D25" s="5" t="inlineStr">
        <is>
          <t>EDR</t>
        </is>
      </c>
      <c r="E25" s="5" t="inlineStr">
        <is>
          <t>Evet</t>
        </is>
      </c>
      <c r="F25" s="5" t="n"/>
    </row>
    <row r="26">
      <c r="A26" s="5" t="inlineStr">
        <is>
          <t>Tare Suites Urla</t>
        </is>
      </c>
      <c r="B26" s="9" t="inlineStr">
        <is>
          <t>201</t>
        </is>
      </c>
      <c r="C26" s="5" t="n">
        <v>2</v>
      </c>
      <c r="D26" s="5" t="inlineStr">
        <is>
          <t>DSSW</t>
        </is>
      </c>
      <c r="E26" s="5" t="inlineStr">
        <is>
          <t>Evet</t>
        </is>
      </c>
      <c r="F26" s="5" t="n"/>
    </row>
    <row r="27">
      <c r="A27" s="5" t="inlineStr">
        <is>
          <t>Tare Suites Urla</t>
        </is>
      </c>
      <c r="B27" s="9" t="inlineStr">
        <is>
          <t>202</t>
        </is>
      </c>
      <c r="C27" s="5" t="n">
        <v>2</v>
      </c>
      <c r="D27" s="5" t="inlineStr">
        <is>
          <t>EDR</t>
        </is>
      </c>
      <c r="E27" s="5" t="inlineStr">
        <is>
          <t>Evet</t>
        </is>
      </c>
      <c r="F27" s="5" t="n"/>
    </row>
    <row r="28">
      <c r="A28" s="5" t="inlineStr">
        <is>
          <t>Tare Suites Urla</t>
        </is>
      </c>
      <c r="B28" s="9" t="inlineStr">
        <is>
          <t>203</t>
        </is>
      </c>
      <c r="C28" s="5" t="n">
        <v>2</v>
      </c>
      <c r="D28" s="5" t="inlineStr">
        <is>
          <t>EXSB</t>
        </is>
      </c>
      <c r="E28" s="5" t="inlineStr">
        <is>
          <t>Evet</t>
        </is>
      </c>
      <c r="F28" s="5" t="n"/>
    </row>
    <row r="29">
      <c r="A29" s="5" t="inlineStr">
        <is>
          <t>Tare Suites Urla</t>
        </is>
      </c>
      <c r="B29" s="9" t="inlineStr">
        <is>
          <t>204</t>
        </is>
      </c>
      <c r="C29" s="5" t="n">
        <v>2</v>
      </c>
      <c r="D29" s="5" t="inlineStr">
        <is>
          <t>DS</t>
        </is>
      </c>
      <c r="E29" s="5" t="inlineStr">
        <is>
          <t>Evet</t>
        </is>
      </c>
      <c r="F29" s="5" t="n"/>
    </row>
    <row r="30">
      <c r="A30" s="5" t="inlineStr">
        <is>
          <t>Tare Suites Urla</t>
        </is>
      </c>
      <c r="B30" s="9" t="inlineStr">
        <is>
          <t>301</t>
        </is>
      </c>
      <c r="C30" s="5" t="n">
        <v>3</v>
      </c>
      <c r="D30" s="5" t="inlineStr">
        <is>
          <t>DSSW</t>
        </is>
      </c>
      <c r="E30" s="5" t="inlineStr">
        <is>
          <t>Evet</t>
        </is>
      </c>
      <c r="F30" s="5" t="n"/>
    </row>
    <row r="31">
      <c r="A31" s="5" t="inlineStr">
        <is>
          <t>Tare Suites Urla</t>
        </is>
      </c>
      <c r="B31" s="9" t="inlineStr">
        <is>
          <t>302</t>
        </is>
      </c>
      <c r="C31" s="5" t="n">
        <v>3</v>
      </c>
      <c r="D31" s="5" t="inlineStr">
        <is>
          <t>EXSB</t>
        </is>
      </c>
      <c r="E31" s="5" t="inlineStr">
        <is>
          <t>Evet</t>
        </is>
      </c>
      <c r="F31" s="5" t="n"/>
    </row>
    <row r="32">
      <c r="A32" s="5" t="inlineStr">
        <is>
          <t>Tare Suites Urla</t>
        </is>
      </c>
      <c r="B32" s="9" t="inlineStr">
        <is>
          <t>303</t>
        </is>
      </c>
      <c r="C32" s="5" t="n">
        <v>3</v>
      </c>
      <c r="D32" s="5" t="inlineStr">
        <is>
          <t>DFS</t>
        </is>
      </c>
      <c r="E32" s="5" t="inlineStr">
        <is>
          <t>Evet</t>
        </is>
      </c>
      <c r="F32" s="5" t="n"/>
    </row>
    <row r="33">
      <c r="A33" s="5" t="inlineStr">
        <is>
          <t>Tare Suites Urla</t>
        </is>
      </c>
      <c r="B33" s="9" t="inlineStr">
        <is>
          <t>304</t>
        </is>
      </c>
      <c r="C33" s="5" t="n">
        <v>3</v>
      </c>
      <c r="D33" s="5" t="inlineStr">
        <is>
          <t>DS</t>
        </is>
      </c>
      <c r="E33" s="5" t="inlineStr">
        <is>
          <t>Evet</t>
        </is>
      </c>
      <c r="F33" s="5" t="n"/>
    </row>
    <row r="34">
      <c r="A34" s="5" t="inlineStr">
        <is>
          <t>Tare Village Urla</t>
        </is>
      </c>
      <c r="B34" s="9" t="inlineStr">
        <is>
          <t>101</t>
        </is>
      </c>
      <c r="C34" s="5" t="n">
        <v>1</v>
      </c>
      <c r="D34" s="5" t="inlineStr">
        <is>
          <t>VGS</t>
        </is>
      </c>
      <c r="E34" s="5" t="inlineStr">
        <is>
          <t>Evet</t>
        </is>
      </c>
      <c r="F34" s="5" t="inlineStr">
        <is>
          <t>Eski kod V1</t>
        </is>
      </c>
    </row>
    <row r="35">
      <c r="A35" s="5" t="inlineStr">
        <is>
          <t>Tare Village Urla</t>
        </is>
      </c>
      <c r="B35" s="9" t="inlineStr">
        <is>
          <t>201</t>
        </is>
      </c>
      <c r="C35" s="5" t="n">
        <v>2</v>
      </c>
      <c r="D35" s="5" t="inlineStr">
        <is>
          <t>VBS</t>
        </is>
      </c>
      <c r="E35" s="5" t="inlineStr">
        <is>
          <t>Evet</t>
        </is>
      </c>
      <c r="F35" s="5" t="inlineStr">
        <is>
          <t>Eski kod V2</t>
        </is>
      </c>
    </row>
    <row r="36">
      <c r="A36" s="5" t="inlineStr">
        <is>
          <t>Tare Village Urla</t>
        </is>
      </c>
      <c r="B36" s="9" t="inlineStr">
        <is>
          <t>202</t>
        </is>
      </c>
      <c r="C36" s="5" t="n">
        <v>2</v>
      </c>
      <c r="D36" s="5" t="inlineStr">
        <is>
          <t>VSS</t>
        </is>
      </c>
      <c r="E36" s="5" t="inlineStr">
        <is>
          <t>Evet</t>
        </is>
      </c>
      <c r="F36" s="5" t="inlineStr">
        <is>
          <t>Eski kod V3</t>
        </is>
      </c>
    </row>
    <row r="37">
      <c r="A37" s="5" t="inlineStr">
        <is>
          <t>Tare Village Urla</t>
        </is>
      </c>
      <c r="B37" s="9" t="inlineStr">
        <is>
          <t>301</t>
        </is>
      </c>
      <c r="C37" s="5" t="n">
        <v>3</v>
      </c>
      <c r="D37" s="5" t="inlineStr">
        <is>
          <t>VTS</t>
        </is>
      </c>
      <c r="E37" s="5" t="inlineStr">
        <is>
          <t>Evet</t>
        </is>
      </c>
      <c r="F37" s="5" t="inlineStr">
        <is>
          <t>Eski kod V4</t>
        </is>
      </c>
    </row>
    <row r="38">
      <c r="A38" s="5" t="inlineStr">
        <is>
          <t>Tiny Houses</t>
        </is>
      </c>
      <c r="B38" s="9" t="inlineStr">
        <is>
          <t>T1</t>
        </is>
      </c>
      <c r="C38" s="5" t="n">
        <v>1</v>
      </c>
      <c r="D38" s="5" t="inlineStr">
        <is>
          <t>TNY</t>
        </is>
      </c>
      <c r="E38" s="5" t="inlineStr">
        <is>
          <t>Evet</t>
        </is>
      </c>
      <c r="F38" s="5" t="n"/>
    </row>
    <row r="39">
      <c r="A39" s="5" t="inlineStr">
        <is>
          <t>Tiny Houses</t>
        </is>
      </c>
      <c r="B39" s="9" t="inlineStr">
        <is>
          <t>T2</t>
        </is>
      </c>
      <c r="C39" s="5" t="n">
        <v>1</v>
      </c>
      <c r="D39" s="5" t="inlineStr">
        <is>
          <t>TNY</t>
        </is>
      </c>
      <c r="E39" s="5" t="inlineStr">
        <is>
          <t>Evet</t>
        </is>
      </c>
      <c r="F39" s="5" t="n"/>
    </row>
    <row r="40">
      <c r="A40" s="5" t="inlineStr">
        <is>
          <t>Tiny Houses</t>
        </is>
      </c>
      <c r="B40" s="9" t="inlineStr">
        <is>
          <t>T3</t>
        </is>
      </c>
      <c r="C40" s="5" t="n">
        <v>1</v>
      </c>
      <c r="D40" s="5" t="inlineStr">
        <is>
          <t>TNY</t>
        </is>
      </c>
      <c r="E40" s="5" t="inlineStr">
        <is>
          <t>Evet</t>
        </is>
      </c>
      <c r="F40" s="5" t="n"/>
    </row>
    <row r="41">
      <c r="A41" s="5" t="inlineStr">
        <is>
          <t>Tiny Houses</t>
        </is>
      </c>
      <c r="B41" s="9" t="inlineStr">
        <is>
          <t>T4</t>
        </is>
      </c>
      <c r="C41" s="5" t="n">
        <v>1</v>
      </c>
      <c r="D41" s="5" t="inlineStr">
        <is>
          <t>TNY</t>
        </is>
      </c>
      <c r="E41" s="5" t="inlineStr">
        <is>
          <t>Evet</t>
        </is>
      </c>
      <c r="F41" s="5" t="n"/>
    </row>
  </sheetData>
  <dataValidations count="1">
    <dataValidation sqref="E2:E200" showDropDown="0" showInputMessage="0" showErrorMessage="0" allowBlank="1" type="list">
      <formula1>"Evet,Hayır"</formula1>
    </dataValidation>
  </dataValidations>
  <pageMargins left="0.75" right="0.75" top="1" bottom="1" header="0.5" footer="0.5"/>
  <headerFooter>
    <oddHeader/>
    <oddFooter>&amp;C&amp;"Aptos"&amp;6 &amp;K626469_x000d_# General</oddFooter>
    <evenHeader/>
    <evenFooter/>
    <firstHeader/>
    <firstFooter/>
  </headerFooter>
  <extLst>
    <ext xmlns:x14="http://schemas.microsoft.com/office/spreadsheetml/2009/9/main" uri="{CCE6A557-97BC-4b89-ADB6-D9C93CAAB3DF}">
      <x14:dataValidations xmlns:xm="http://schemas.microsoft.com/office/excel/2006/main" count="2">
        <x14:dataValidation type="list" allowBlank="1">
          <x14:formula1>
            <xm:f>Oteller!$A$2:$A$30</xm:f>
          </x14:formula1>
          <xm:sqref>A2:A200</xm:sqref>
        </x14:dataValidation>
        <x14:dataValidation type="list" allowBlank="1">
          <x14:formula1>
            <xm:f>'Oda Tipleri'!$A$2:$A$40</xm:f>
          </x14:formula1>
          <xm:sqref>D2:D200</xm:sqref>
        </x14:dataValidation>
      </x14:dataValidations>
    </ext>
  </extLst>
</worksheet>
</file>

<file path=xl/worksheets/sheet6.xml><?xml version="1.0" encoding="utf-8"?>
<worksheet xmlns="http://schemas.openxmlformats.org/spreadsheetml/2006/main">
  <sheetPr>
    <outlinePr summaryBelow="1" summaryRight="1"/>
    <pageSetUpPr/>
  </sheetPr>
  <dimension ref="A1:L259"/>
  <sheetViews>
    <sheetView workbookViewId="0">
      <pane ySplit="1" topLeftCell="A2" activePane="bottomLeft" state="frozen"/>
      <selection pane="bottomLeft" activeCell="A1" sqref="A1"/>
    </sheetView>
  </sheetViews>
  <sheetFormatPr baseColWidth="8" defaultRowHeight="14.4"/>
  <cols>
    <col width="10" customWidth="1" min="1" max="1"/>
    <col width="6" customWidth="1" min="2" max="2"/>
    <col width="9" customWidth="1" min="3" max="3"/>
    <col width="26" customWidth="1" min="4" max="4"/>
    <col width="50" customWidth="1" min="5" max="5"/>
    <col width="55" customWidth="1" min="6" max="6"/>
    <col width="8" customWidth="1" min="7" max="7"/>
    <col width="11" customWidth="1" min="8" max="8"/>
    <col width="8" customWidth="1" min="9" max="10"/>
  </cols>
  <sheetData>
    <row r="1" ht="30" customHeight="1">
      <c r="A1" s="4" t="inlineStr">
        <is>
          <t>Oda Tipi Kodu</t>
        </is>
      </c>
      <c r="B1" s="4" t="inlineStr">
        <is>
          <t>Sıra</t>
        </is>
      </c>
      <c r="C1" s="4" t="inlineStr">
        <is>
          <t>Bölge</t>
        </is>
      </c>
      <c r="D1" s="4" t="inlineStr">
        <is>
          <t>Adım Adı</t>
        </is>
      </c>
      <c r="E1" s="4" t="inlineStr">
        <is>
          <t>Çekim Talimatı</t>
        </is>
      </c>
      <c r="F1" s="4" t="inlineStr">
        <is>
          <t>Kontrol Maddeleri (her satır bir madde)</t>
        </is>
      </c>
      <c r="G1" s="4" t="inlineStr">
        <is>
          <t>Çıkışta</t>
        </is>
      </c>
      <c r="H1" s="4" t="inlineStr">
        <is>
          <t>Konaklamada</t>
        </is>
      </c>
      <c r="I1" s="4" t="inlineStr">
        <is>
          <t>Fener Gerekli</t>
        </is>
      </c>
      <c r="J1" s="4" t="inlineStr">
        <is>
          <t>Zorunlu</t>
        </is>
      </c>
      <c r="K1" s="4" t="inlineStr">
        <is>
          <t>Kare Sayısı</t>
        </is>
      </c>
      <c r="L1" s="4" t="inlineStr">
        <is>
          <t>AI Talimatı</t>
        </is>
      </c>
    </row>
    <row r="2" ht="52.8" customHeight="1">
      <c r="A2" s="5" t="inlineStr">
        <is>
          <t>X4</t>
        </is>
      </c>
      <c r="B2" s="5" t="n">
        <v>1</v>
      </c>
      <c r="C2" s="5" t="inlineStr">
        <is>
          <t>Giriş</t>
        </is>
      </c>
      <c r="D2" s="5" t="inlineStr">
        <is>
          <t>Giriş ve kapı</t>
        </is>
      </c>
      <c r="E2" s="5" t="inlineStr">
        <is>
          <t>Kapıdan girip girişi ve koridoru tek karede çek. Tüm ışıklar açık olsun.</t>
        </is>
      </c>
      <c r="F2" s="5" t="inlineStr">
        <is>
          <t>Kapı ve şifreli kilit çalışıyor
Süpürgelik ve duvar dipleri tozsuz
Aplikler yanıyor
Zeminde leke, saç, kum yok</t>
        </is>
      </c>
      <c r="G2" s="5" t="inlineStr">
        <is>
          <t>Evet</t>
        </is>
      </c>
      <c r="H2" s="5" t="inlineStr">
        <is>
          <t>Evet</t>
        </is>
      </c>
      <c r="I2" s="5" t="inlineStr">
        <is>
          <t>Hayır</t>
        </is>
      </c>
      <c r="K2" s="5" t="n">
        <v>1</v>
      </c>
      <c r="L2" s="5" t="inlineStr">
        <is>
          <t>Zeminde görünür kir, saç, çöp var mı? Yanmayan lamba var mı? Konaklama kontrolündeysen misafir eşyalarını değerlendirme.</t>
        </is>
      </c>
    </row>
    <row r="3" ht="79.2" customHeight="1">
      <c r="A3" s="5" t="inlineStr">
        <is>
          <t>X4</t>
        </is>
      </c>
      <c r="B3" s="5" t="n">
        <v>2</v>
      </c>
      <c r="C3" s="5" t="inlineStr">
        <is>
          <t>Banyo</t>
        </is>
      </c>
      <c r="D3" s="5" t="inlineStr">
        <is>
          <t>Lavabo ve ayna</t>
        </is>
      </c>
      <c r="E3" s="5" t="inlineStr">
        <is>
          <t>Lavabo, batarya, ayna ve havlu rafı aynı karede olacak şekilde çek.</t>
        </is>
      </c>
      <c r="F3" s="5" t="inlineStr">
        <is>
          <t>Lavabo içi ve gider temiz
Batarya parlak, su lekesi yok
Sıvı sabun dolu
Ayna lekesiz
Havlular katlı ve tam</t>
        </is>
      </c>
      <c r="G3" s="5" t="inlineStr">
        <is>
          <t>Evet</t>
        </is>
      </c>
      <c r="H3" s="5" t="inlineStr">
        <is>
          <t>Evet</t>
        </is>
      </c>
      <c r="I3" s="5" t="inlineStr">
        <is>
          <t>Hayır</t>
        </is>
      </c>
      <c r="K3" s="5" t="n">
        <v>1</v>
      </c>
      <c r="L3" s="5" t="inlineStr">
        <is>
          <t>Lavaboda kıl, sabun kalıntısı, su lekesi var mı? Aynada leke var mı? Havlular düzgün katlı mı? Konaklama kontrolündeysen misafir eşyalarını değerlendirme.</t>
        </is>
      </c>
    </row>
    <row r="4" ht="66" customHeight="1">
      <c r="A4" s="5" t="inlineStr">
        <is>
          <t>X4</t>
        </is>
      </c>
      <c r="B4" s="5" t="n">
        <v>3</v>
      </c>
      <c r="C4" s="5" t="inlineStr">
        <is>
          <t>Banyo</t>
        </is>
      </c>
      <c r="D4" s="5" t="inlineStr">
        <is>
          <t>WC</t>
        </is>
      </c>
      <c r="E4" s="5" t="inlineStr">
        <is>
          <t>Klozet kapağı açık, tuvalet kağıdı ve yedek rulo görünecek şekilde çek.</t>
        </is>
      </c>
      <c r="F4" s="5" t="inlineStr">
        <is>
          <t>Klozet içi, kapak altı ve dış yüzey temiz
WC fırçası temiz
Tuvalet kağıdı takılı + yedek rulo
Çöp kovası boş, poşet yeni</t>
        </is>
      </c>
      <c r="G4" s="5" t="inlineStr">
        <is>
          <t>Evet</t>
        </is>
      </c>
      <c r="H4" s="5" t="inlineStr">
        <is>
          <t>Evet</t>
        </is>
      </c>
      <c r="I4" s="5" t="inlineStr">
        <is>
          <t>Hayır</t>
        </is>
      </c>
      <c r="K4" s="5" t="n">
        <v>1</v>
      </c>
      <c r="L4" s="5" t="inlineStr">
        <is>
          <t>Klozet içinde veya kapakta leke/kir var mı? Tuvalet kağıdı ve yedek rulo var mı? Çöp kovası boş mu?</t>
        </is>
      </c>
    </row>
    <row r="5" ht="66" customHeight="1">
      <c r="A5" s="5" t="inlineStr">
        <is>
          <t>X4</t>
        </is>
      </c>
      <c r="B5" s="5" t="n">
        <v>4</v>
      </c>
      <c r="C5" s="5" t="inlineStr">
        <is>
          <t>Banyo</t>
        </is>
      </c>
      <c r="D5" s="5" t="inlineStr">
        <is>
          <t>Duş</t>
        </is>
      </c>
      <c r="E5" s="5" t="inlineStr">
        <is>
          <t>Duş camını ışığa karşı çek (kireç böyle görünür); dispenserler ve gider görünsün.</t>
        </is>
      </c>
      <c r="F5" s="5" t="inlineStr">
        <is>
          <t>Camda kireç ve su lekesi yok
Duş seti askıda
Şampuan/duş jeli dolu
Giderde saç yok</t>
        </is>
      </c>
      <c r="G5" s="5" t="inlineStr">
        <is>
          <t>Evet</t>
        </is>
      </c>
      <c r="H5" s="5" t="inlineStr">
        <is>
          <t>Evet</t>
        </is>
      </c>
      <c r="I5" s="5" t="inlineStr">
        <is>
          <t>Hayır</t>
        </is>
      </c>
      <c r="K5" s="5" t="n">
        <v>1</v>
      </c>
      <c r="L5" s="5" t="inlineStr">
        <is>
          <t>Duş camında kireç/su lekesi, giderde saç, zeminde kir var mı? Konaklama kontrolündeysen misafir eşyalarını değerlendirme.</t>
        </is>
      </c>
    </row>
    <row r="6" ht="52.8" customHeight="1">
      <c r="A6" s="5" t="inlineStr">
        <is>
          <t>X4</t>
        </is>
      </c>
      <c r="B6" s="5" t="n">
        <v>5</v>
      </c>
      <c r="C6" s="5" t="inlineStr">
        <is>
          <t>Oda</t>
        </is>
      </c>
      <c r="D6" s="5" t="inlineStr">
        <is>
          <t>Gardırop</t>
        </is>
      </c>
      <c r="E6" s="5" t="inlineStr">
        <is>
          <t>Kapakları aç, askıları ve rafları tek karede çek. İçerisi karanlıksa feneri aç.</t>
        </is>
      </c>
      <c r="F6" s="5" t="inlineStr">
        <is>
          <t>Askılar tam
Yedek battaniye/yastık katlı
Unutulmuş eşya yok</t>
        </is>
      </c>
      <c r="G6" s="5" t="inlineStr">
        <is>
          <t>Evet</t>
        </is>
      </c>
      <c r="H6" s="5" t="inlineStr">
        <is>
          <t>Hayır</t>
        </is>
      </c>
      <c r="I6" s="5" t="inlineStr">
        <is>
          <t>Evet</t>
        </is>
      </c>
      <c r="K6" s="5" t="n">
        <v>1</v>
      </c>
      <c r="L6" s="5" t="inlineStr">
        <is>
          <t>Gardıropta unutulmuş eşya, çöp var mı? Askılar düzenli mi?</t>
        </is>
      </c>
    </row>
    <row r="7" ht="92.40000000000001" customHeight="1">
      <c r="A7" s="5" t="inlineStr">
        <is>
          <t>X4</t>
        </is>
      </c>
      <c r="B7" s="5" t="n">
        <v>6</v>
      </c>
      <c r="C7" s="5" t="inlineStr">
        <is>
          <t>Mutfak</t>
        </is>
      </c>
      <c r="D7" s="5" t="inlineStr">
        <is>
          <t>Mutfak tezgahı</t>
        </is>
      </c>
      <c r="E7" s="5" t="inlineStr">
        <is>
          <t>Tezgahın karşısından ocak, evye, kettle ve bulaşıklık tek karede olacak şekilde çek.</t>
        </is>
      </c>
      <c r="F7" s="5" t="inlineStr">
        <is>
          <t>Ocak temiz
Evye ve batarya temiz
Sünger ve fırça temiz
Bulaşıklık boş ve kuru
Kettle boş, kablosu toplanmış
Tuz-biber-yağ dolu
Çöp kovası boş</t>
        </is>
      </c>
      <c r="G7" s="5" t="inlineStr">
        <is>
          <t>Evet</t>
        </is>
      </c>
      <c r="H7" s="5" t="inlineStr">
        <is>
          <t>Evet</t>
        </is>
      </c>
      <c r="I7" s="5" t="inlineStr">
        <is>
          <t>Hayır</t>
        </is>
      </c>
      <c r="K7" s="5" t="n">
        <v>1</v>
      </c>
      <c r="L7" s="5" t="inlineStr">
        <is>
          <t>Tezgahta, ocakta, evyede kir, yağ, kırıntı veya bulaşık var mı? Çöp dolu mu? Konaklama kontrolündeysen misafir eşyalarını değerlendirme.</t>
        </is>
      </c>
    </row>
    <row r="8" ht="52.8" customHeight="1">
      <c r="A8" s="5" t="inlineStr">
        <is>
          <t>X4</t>
        </is>
      </c>
      <c r="B8" s="5" t="n">
        <v>7</v>
      </c>
      <c r="C8" s="5" t="inlineStr">
        <is>
          <t>Mutfak</t>
        </is>
      </c>
      <c r="D8" s="5" t="inlineStr">
        <is>
          <t>Çekmeceler</t>
        </is>
      </c>
      <c r="E8" s="5" t="inlineStr">
        <is>
          <t>Çekmeceleri sırayla aç, feneri aç ve her birini tam üstten çek.</t>
        </is>
      </c>
      <c r="F8" s="5" t="inlineStr">
        <is>
          <t>Çatal, kaşık, bıçak tam
Servis gereçleri yerinde
Çekmece içleri kırıntısız</t>
        </is>
      </c>
      <c r="G8" s="5" t="inlineStr">
        <is>
          <t>Evet</t>
        </is>
      </c>
      <c r="H8" s="5" t="inlineStr">
        <is>
          <t>Hayır</t>
        </is>
      </c>
      <c r="I8" s="5" t="inlineStr">
        <is>
          <t>Evet</t>
        </is>
      </c>
      <c r="K8" s="5" t="n">
        <v>2</v>
      </c>
      <c r="L8" s="5" t="inlineStr">
        <is>
          <t>Çekmece içinde kırıntı, kir, yerinden oynamış eşya var mı?</t>
        </is>
      </c>
    </row>
    <row r="9" ht="26.4" customHeight="1">
      <c r="A9" s="5" t="inlineStr">
        <is>
          <t>X4</t>
        </is>
      </c>
      <c r="B9" s="5" t="n">
        <v>8</v>
      </c>
      <c r="C9" s="5" t="inlineStr">
        <is>
          <t>Mutfak</t>
        </is>
      </c>
      <c r="D9" s="5" t="inlineStr">
        <is>
          <t>Dolaplar: tabak, bardak, tencere</t>
        </is>
      </c>
      <c r="E9" s="5" t="inlineStr">
        <is>
          <t>Üst ve alt dolapların kapaklarını aç, feneri aç; tabak, bardak ve tencereler görünsün.</t>
        </is>
      </c>
      <c r="F9" s="5" t="inlineStr">
        <is>
          <t>Tabak, kase, bardak, kupa sayısı tam
Bardaklarda su lekesi, kupalarda çay/kahve izi yok
Tencere ve tavalar temiz, kapaklı
Evye altında sızıntı yok</t>
        </is>
      </c>
      <c r="G9" s="5" t="inlineStr">
        <is>
          <t>Evet</t>
        </is>
      </c>
      <c r="H9" s="5" t="inlineStr">
        <is>
          <t>Hayır</t>
        </is>
      </c>
      <c r="I9" s="5" t="inlineStr">
        <is>
          <t>Evet</t>
        </is>
      </c>
      <c r="K9" s="5" t="n">
        <v>2</v>
      </c>
      <c r="L9" s="5" t="inlineStr">
        <is>
          <t>Bardaklarda leke, tabaklarda iz/çatlak, tencerelerde yemek kalıntısı var mı?</t>
        </is>
      </c>
    </row>
    <row r="10" ht="26.4" customHeight="1">
      <c r="A10" s="5" t="inlineStr">
        <is>
          <t>X4</t>
        </is>
      </c>
      <c r="B10" s="5" t="n">
        <v>9</v>
      </c>
      <c r="C10" s="5" t="inlineStr">
        <is>
          <t>Mutfak</t>
        </is>
      </c>
      <c r="D10" s="5" t="inlineStr">
        <is>
          <t>Buzdolabı</t>
        </is>
      </c>
      <c r="E10" s="5" t="inlineStr">
        <is>
          <t>Kapağı tamamen aç; içi ve kapak rafları görünsün.</t>
        </is>
      </c>
      <c r="F10" s="5" t="inlineStr">
        <is>
          <t>Raflar temiz
Unutulmuş yiyecek yok
Koku ve buzlanma yok</t>
        </is>
      </c>
      <c r="G10" s="5" t="inlineStr">
        <is>
          <t>Evet</t>
        </is>
      </c>
      <c r="H10" s="5" t="inlineStr">
        <is>
          <t>Hayır</t>
        </is>
      </c>
      <c r="I10" s="5" t="inlineStr">
        <is>
          <t>Hayır</t>
        </is>
      </c>
      <c r="K10" s="5" t="n">
        <v>1</v>
      </c>
      <c r="L10" s="5" t="inlineStr">
        <is>
          <t>Buzdolabında yiyecek kalıntısı, leke, buzlanma var mı?</t>
        </is>
      </c>
    </row>
    <row r="11" ht="39.6" customHeight="1">
      <c r="A11" s="5" t="inlineStr">
        <is>
          <t>X4</t>
        </is>
      </c>
      <c r="B11" s="5" t="n">
        <v>10</v>
      </c>
      <c r="C11" s="5" t="inlineStr">
        <is>
          <t>Oda</t>
        </is>
      </c>
      <c r="D11" s="5" t="inlineStr">
        <is>
          <t>TV ve ünite</t>
        </is>
      </c>
      <c r="E11" s="5" t="inlineStr">
        <is>
          <t>TV ve ünite raflarını önden çek.</t>
        </is>
      </c>
      <c r="F11" s="5" t="inlineStr">
        <is>
          <t>TV ekranı tozsuz
Ünite rafları tozsuz
Kumandalar yerinde</t>
        </is>
      </c>
      <c r="G11" s="5" t="inlineStr">
        <is>
          <t>Evet</t>
        </is>
      </c>
      <c r="H11" s="5" t="inlineStr">
        <is>
          <t>Evet</t>
        </is>
      </c>
      <c r="I11" s="5" t="inlineStr">
        <is>
          <t>Hayır</t>
        </is>
      </c>
      <c r="K11" s="5" t="n">
        <v>1</v>
      </c>
      <c r="L11" s="5" t="inlineStr">
        <is>
          <t>TV ve raflarda toz, leke var mı? Konaklama kontrolündeysen misafir eşyalarını değerlendirme.</t>
        </is>
      </c>
    </row>
    <row r="12" ht="52.8" customHeight="1">
      <c r="A12" s="5" t="inlineStr">
        <is>
          <t>X4</t>
        </is>
      </c>
      <c r="B12" s="5" t="n">
        <v>11</v>
      </c>
      <c r="C12" s="5" t="inlineStr">
        <is>
          <t>Oda</t>
        </is>
      </c>
      <c r="D12" s="5" t="inlineStr">
        <is>
          <t>Oturma alanı ve masa</t>
        </is>
      </c>
      <c r="E12" s="5" t="inlineStr">
        <is>
          <t>Pencereye doğru geniş açıyla çek; masa, koltuklar ve kanepe görünsün.</t>
        </is>
      </c>
      <c r="F12" s="5" t="inlineStr">
        <is>
          <t>Perde ve tül düzgün
Masa temiz
Koltuk/kanepe temiz, minderler düzgün</t>
        </is>
      </c>
      <c r="G12" s="5" t="inlineStr">
        <is>
          <t>Evet</t>
        </is>
      </c>
      <c r="H12" s="5" t="inlineStr">
        <is>
          <t>Evet</t>
        </is>
      </c>
      <c r="I12" s="5" t="inlineStr">
        <is>
          <t>Hayır</t>
        </is>
      </c>
      <c r="K12" s="5" t="n">
        <v>1</v>
      </c>
      <c r="L12" s="5" t="inlineStr">
        <is>
          <t>Masada, koltuklarda kir, leke, unutulmuş eşya var mı? Konaklama kontrolündeysen misafir eşyalarını değerlendirme.</t>
        </is>
      </c>
    </row>
    <row r="13" ht="39.6" customHeight="1">
      <c r="A13" s="5" t="inlineStr">
        <is>
          <t>X4</t>
        </is>
      </c>
      <c r="B13" s="5" t="n">
        <v>12</v>
      </c>
      <c r="C13" s="5" t="inlineStr">
        <is>
          <t>Oda</t>
        </is>
      </c>
      <c r="D13" s="5" t="inlineStr">
        <is>
          <t>Yatak ve komodinler</t>
        </is>
      </c>
      <c r="E13" s="5" t="inlineStr">
        <is>
          <t>Yatağı ayak ucundan tamamı görünecek şekilde çek; ikinci karede yatak altını ve komodinleri çek.</t>
        </is>
      </c>
      <c r="F13" s="5" t="inlineStr">
        <is>
          <t>Çarşaf dört köşeden gergin
Yastıklar tam, kılıflar lekesiz
Yatak altında eşya/toz yok
Komodinler boş ve tozsuz</t>
        </is>
      </c>
      <c r="G13" s="5" t="inlineStr">
        <is>
          <t>Evet</t>
        </is>
      </c>
      <c r="H13" s="5" t="inlineStr">
        <is>
          <t>Evet</t>
        </is>
      </c>
      <c r="I13" s="5" t="inlineStr">
        <is>
          <t>Hayır</t>
        </is>
      </c>
      <c r="K13" s="5" t="n">
        <v>2</v>
      </c>
      <c r="L13" s="5" t="inlineStr">
        <is>
          <t>Çarşafta kırışık, leke, saç var mı? Yastıklar düzgün mü? Yatak altında eşya/toz var mı? Konaklama kontrolündeysen misafir eşyalarını değerlendirme.</t>
        </is>
      </c>
    </row>
    <row r="14" ht="39.6" customHeight="1">
      <c r="A14" s="5" t="inlineStr">
        <is>
          <t>X4</t>
        </is>
      </c>
      <c r="B14" s="5" t="n">
        <v>13</v>
      </c>
      <c r="C14" s="5" t="inlineStr">
        <is>
          <t>Oda</t>
        </is>
      </c>
      <c r="D14" s="5" t="inlineStr">
        <is>
          <t>Genel oda</t>
        </is>
      </c>
      <c r="E14" s="5" t="inlineStr">
        <is>
          <t>Kapı tarafından tüm odayı tek geniş karede çek. Tüm ışıklar açık.</t>
        </is>
      </c>
      <c r="F14" s="5" t="inlineStr">
        <is>
          <t>Klima çalışıyor
Çöp kovaları boş
Zemin temiz
Duvarda iz yok
Tüm aydınlatma yanıyor</t>
        </is>
      </c>
      <c r="G14" s="5" t="inlineStr">
        <is>
          <t>Evet</t>
        </is>
      </c>
      <c r="H14" s="5" t="inlineStr">
        <is>
          <t>Evet</t>
        </is>
      </c>
      <c r="I14" s="5" t="inlineStr">
        <is>
          <t>Hayır</t>
        </is>
      </c>
      <c r="K14" s="5" t="n">
        <v>1</v>
      </c>
      <c r="L14" s="5" t="inlineStr">
        <is>
          <t>Zeminde kir, çöp; yanmayan lamba; dağınıklık var mı? Konaklama kontrolündeysen misafir eşyalarını değerlendirme.</t>
        </is>
      </c>
    </row>
    <row r="15" ht="26.4" customHeight="1">
      <c r="A15" s="5" t="inlineStr">
        <is>
          <t>PH</t>
        </is>
      </c>
      <c r="B15" s="5" t="n">
        <v>1</v>
      </c>
      <c r="C15" s="5" t="inlineStr">
        <is>
          <t>Giriş</t>
        </is>
      </c>
      <c r="D15" s="5" t="inlineStr">
        <is>
          <t>Giriş ve kapı</t>
        </is>
      </c>
      <c r="E15" s="5" t="inlineStr">
        <is>
          <t>Kapıdan girip girişi ve koridoru tek karede çek. Tüm ışıklar açık olsun.</t>
        </is>
      </c>
      <c r="F15" s="5" t="inlineStr">
        <is>
          <t>Kapı ve şifreli kilit çalışıyor
Süpürgelik ve duvar dipleri tozsuz
Aplikler yanıyor
Zeminde leke, saç, kum yok</t>
        </is>
      </c>
      <c r="G15" s="5" t="inlineStr">
        <is>
          <t>Evet</t>
        </is>
      </c>
      <c r="H15" s="5" t="inlineStr">
        <is>
          <t>Evet</t>
        </is>
      </c>
      <c r="I15" s="5" t="inlineStr">
        <is>
          <t>Hayır</t>
        </is>
      </c>
      <c r="K15" s="5" t="n">
        <v>1</v>
      </c>
      <c r="L15" s="5" t="inlineStr">
        <is>
          <t>Zeminde görünür kir, saç, çöp var mı? Yanmayan lamba var mı? Konaklama kontrolündeysen misafir eşyalarını değerlendirme.</t>
        </is>
      </c>
    </row>
    <row r="16" ht="66" customHeight="1">
      <c r="A16" s="5" t="inlineStr">
        <is>
          <t>PH</t>
        </is>
      </c>
      <c r="B16" s="5" t="n">
        <v>2</v>
      </c>
      <c r="C16" s="5" t="inlineStr">
        <is>
          <t>Banyo</t>
        </is>
      </c>
      <c r="D16" s="5" t="inlineStr">
        <is>
          <t>Lavabo ve ayna</t>
        </is>
      </c>
      <c r="E16" s="5" t="inlineStr">
        <is>
          <t>Lavabo, batarya, ayna ve havlu rafı aynı karede olacak şekilde çek.</t>
        </is>
      </c>
      <c r="F16" s="5" t="inlineStr">
        <is>
          <t>Lavabo içi ve gider temiz
Batarya parlak, su lekesi yok
Sıvı sabun dolu
Ayna lekesiz
Havlular katlı ve tam
Bornozlar asılı</t>
        </is>
      </c>
      <c r="G16" s="5" t="inlineStr">
        <is>
          <t>Evet</t>
        </is>
      </c>
      <c r="H16" s="5" t="inlineStr">
        <is>
          <t>Evet</t>
        </is>
      </c>
      <c r="I16" s="5" t="inlineStr">
        <is>
          <t>Hayır</t>
        </is>
      </c>
      <c r="K16" s="5" t="n">
        <v>1</v>
      </c>
      <c r="L16" s="5" t="inlineStr">
        <is>
          <t>Lavaboda kıl, sabun kalıntısı, su lekesi var mı? Aynada leke var mı? Havlular düzgün katlı mı? Konaklama kontrolündeysen misafir eşyalarını değerlendirme.</t>
        </is>
      </c>
    </row>
    <row r="17" ht="66" customHeight="1">
      <c r="A17" s="5" t="inlineStr">
        <is>
          <t>PH</t>
        </is>
      </c>
      <c r="B17" s="5" t="n">
        <v>3</v>
      </c>
      <c r="C17" s="5" t="inlineStr">
        <is>
          <t>Banyo</t>
        </is>
      </c>
      <c r="D17" s="5" t="inlineStr">
        <is>
          <t>WC</t>
        </is>
      </c>
      <c r="E17" s="5" t="inlineStr">
        <is>
          <t>Klozet kapağı açık, tuvalet kağıdı ve yedek rulo görünecek şekilde çek.</t>
        </is>
      </c>
      <c r="F17" s="5" t="inlineStr">
        <is>
          <t>Klozet içi, kapak altı ve dış yüzey temiz
WC fırçası temiz
Tuvalet kağıdı takılı + yedek rulo
Çöp kovası boş, poşet yeni</t>
        </is>
      </c>
      <c r="G17" s="5" t="inlineStr">
        <is>
          <t>Evet</t>
        </is>
      </c>
      <c r="H17" s="5" t="inlineStr">
        <is>
          <t>Evet</t>
        </is>
      </c>
      <c r="I17" s="5" t="inlineStr">
        <is>
          <t>Hayır</t>
        </is>
      </c>
      <c r="K17" s="5" t="n">
        <v>1</v>
      </c>
      <c r="L17" s="5" t="inlineStr">
        <is>
          <t>Klozet içinde veya kapakta leke/kir var mı? Tuvalet kağıdı ve yedek rulo var mı? Çöp kovası boş mu?</t>
        </is>
      </c>
    </row>
    <row r="18" ht="66" customHeight="1">
      <c r="A18" s="5" t="inlineStr">
        <is>
          <t>PH</t>
        </is>
      </c>
      <c r="B18" s="5" t="n">
        <v>4</v>
      </c>
      <c r="C18" s="5" t="inlineStr">
        <is>
          <t>Banyo</t>
        </is>
      </c>
      <c r="D18" s="5" t="inlineStr">
        <is>
          <t>Duş</t>
        </is>
      </c>
      <c r="E18" s="5" t="inlineStr">
        <is>
          <t>Duş camını ışığa karşı çek (kireç böyle görünür); dispenserler ve gider görünsün.</t>
        </is>
      </c>
      <c r="F18" s="5" t="inlineStr">
        <is>
          <t>Camda kireç ve su lekesi yok
Duş seti askıda
Şampuan/duş jeli dolu
Giderde saç yok</t>
        </is>
      </c>
      <c r="G18" s="5" t="inlineStr">
        <is>
          <t>Evet</t>
        </is>
      </c>
      <c r="H18" s="5" t="inlineStr">
        <is>
          <t>Evet</t>
        </is>
      </c>
      <c r="I18" s="5" t="inlineStr">
        <is>
          <t>Hayır</t>
        </is>
      </c>
      <c r="K18" s="5" t="n">
        <v>1</v>
      </c>
      <c r="L18" s="5" t="inlineStr">
        <is>
          <t>Duş camında kireç/su lekesi, giderde saç, zeminde kir var mı? Konaklama kontrolündeysen misafir eşyalarını değerlendirme.</t>
        </is>
      </c>
    </row>
    <row r="19">
      <c r="A19" s="5" t="inlineStr">
        <is>
          <t>PH</t>
        </is>
      </c>
      <c r="B19" s="5" t="n">
        <v>5</v>
      </c>
      <c r="C19" s="5" t="inlineStr">
        <is>
          <t>Banyo</t>
        </is>
      </c>
      <c r="D19" s="5" t="inlineStr">
        <is>
          <t>Küvet</t>
        </is>
      </c>
      <c r="E19" s="5" t="inlineStr">
        <is>
          <t>Küveti üstten, gider ve batarya görünecek şekilde çek.</t>
        </is>
      </c>
      <c r="F19" s="5" t="inlineStr">
        <is>
          <t>Küvet içi temiz, kireç halkası yok
Giderde saç yok
Batarya parlak</t>
        </is>
      </c>
      <c r="G19" s="5" t="inlineStr">
        <is>
          <t>Evet</t>
        </is>
      </c>
      <c r="H19" s="5" t="inlineStr">
        <is>
          <t>Evet</t>
        </is>
      </c>
      <c r="I19" s="5" t="inlineStr">
        <is>
          <t>Hayır</t>
        </is>
      </c>
      <c r="K19" s="5" t="n">
        <v>1</v>
      </c>
      <c r="L19" s="5" t="inlineStr">
        <is>
          <t>Küvette kir halkası, saç, kireç var mı?</t>
        </is>
      </c>
    </row>
    <row r="20">
      <c r="A20" s="5" t="inlineStr">
        <is>
          <t>PH</t>
        </is>
      </c>
      <c r="B20" s="5" t="n">
        <v>6</v>
      </c>
      <c r="C20" s="5" t="inlineStr">
        <is>
          <t>Oda</t>
        </is>
      </c>
      <c r="D20" s="5" t="inlineStr">
        <is>
          <t>Gardırop</t>
        </is>
      </c>
      <c r="E20" s="5" t="inlineStr">
        <is>
          <t>Kapakları aç, askıları ve rafları tek karede çek. İçerisi karanlıksa feneri aç.</t>
        </is>
      </c>
      <c r="F20" s="5" t="inlineStr">
        <is>
          <t>Askılar tam
Yedek battaniye/yastık katlı
Unutulmuş eşya yok</t>
        </is>
      </c>
      <c r="G20" s="5" t="inlineStr">
        <is>
          <t>Evet</t>
        </is>
      </c>
      <c r="H20" s="5" t="inlineStr">
        <is>
          <t>Hayır</t>
        </is>
      </c>
      <c r="I20" s="5" t="inlineStr">
        <is>
          <t>Evet</t>
        </is>
      </c>
      <c r="K20" s="5" t="n">
        <v>1</v>
      </c>
      <c r="L20" s="5" t="inlineStr">
        <is>
          <t>Gardıropta unutulmuş eşya, çöp var mı? Askılar düzenli mi?</t>
        </is>
      </c>
    </row>
    <row r="21">
      <c r="A21" s="5" t="inlineStr">
        <is>
          <t>PH</t>
        </is>
      </c>
      <c r="B21" s="5" t="n">
        <v>7</v>
      </c>
      <c r="C21" s="5" t="inlineStr">
        <is>
          <t>Mutfak</t>
        </is>
      </c>
      <c r="D21" s="5" t="inlineStr">
        <is>
          <t>Mutfak tezgahı</t>
        </is>
      </c>
      <c r="E21" s="5" t="inlineStr">
        <is>
          <t>Tezgahın karşısından ocak, evye, kettle ve bulaşıklık tek karede olacak şekilde çek.</t>
        </is>
      </c>
      <c r="F21" s="5" t="inlineStr">
        <is>
          <t>Ocak temiz
Evye ve batarya temiz
Sünger ve fırça temiz
Bulaşıklık boş ve kuru
Kettle boş, kablosu toplanmış
Tuz-biber-yağ dolu
Çöp kovası boş</t>
        </is>
      </c>
      <c r="G21" s="5" t="inlineStr">
        <is>
          <t>Evet</t>
        </is>
      </c>
      <c r="H21" s="5" t="inlineStr">
        <is>
          <t>Evet</t>
        </is>
      </c>
      <c r="I21" s="5" t="inlineStr">
        <is>
          <t>Hayır</t>
        </is>
      </c>
      <c r="K21" s="5" t="n">
        <v>1</v>
      </c>
      <c r="L21" s="5" t="inlineStr">
        <is>
          <t>Tezgahta, ocakta, evyede kir, yağ, kırıntı veya bulaşık var mı? Çöp dolu mu? Konaklama kontrolündeysen misafir eşyalarını değerlendirme.</t>
        </is>
      </c>
    </row>
    <row r="22">
      <c r="A22" s="5" t="inlineStr">
        <is>
          <t>PH</t>
        </is>
      </c>
      <c r="B22" s="5" t="n">
        <v>8</v>
      </c>
      <c r="C22" s="5" t="inlineStr">
        <is>
          <t>Mutfak</t>
        </is>
      </c>
      <c r="D22" s="5" t="inlineStr">
        <is>
          <t>Çekmeceler</t>
        </is>
      </c>
      <c r="E22" s="5" t="inlineStr">
        <is>
          <t>Çekmeceleri sırayla aç, feneri aç ve her birini tam üstten çek.</t>
        </is>
      </c>
      <c r="F22" s="5" t="inlineStr">
        <is>
          <t>Çatal, kaşık, bıçak tam
Servis gereçleri yerinde
Çekmece içleri kırıntısız</t>
        </is>
      </c>
      <c r="G22" s="5" t="inlineStr">
        <is>
          <t>Evet</t>
        </is>
      </c>
      <c r="H22" s="5" t="inlineStr">
        <is>
          <t>Hayır</t>
        </is>
      </c>
      <c r="I22" s="5" t="inlineStr">
        <is>
          <t>Evet</t>
        </is>
      </c>
      <c r="K22" s="5" t="n">
        <v>2</v>
      </c>
      <c r="L22" s="5" t="inlineStr">
        <is>
          <t>Çekmece içinde kırıntı, kir, yerinden oynamış eşya var mı?</t>
        </is>
      </c>
    </row>
    <row r="23">
      <c r="A23" s="5" t="inlineStr">
        <is>
          <t>PH</t>
        </is>
      </c>
      <c r="B23" s="5" t="n">
        <v>9</v>
      </c>
      <c r="C23" s="5" t="inlineStr">
        <is>
          <t>Mutfak</t>
        </is>
      </c>
      <c r="D23" s="5" t="inlineStr">
        <is>
          <t>Dolaplar: tabak, bardak, tencere</t>
        </is>
      </c>
      <c r="E23" s="5" t="inlineStr">
        <is>
          <t>Üst ve alt dolapların kapaklarını aç, feneri aç; tabak, bardak ve tencereler görünsün.</t>
        </is>
      </c>
      <c r="F23" s="5" t="inlineStr">
        <is>
          <t>Tabak, kase, bardak, kupa sayısı tam
Bardaklarda su lekesi, kupalarda çay/kahve izi yok
Tencere ve tavalar temiz, kapaklı
Evye altında sızıntı yok</t>
        </is>
      </c>
      <c r="G23" s="5" t="inlineStr">
        <is>
          <t>Evet</t>
        </is>
      </c>
      <c r="H23" s="5" t="inlineStr">
        <is>
          <t>Hayır</t>
        </is>
      </c>
      <c r="I23" s="5" t="inlineStr">
        <is>
          <t>Evet</t>
        </is>
      </c>
      <c r="K23" s="5" t="n">
        <v>2</v>
      </c>
      <c r="L23" s="5" t="inlineStr">
        <is>
          <t>Bardaklarda leke, tabaklarda iz/çatlak, tencerelerde yemek kalıntısı var mı?</t>
        </is>
      </c>
    </row>
    <row r="24">
      <c r="A24" s="5" t="inlineStr">
        <is>
          <t>PH</t>
        </is>
      </c>
      <c r="B24" s="5" t="n">
        <v>10</v>
      </c>
      <c r="C24" s="5" t="inlineStr">
        <is>
          <t>Mutfak</t>
        </is>
      </c>
      <c r="D24" s="5" t="inlineStr">
        <is>
          <t>Buzdolabı</t>
        </is>
      </c>
      <c r="E24" s="5" t="inlineStr">
        <is>
          <t>Kapağı tamamen aç; içi ve kapak rafları görünsün.</t>
        </is>
      </c>
      <c r="F24" s="5" t="inlineStr">
        <is>
          <t>Raflar temiz
Unutulmuş yiyecek yok
Koku ve buzlanma yok</t>
        </is>
      </c>
      <c r="G24" s="5" t="inlineStr">
        <is>
          <t>Evet</t>
        </is>
      </c>
      <c r="H24" s="5" t="inlineStr">
        <is>
          <t>Hayır</t>
        </is>
      </c>
      <c r="I24" s="5" t="inlineStr">
        <is>
          <t>Hayır</t>
        </is>
      </c>
      <c r="K24" s="5" t="n">
        <v>1</v>
      </c>
      <c r="L24" s="5" t="inlineStr">
        <is>
          <t>Buzdolabında yiyecek kalıntısı, leke, buzlanma var mı?</t>
        </is>
      </c>
    </row>
    <row r="25">
      <c r="A25" s="5" t="inlineStr">
        <is>
          <t>PH</t>
        </is>
      </c>
      <c r="B25" s="5" t="n">
        <v>11</v>
      </c>
      <c r="C25" s="5" t="inlineStr">
        <is>
          <t>Mutfak</t>
        </is>
      </c>
      <c r="D25" s="5" t="inlineStr">
        <is>
          <t>Fırın ve mikrodalga</t>
        </is>
      </c>
      <c r="E25" s="5" t="inlineStr">
        <is>
          <t>Fırın ve mikrodalga kapağını açıp içini çek.</t>
        </is>
      </c>
      <c r="F25" s="5" t="inlineStr">
        <is>
          <t>İçi temiz, yağ ve yemek kalıntısı yok
Tabla yerinde</t>
        </is>
      </c>
      <c r="G25" s="5" t="inlineStr">
        <is>
          <t>Evet</t>
        </is>
      </c>
      <c r="H25" s="5" t="inlineStr">
        <is>
          <t>Hayır</t>
        </is>
      </c>
      <c r="I25" s="5" t="inlineStr">
        <is>
          <t>Evet</t>
        </is>
      </c>
      <c r="K25" s="5" t="n">
        <v>1</v>
      </c>
      <c r="L25" s="5" t="inlineStr">
        <is>
          <t>İçeride yağ, yanık, yemek kalıntısı var mı?</t>
        </is>
      </c>
    </row>
    <row r="26">
      <c r="A26" s="5" t="inlineStr">
        <is>
          <t>PH</t>
        </is>
      </c>
      <c r="B26" s="5" t="n">
        <v>12</v>
      </c>
      <c r="C26" s="5" t="inlineStr">
        <is>
          <t>Mutfak</t>
        </is>
      </c>
      <c r="D26" s="5" t="inlineStr">
        <is>
          <t>Kahve makinesi ve bulaşık makinesi</t>
        </is>
      </c>
      <c r="E26" s="5" t="inlineStr">
        <is>
          <t>Kahve makinesi ve bulaşık makinesi görünsün; bulaşık makinesinin kapağını açıp çek.</t>
        </is>
      </c>
      <c r="F26" s="5" t="inlineStr">
        <is>
          <t>Kahve makinesi temiz, haznesi boş
Bulaşık makinesi boş ve temiz</t>
        </is>
      </c>
      <c r="G26" s="5" t="inlineStr">
        <is>
          <t>Evet</t>
        </is>
      </c>
      <c r="H26" s="5" t="inlineStr">
        <is>
          <t>Hayır</t>
        </is>
      </c>
      <c r="I26" s="5" t="inlineStr">
        <is>
          <t>Hayır</t>
        </is>
      </c>
      <c r="K26" s="5" t="n">
        <v>1</v>
      </c>
      <c r="L26" s="5" t="inlineStr">
        <is>
          <t>Makinede kirli bulaşık veya kahve kalıntısı var mı?</t>
        </is>
      </c>
    </row>
    <row r="27">
      <c r="A27" s="5" t="inlineStr">
        <is>
          <t>PH</t>
        </is>
      </c>
      <c r="B27" s="5" t="n">
        <v>13</v>
      </c>
      <c r="C27" s="5" t="inlineStr">
        <is>
          <t>Oda</t>
        </is>
      </c>
      <c r="D27" s="5" t="inlineStr">
        <is>
          <t>TV ve ünite</t>
        </is>
      </c>
      <c r="E27" s="5" t="inlineStr">
        <is>
          <t>TV ve ünite raflarını önden çek.</t>
        </is>
      </c>
      <c r="F27" s="5" t="inlineStr">
        <is>
          <t>TV ekranı tozsuz
Ünite rafları tozsuz
Kumandalar yerinde</t>
        </is>
      </c>
      <c r="G27" s="5" t="inlineStr">
        <is>
          <t>Evet</t>
        </is>
      </c>
      <c r="H27" s="5" t="inlineStr">
        <is>
          <t>Evet</t>
        </is>
      </c>
      <c r="I27" s="5" t="inlineStr">
        <is>
          <t>Hayır</t>
        </is>
      </c>
      <c r="K27" s="5" t="n">
        <v>1</v>
      </c>
      <c r="L27" s="5" t="inlineStr">
        <is>
          <t>TV ve raflarda toz, leke var mı? Konaklama kontrolündeysen misafir eşyalarını değerlendirme.</t>
        </is>
      </c>
    </row>
    <row r="28">
      <c r="A28" s="5" t="inlineStr">
        <is>
          <t>PH</t>
        </is>
      </c>
      <c r="B28" s="5" t="n">
        <v>14</v>
      </c>
      <c r="C28" s="5" t="inlineStr">
        <is>
          <t>Oda</t>
        </is>
      </c>
      <c r="D28" s="5" t="inlineStr">
        <is>
          <t>Oturma alanı ve masa</t>
        </is>
      </c>
      <c r="E28" s="5" t="inlineStr">
        <is>
          <t>Pencereye doğru geniş açıyla çek; masa, koltuklar ve kanepe görünsün.</t>
        </is>
      </c>
      <c r="F28" s="5" t="inlineStr">
        <is>
          <t>Perde ve tül düzgün
Masa temiz
Koltuk/kanepe temiz, minderler düzgün</t>
        </is>
      </c>
      <c r="G28" s="5" t="inlineStr">
        <is>
          <t>Evet</t>
        </is>
      </c>
      <c r="H28" s="5" t="inlineStr">
        <is>
          <t>Evet</t>
        </is>
      </c>
      <c r="I28" s="5" t="inlineStr">
        <is>
          <t>Hayır</t>
        </is>
      </c>
      <c r="K28" s="5" t="n">
        <v>1</v>
      </c>
      <c r="L28" s="5" t="inlineStr">
        <is>
          <t>Masada, koltuklarda kir, leke, unutulmuş eşya var mı? Konaklama kontrolündeysen misafir eşyalarını değerlendirme.</t>
        </is>
      </c>
    </row>
    <row r="29">
      <c r="A29" s="5" t="inlineStr">
        <is>
          <t>PH</t>
        </is>
      </c>
      <c r="B29" s="5" t="n">
        <v>15</v>
      </c>
      <c r="C29" s="5" t="inlineStr">
        <is>
          <t>Oda</t>
        </is>
      </c>
      <c r="D29" s="5" t="inlineStr">
        <is>
          <t>Yatak ve komodinler</t>
        </is>
      </c>
      <c r="E29" s="5" t="inlineStr">
        <is>
          <t>Yatağı ayak ucundan tamamı görünecek şekilde çek; ikinci karede yatak altını ve komodinleri çek.</t>
        </is>
      </c>
      <c r="F29" s="5" t="inlineStr">
        <is>
          <t>Çarşaf dört köşeden gergin
Yastıklar tam, kılıflar lekesiz
Yatak altında eşya/toz yok
Komodinler boş ve tozsuz</t>
        </is>
      </c>
      <c r="G29" s="5" t="inlineStr">
        <is>
          <t>Evet</t>
        </is>
      </c>
      <c r="H29" s="5" t="inlineStr">
        <is>
          <t>Evet</t>
        </is>
      </c>
      <c r="I29" s="5" t="inlineStr">
        <is>
          <t>Hayır</t>
        </is>
      </c>
      <c r="K29" s="5" t="n">
        <v>2</v>
      </c>
      <c r="L29" s="5" t="inlineStr">
        <is>
          <t>Çarşafta kırışık, leke, saç var mı? Yastıklar düzgün mü? Yatak altında eşya/toz var mı? Konaklama kontrolündeysen misafir eşyalarını değerlendirme.</t>
        </is>
      </c>
    </row>
    <row r="30">
      <c r="A30" s="5" t="inlineStr">
        <is>
          <t>PH</t>
        </is>
      </c>
      <c r="B30" s="5" t="n">
        <v>16</v>
      </c>
      <c r="C30" s="5" t="inlineStr">
        <is>
          <t>Dış alan</t>
        </is>
      </c>
      <c r="D30" s="5" t="inlineStr">
        <is>
          <t>Teras</t>
        </is>
      </c>
      <c r="E30" s="5" t="inlineStr">
        <is>
          <t>Terasın tamamını geniş açıyla çek.</t>
        </is>
      </c>
      <c r="F30" s="5" t="inlineStr">
        <is>
          <t>Zemin süpürülmüş
Oturma grubu temiz
Çöp yok</t>
        </is>
      </c>
      <c r="G30" s="5" t="inlineStr">
        <is>
          <t>Evet</t>
        </is>
      </c>
      <c r="H30" s="5" t="inlineStr">
        <is>
          <t>Evet</t>
        </is>
      </c>
      <c r="I30" s="5" t="inlineStr">
        <is>
          <t>Hayır</t>
        </is>
      </c>
      <c r="K30" s="5" t="n">
        <v>1</v>
      </c>
      <c r="L30" s="5" t="inlineStr">
        <is>
          <t>Terasta çöp, yaprak, kir var mı? Konaklama kontrolündeysen misafir eşyalarını değerlendirme.</t>
        </is>
      </c>
    </row>
    <row r="31">
      <c r="A31" s="5" t="inlineStr">
        <is>
          <t>PH</t>
        </is>
      </c>
      <c r="B31" s="5" t="n">
        <v>17</v>
      </c>
      <c r="C31" s="5" t="inlineStr">
        <is>
          <t>Dış alan</t>
        </is>
      </c>
      <c r="D31" s="5" t="inlineStr">
        <is>
          <t>Barbekü</t>
        </is>
      </c>
      <c r="E31" s="5" t="inlineStr">
        <is>
          <t>Barbeküyü kapağı açık çek.</t>
        </is>
      </c>
      <c r="F31" s="5" t="inlineStr">
        <is>
          <t>Izgara temiz
Kül boşaltılmış</t>
        </is>
      </c>
      <c r="G31" s="5" t="inlineStr">
        <is>
          <t>Evet</t>
        </is>
      </c>
      <c r="H31" s="5" t="inlineStr">
        <is>
          <t>Hayır</t>
        </is>
      </c>
      <c r="I31" s="5" t="inlineStr">
        <is>
          <t>Hayır</t>
        </is>
      </c>
      <c r="K31" s="5" t="n">
        <v>1</v>
      </c>
      <c r="L31" s="5" t="inlineStr">
        <is>
          <t>Izgarada yağ/yemek kalıntısı veya kül var mı?</t>
        </is>
      </c>
    </row>
    <row r="32">
      <c r="A32" s="5" t="inlineStr">
        <is>
          <t>PH</t>
        </is>
      </c>
      <c r="B32" s="5" t="n">
        <v>18</v>
      </c>
      <c r="C32" s="5" t="inlineStr">
        <is>
          <t>Oda</t>
        </is>
      </c>
      <c r="D32" s="5" t="inlineStr">
        <is>
          <t>Genel oda</t>
        </is>
      </c>
      <c r="E32" s="5" t="inlineStr">
        <is>
          <t>Kapı tarafından tüm odayı tek geniş karede çek. Tüm ışıklar açık.</t>
        </is>
      </c>
      <c r="F32" s="5" t="inlineStr">
        <is>
          <t>Klima çalışıyor
Çöp kovaları boş
Zemin temiz
Duvarda iz yok
Tüm aydınlatma yanıyor</t>
        </is>
      </c>
      <c r="G32" s="5" t="inlineStr">
        <is>
          <t>Evet</t>
        </is>
      </c>
      <c r="H32" s="5" t="inlineStr">
        <is>
          <t>Evet</t>
        </is>
      </c>
      <c r="I32" s="5" t="inlineStr">
        <is>
          <t>Hayır</t>
        </is>
      </c>
      <c r="K32" s="5" t="n">
        <v>1</v>
      </c>
      <c r="L32" s="5" t="inlineStr">
        <is>
          <t>Zeminde kir, çöp; yanmayan lamba; dağınıklık var mı? Konaklama kontrolündeysen misafir eşyalarını değerlendirme.</t>
        </is>
      </c>
    </row>
    <row r="33">
      <c r="A33" s="5" t="inlineStr">
        <is>
          <t>BGS</t>
        </is>
      </c>
      <c r="B33" s="5" t="n">
        <v>1</v>
      </c>
      <c r="C33" s="5" t="inlineStr">
        <is>
          <t>Giriş</t>
        </is>
      </c>
      <c r="D33" s="5" t="inlineStr">
        <is>
          <t>Giriş ve kapı</t>
        </is>
      </c>
      <c r="E33" s="5" t="inlineStr">
        <is>
          <t>Kapıdan girip girişi ve koridoru tek karede çek. Tüm ışıklar açık olsun.</t>
        </is>
      </c>
      <c r="F33" s="5" t="inlineStr">
        <is>
          <t>Kapı ve şifreli kilit çalışıyor
Süpürgelik ve duvar dipleri tozsuz
Aplikler yanıyor
Zeminde leke, saç, kum yok</t>
        </is>
      </c>
      <c r="G33" s="5" t="inlineStr">
        <is>
          <t>Evet</t>
        </is>
      </c>
      <c r="H33" s="5" t="inlineStr">
        <is>
          <t>Evet</t>
        </is>
      </c>
      <c r="I33" s="5" t="inlineStr">
        <is>
          <t>Hayır</t>
        </is>
      </c>
      <c r="K33" s="5" t="n">
        <v>1</v>
      </c>
      <c r="L33" s="5" t="inlineStr">
        <is>
          <t>Zeminde görünür kir, saç, çöp var mı? Yanmayan lamba var mı? Konaklama kontrolündeysen misafir eşyalarını değerlendirme.</t>
        </is>
      </c>
    </row>
    <row r="34">
      <c r="A34" s="5" t="inlineStr">
        <is>
          <t>BGS</t>
        </is>
      </c>
      <c r="B34" s="5" t="n">
        <v>2</v>
      </c>
      <c r="C34" s="5" t="inlineStr">
        <is>
          <t>Banyo</t>
        </is>
      </c>
      <c r="D34" s="5" t="inlineStr">
        <is>
          <t>Lavabo ve ayna</t>
        </is>
      </c>
      <c r="E34" s="5" t="inlineStr">
        <is>
          <t>Lavabo, batarya, ayna ve havlu rafı aynı karede olacak şekilde çek.</t>
        </is>
      </c>
      <c r="F34" s="5" t="inlineStr">
        <is>
          <t>Lavabo içi ve gider temiz
Batarya parlak, su lekesi yok
Sıvı sabun dolu
Ayna lekesiz
Havlular katlı ve tam</t>
        </is>
      </c>
      <c r="G34" s="5" t="inlineStr">
        <is>
          <t>Evet</t>
        </is>
      </c>
      <c r="H34" s="5" t="inlineStr">
        <is>
          <t>Evet</t>
        </is>
      </c>
      <c r="I34" s="5" t="inlineStr">
        <is>
          <t>Hayır</t>
        </is>
      </c>
      <c r="K34" s="5" t="n">
        <v>1</v>
      </c>
      <c r="L34" s="5" t="inlineStr">
        <is>
          <t>Lavaboda kıl, sabun kalıntısı, su lekesi var mı? Aynada leke var mı? Havlular düzgün katlı mı? Konaklama kontrolündeysen misafir eşyalarını değerlendirme.</t>
        </is>
      </c>
    </row>
    <row r="35">
      <c r="A35" s="5" t="inlineStr">
        <is>
          <t>BGS</t>
        </is>
      </c>
      <c r="B35" s="5" t="n">
        <v>3</v>
      </c>
      <c r="C35" s="5" t="inlineStr">
        <is>
          <t>Banyo</t>
        </is>
      </c>
      <c r="D35" s="5" t="inlineStr">
        <is>
          <t>WC</t>
        </is>
      </c>
      <c r="E35" s="5" t="inlineStr">
        <is>
          <t>Klozet kapağı açık, tuvalet kağıdı ve yedek rulo görünecek şekilde çek.</t>
        </is>
      </c>
      <c r="F35" s="5" t="inlineStr">
        <is>
          <t>Klozet içi, kapak altı ve dış yüzey temiz
WC fırçası temiz
Tuvalet kağıdı takılı + yedek rulo
Çöp kovası boş, poşet yeni</t>
        </is>
      </c>
      <c r="G35" s="5" t="inlineStr">
        <is>
          <t>Evet</t>
        </is>
      </c>
      <c r="H35" s="5" t="inlineStr">
        <is>
          <t>Evet</t>
        </is>
      </c>
      <c r="I35" s="5" t="inlineStr">
        <is>
          <t>Hayır</t>
        </is>
      </c>
      <c r="K35" s="5" t="n">
        <v>1</v>
      </c>
      <c r="L35" s="5" t="inlineStr">
        <is>
          <t>Klozet içinde veya kapakta leke/kir var mı? Tuvalet kağıdı ve yedek rulo var mı? Çöp kovası boş mu?</t>
        </is>
      </c>
    </row>
    <row r="36">
      <c r="A36" s="5" t="inlineStr">
        <is>
          <t>BGS</t>
        </is>
      </c>
      <c r="B36" s="5" t="n">
        <v>4</v>
      </c>
      <c r="C36" s="5" t="inlineStr">
        <is>
          <t>Banyo</t>
        </is>
      </c>
      <c r="D36" s="5" t="inlineStr">
        <is>
          <t>Duş</t>
        </is>
      </c>
      <c r="E36" s="5" t="inlineStr">
        <is>
          <t>Duş camını ışığa karşı çek (kireç böyle görünür); dispenserler ve gider görünsün.</t>
        </is>
      </c>
      <c r="F36" s="5" t="inlineStr">
        <is>
          <t>Camda kireç ve su lekesi yok
Duş seti askıda
Şampuan/duş jeli dolu
Giderde saç yok</t>
        </is>
      </c>
      <c r="G36" s="5" t="inlineStr">
        <is>
          <t>Evet</t>
        </is>
      </c>
      <c r="H36" s="5" t="inlineStr">
        <is>
          <t>Evet</t>
        </is>
      </c>
      <c r="I36" s="5" t="inlineStr">
        <is>
          <t>Hayır</t>
        </is>
      </c>
      <c r="K36" s="5" t="n">
        <v>1</v>
      </c>
      <c r="L36" s="5" t="inlineStr">
        <is>
          <t>Duş camında kireç/su lekesi, giderde saç, zeminde kir var mı? Konaklama kontrolündeysen misafir eşyalarını değerlendirme.</t>
        </is>
      </c>
    </row>
    <row r="37">
      <c r="A37" s="5" t="inlineStr">
        <is>
          <t>BGS</t>
        </is>
      </c>
      <c r="B37" s="5" t="n">
        <v>5</v>
      </c>
      <c r="C37" s="5" t="inlineStr">
        <is>
          <t>Oda</t>
        </is>
      </c>
      <c r="D37" s="5" t="inlineStr">
        <is>
          <t>Gardırop</t>
        </is>
      </c>
      <c r="E37" s="5" t="inlineStr">
        <is>
          <t>Kapakları aç, askıları ve rafları tek karede çek. İçerisi karanlıksa feneri aç.</t>
        </is>
      </c>
      <c r="F37" s="5" t="inlineStr">
        <is>
          <t>Askılar tam
Yedek battaniye/yastık katlı
Unutulmuş eşya yok</t>
        </is>
      </c>
      <c r="G37" s="5" t="inlineStr">
        <is>
          <t>Evet</t>
        </is>
      </c>
      <c r="H37" s="5" t="inlineStr">
        <is>
          <t>Hayır</t>
        </is>
      </c>
      <c r="I37" s="5" t="inlineStr">
        <is>
          <t>Evet</t>
        </is>
      </c>
      <c r="K37" s="5" t="n">
        <v>1</v>
      </c>
      <c r="L37" s="5" t="inlineStr">
        <is>
          <t>Gardıropta unutulmuş eşya, çöp var mı? Askılar düzenli mi?</t>
        </is>
      </c>
    </row>
    <row r="38">
      <c r="A38" s="5" t="inlineStr">
        <is>
          <t>BGS</t>
        </is>
      </c>
      <c r="B38" s="5" t="n">
        <v>6</v>
      </c>
      <c r="C38" s="5" t="inlineStr">
        <is>
          <t>Mutfak</t>
        </is>
      </c>
      <c r="D38" s="5" t="inlineStr">
        <is>
          <t>Mutfak tezgahı</t>
        </is>
      </c>
      <c r="E38" s="5" t="inlineStr">
        <is>
          <t>Tezgahın karşısından ocak, evye, kettle ve bulaşıklık tek karede olacak şekilde çek.</t>
        </is>
      </c>
      <c r="F38" s="5" t="inlineStr">
        <is>
          <t>Ocak temiz
Evye ve batarya temiz
Sünger ve fırça temiz
Bulaşıklık boş ve kuru
Kettle boş, kablosu toplanmış
Tuz-biber-yağ dolu
Çöp kovası boş</t>
        </is>
      </c>
      <c r="G38" s="5" t="inlineStr">
        <is>
          <t>Evet</t>
        </is>
      </c>
      <c r="H38" s="5" t="inlineStr">
        <is>
          <t>Evet</t>
        </is>
      </c>
      <c r="I38" s="5" t="inlineStr">
        <is>
          <t>Hayır</t>
        </is>
      </c>
      <c r="K38" s="5" t="n">
        <v>1</v>
      </c>
      <c r="L38" s="5" t="inlineStr">
        <is>
          <t>Tezgahta, ocakta, evyede kir, yağ, kırıntı veya bulaşık var mı? Çöp dolu mu? Konaklama kontrolündeysen misafir eşyalarını değerlendirme.</t>
        </is>
      </c>
    </row>
    <row r="39">
      <c r="A39" s="5" t="inlineStr">
        <is>
          <t>BGS</t>
        </is>
      </c>
      <c r="B39" s="5" t="n">
        <v>7</v>
      </c>
      <c r="C39" s="5" t="inlineStr">
        <is>
          <t>Mutfak</t>
        </is>
      </c>
      <c r="D39" s="5" t="inlineStr">
        <is>
          <t>Çekmeceler</t>
        </is>
      </c>
      <c r="E39" s="5" t="inlineStr">
        <is>
          <t>Çekmeceleri sırayla aç, feneri aç ve her birini tam üstten çek.</t>
        </is>
      </c>
      <c r="F39" s="5" t="inlineStr">
        <is>
          <t>Çatal, kaşık, bıçak tam
Servis gereçleri yerinde
Çekmece içleri kırıntısız</t>
        </is>
      </c>
      <c r="G39" s="5" t="inlineStr">
        <is>
          <t>Evet</t>
        </is>
      </c>
      <c r="H39" s="5" t="inlineStr">
        <is>
          <t>Hayır</t>
        </is>
      </c>
      <c r="I39" s="5" t="inlineStr">
        <is>
          <t>Evet</t>
        </is>
      </c>
      <c r="K39" s="5" t="n">
        <v>2</v>
      </c>
      <c r="L39" s="5" t="inlineStr">
        <is>
          <t>Çekmece içinde kırıntı, kir, yerinden oynamış eşya var mı?</t>
        </is>
      </c>
    </row>
    <row r="40">
      <c r="A40" s="5" t="inlineStr">
        <is>
          <t>BGS</t>
        </is>
      </c>
      <c r="B40" s="5" t="n">
        <v>8</v>
      </c>
      <c r="C40" s="5" t="inlineStr">
        <is>
          <t>Mutfak</t>
        </is>
      </c>
      <c r="D40" s="5" t="inlineStr">
        <is>
          <t>Dolaplar: tabak, bardak, tencere</t>
        </is>
      </c>
      <c r="E40" s="5" t="inlineStr">
        <is>
          <t>Üst ve alt dolapların kapaklarını aç, feneri aç; tabak, bardak ve tencereler görünsün.</t>
        </is>
      </c>
      <c r="F40" s="5" t="inlineStr">
        <is>
          <t>Tabak, kase, bardak, kupa sayısı tam
Bardaklarda su lekesi, kupalarda çay/kahve izi yok
Tencere ve tavalar temiz, kapaklı
Evye altında sızıntı yok</t>
        </is>
      </c>
      <c r="G40" s="5" t="inlineStr">
        <is>
          <t>Evet</t>
        </is>
      </c>
      <c r="H40" s="5" t="inlineStr">
        <is>
          <t>Hayır</t>
        </is>
      </c>
      <c r="I40" s="5" t="inlineStr">
        <is>
          <t>Evet</t>
        </is>
      </c>
      <c r="K40" s="5" t="n">
        <v>2</v>
      </c>
      <c r="L40" s="5" t="inlineStr">
        <is>
          <t>Bardaklarda leke, tabaklarda iz/çatlak, tencerelerde yemek kalıntısı var mı?</t>
        </is>
      </c>
    </row>
    <row r="41">
      <c r="A41" s="5" t="inlineStr">
        <is>
          <t>BGS</t>
        </is>
      </c>
      <c r="B41" s="5" t="n">
        <v>9</v>
      </c>
      <c r="C41" s="5" t="inlineStr">
        <is>
          <t>Mutfak</t>
        </is>
      </c>
      <c r="D41" s="5" t="inlineStr">
        <is>
          <t>Buzdolabı</t>
        </is>
      </c>
      <c r="E41" s="5" t="inlineStr">
        <is>
          <t>Kapağı tamamen aç; içi ve kapak rafları görünsün.</t>
        </is>
      </c>
      <c r="F41" s="5" t="inlineStr">
        <is>
          <t>Raflar temiz
Unutulmuş yiyecek yok
Koku ve buzlanma yok</t>
        </is>
      </c>
      <c r="G41" s="5" t="inlineStr">
        <is>
          <t>Evet</t>
        </is>
      </c>
      <c r="H41" s="5" t="inlineStr">
        <is>
          <t>Hayır</t>
        </is>
      </c>
      <c r="I41" s="5" t="inlineStr">
        <is>
          <t>Hayır</t>
        </is>
      </c>
      <c r="K41" s="5" t="n">
        <v>1</v>
      </c>
      <c r="L41" s="5" t="inlineStr">
        <is>
          <t>Buzdolabında yiyecek kalıntısı, leke, buzlanma var mı?</t>
        </is>
      </c>
    </row>
    <row r="42">
      <c r="A42" s="5" t="inlineStr">
        <is>
          <t>BGS</t>
        </is>
      </c>
      <c r="B42" s="5" t="n">
        <v>10</v>
      </c>
      <c r="C42" s="5" t="inlineStr">
        <is>
          <t>Oda</t>
        </is>
      </c>
      <c r="D42" s="5" t="inlineStr">
        <is>
          <t>TV ve ünite</t>
        </is>
      </c>
      <c r="E42" s="5" t="inlineStr">
        <is>
          <t>TV ve ünite raflarını önden çek.</t>
        </is>
      </c>
      <c r="F42" s="5" t="inlineStr">
        <is>
          <t>TV ekranı tozsuz
Ünite rafları tozsuz
Kumandalar yerinde</t>
        </is>
      </c>
      <c r="G42" s="5" t="inlineStr">
        <is>
          <t>Evet</t>
        </is>
      </c>
      <c r="H42" s="5" t="inlineStr">
        <is>
          <t>Evet</t>
        </is>
      </c>
      <c r="I42" s="5" t="inlineStr">
        <is>
          <t>Hayır</t>
        </is>
      </c>
      <c r="K42" s="5" t="n">
        <v>1</v>
      </c>
      <c r="L42" s="5" t="inlineStr">
        <is>
          <t>TV ve raflarda toz, leke var mı? Konaklama kontrolündeysen misafir eşyalarını değerlendirme.</t>
        </is>
      </c>
    </row>
    <row r="43">
      <c r="A43" s="5" t="inlineStr">
        <is>
          <t>BGS</t>
        </is>
      </c>
      <c r="B43" s="5" t="n">
        <v>11</v>
      </c>
      <c r="C43" s="5" t="inlineStr">
        <is>
          <t>Oda</t>
        </is>
      </c>
      <c r="D43" s="5" t="inlineStr">
        <is>
          <t>Oturma alanı ve masa</t>
        </is>
      </c>
      <c r="E43" s="5" t="inlineStr">
        <is>
          <t>Pencereye doğru geniş açıyla çek; masa, koltuklar ve kanepe görünsün.</t>
        </is>
      </c>
      <c r="F43" s="5" t="inlineStr">
        <is>
          <t>Perde ve tül düzgün
Masa temiz
Koltuk/kanepe temiz, minderler düzgün
Sofa yatak toplanmış</t>
        </is>
      </c>
      <c r="G43" s="5" t="inlineStr">
        <is>
          <t>Evet</t>
        </is>
      </c>
      <c r="H43" s="5" t="inlineStr">
        <is>
          <t>Evet</t>
        </is>
      </c>
      <c r="I43" s="5" t="inlineStr">
        <is>
          <t>Hayır</t>
        </is>
      </c>
      <c r="K43" s="5" t="n">
        <v>1</v>
      </c>
      <c r="L43" s="5" t="inlineStr">
        <is>
          <t>Masada, koltuklarda kir, leke, unutulmuş eşya var mı? Konaklama kontrolündeysen misafir eşyalarını değerlendirme.</t>
        </is>
      </c>
    </row>
    <row r="44">
      <c r="A44" s="5" t="inlineStr">
        <is>
          <t>BGS</t>
        </is>
      </c>
      <c r="B44" s="5" t="n">
        <v>12</v>
      </c>
      <c r="C44" s="5" t="inlineStr">
        <is>
          <t>Oda</t>
        </is>
      </c>
      <c r="D44" s="5" t="inlineStr">
        <is>
          <t>Yatak ve komodinler</t>
        </is>
      </c>
      <c r="E44" s="5" t="inlineStr">
        <is>
          <t>Yatağı ayak ucundan tamamı görünecek şekilde çek; ikinci karede yatak altını ve komodinleri çek.</t>
        </is>
      </c>
      <c r="F44" s="5" t="inlineStr">
        <is>
          <t>Çarşaf dört köşeden gergin
Yastıklar tam, kılıflar lekesiz
Yatak altında eşya/toz yok
Komodinler boş ve tozsuz</t>
        </is>
      </c>
      <c r="G44" s="5" t="inlineStr">
        <is>
          <t>Evet</t>
        </is>
      </c>
      <c r="H44" s="5" t="inlineStr">
        <is>
          <t>Evet</t>
        </is>
      </c>
      <c r="I44" s="5" t="inlineStr">
        <is>
          <t>Hayır</t>
        </is>
      </c>
      <c r="K44" s="5" t="n">
        <v>2</v>
      </c>
      <c r="L44" s="5" t="inlineStr">
        <is>
          <t>Çarşafta kırışık, leke, saç var mı? Yastıklar düzgün mü? Yatak altında eşya/toz var mı? Konaklama kontrolündeysen misafir eşyalarını değerlendirme.</t>
        </is>
      </c>
    </row>
    <row r="45">
      <c r="A45" s="5" t="inlineStr">
        <is>
          <t>BGS</t>
        </is>
      </c>
      <c r="B45" s="5" t="n">
        <v>13</v>
      </c>
      <c r="C45" s="5" t="inlineStr">
        <is>
          <t>Dış alan</t>
        </is>
      </c>
      <c r="D45" s="5" t="inlineStr">
        <is>
          <t>Balkon</t>
        </is>
      </c>
      <c r="E45" s="5" t="inlineStr">
        <is>
          <t>Balkon kapısından balkonun tamamını çek.</t>
        </is>
      </c>
      <c r="F45" s="5" t="inlineStr">
        <is>
          <t>Zemin süpürülmüş
Masa ve sandalyeler temiz
Kül tablası boş</t>
        </is>
      </c>
      <c r="G45" s="5" t="inlineStr">
        <is>
          <t>Evet</t>
        </is>
      </c>
      <c r="H45" s="5" t="inlineStr">
        <is>
          <t>Evet</t>
        </is>
      </c>
      <c r="I45" s="5" t="inlineStr">
        <is>
          <t>Hayır</t>
        </is>
      </c>
      <c r="K45" s="5" t="n">
        <v>1</v>
      </c>
      <c r="L45" s="5" t="inlineStr">
        <is>
          <t>Balkonda çöp, izmarit, kir var mı? Konaklama kontrolündeysen misafir eşyalarını değerlendirme.</t>
        </is>
      </c>
    </row>
    <row r="46">
      <c r="A46" s="5" t="inlineStr">
        <is>
          <t>BGS</t>
        </is>
      </c>
      <c r="B46" s="5" t="n">
        <v>14</v>
      </c>
      <c r="C46" s="5" t="inlineStr">
        <is>
          <t>Dış alan</t>
        </is>
      </c>
      <c r="D46" s="5" t="inlineStr">
        <is>
          <t>Bahçe</t>
        </is>
      </c>
      <c r="E46" s="5" t="inlineStr">
        <is>
          <t>Bahçeyi kapıdan geniş açıyla çek.</t>
        </is>
      </c>
      <c r="F46" s="5" t="inlineStr">
        <is>
          <t>Çöp yok
Bahçe mobilyaları düzenli</t>
        </is>
      </c>
      <c r="G46" s="5" t="inlineStr">
        <is>
          <t>Evet</t>
        </is>
      </c>
      <c r="H46" s="5" t="inlineStr">
        <is>
          <t>Hayır</t>
        </is>
      </c>
      <c r="I46" s="5" t="inlineStr">
        <is>
          <t>Hayır</t>
        </is>
      </c>
      <c r="K46" s="5" t="n">
        <v>1</v>
      </c>
      <c r="L46" s="5" t="inlineStr">
        <is>
          <t>Bahçede çöp var mı, mobilyalar dağınık mı?</t>
        </is>
      </c>
    </row>
    <row r="47">
      <c r="A47" s="5" t="inlineStr">
        <is>
          <t>BGS</t>
        </is>
      </c>
      <c r="B47" s="5" t="n">
        <v>15</v>
      </c>
      <c r="C47" s="5" t="inlineStr">
        <is>
          <t>Oda</t>
        </is>
      </c>
      <c r="D47" s="5" t="inlineStr">
        <is>
          <t>Genel oda</t>
        </is>
      </c>
      <c r="E47" s="5" t="inlineStr">
        <is>
          <t>Kapı tarafından tüm odayı tek geniş karede çek. Tüm ışıklar açık.</t>
        </is>
      </c>
      <c r="F47" s="5" t="inlineStr">
        <is>
          <t>Klima çalışıyor
Çöp kovaları boş
Zemin temiz
Duvarda iz yok
Tüm aydınlatma yanıyor</t>
        </is>
      </c>
      <c r="G47" s="5" t="inlineStr">
        <is>
          <t>Evet</t>
        </is>
      </c>
      <c r="H47" s="5" t="inlineStr">
        <is>
          <t>Evet</t>
        </is>
      </c>
      <c r="I47" s="5" t="inlineStr">
        <is>
          <t>Hayır</t>
        </is>
      </c>
      <c r="K47" s="5" t="n">
        <v>1</v>
      </c>
      <c r="L47" s="5" t="inlineStr">
        <is>
          <t>Zeminde kir, çöp; yanmayan lamba; dağınıklık var mı? Konaklama kontrolündeysen misafir eşyalarını değerlendirme.</t>
        </is>
      </c>
    </row>
    <row r="48">
      <c r="A48" s="5" t="inlineStr">
        <is>
          <t>BSAB</t>
        </is>
      </c>
      <c r="B48" s="5" t="n">
        <v>1</v>
      </c>
      <c r="C48" s="5" t="inlineStr">
        <is>
          <t>Giriş</t>
        </is>
      </c>
      <c r="D48" s="5" t="inlineStr">
        <is>
          <t>Giriş ve kapı</t>
        </is>
      </c>
      <c r="E48" s="5" t="inlineStr">
        <is>
          <t>Kapıdan girip girişi ve koridoru tek karede çek. Tüm ışıklar açık olsun.</t>
        </is>
      </c>
      <c r="F48" s="5" t="inlineStr">
        <is>
          <t>Kapı ve şifreli kilit çalışıyor
Süpürgelik ve duvar dipleri tozsuz
Aplikler yanıyor
Zeminde leke, saç, kum yok</t>
        </is>
      </c>
      <c r="G48" s="5" t="inlineStr">
        <is>
          <t>Evet</t>
        </is>
      </c>
      <c r="H48" s="5" t="inlineStr">
        <is>
          <t>Evet</t>
        </is>
      </c>
      <c r="I48" s="5" t="inlineStr">
        <is>
          <t>Hayır</t>
        </is>
      </c>
      <c r="K48" s="5" t="n">
        <v>1</v>
      </c>
      <c r="L48" s="5" t="inlineStr">
        <is>
          <t>Zeminde görünür kir, saç, çöp var mı? Yanmayan lamba var mı? Konaklama kontrolündeysen misafir eşyalarını değerlendirme.</t>
        </is>
      </c>
    </row>
    <row r="49">
      <c r="A49" s="5" t="inlineStr">
        <is>
          <t>BSAB</t>
        </is>
      </c>
      <c r="B49" s="5" t="n">
        <v>2</v>
      </c>
      <c r="C49" s="5" t="inlineStr">
        <is>
          <t>Banyo</t>
        </is>
      </c>
      <c r="D49" s="5" t="inlineStr">
        <is>
          <t>Lavabo ve ayna</t>
        </is>
      </c>
      <c r="E49" s="5" t="inlineStr">
        <is>
          <t>Lavabo, batarya, ayna ve havlu rafı aynı karede olacak şekilde çek.</t>
        </is>
      </c>
      <c r="F49" s="5" t="inlineStr">
        <is>
          <t>Lavabo içi ve gider temiz
Batarya parlak, su lekesi yok
Sıvı sabun dolu
Ayna lekesiz
Havlular katlı ve tam</t>
        </is>
      </c>
      <c r="G49" s="5" t="inlineStr">
        <is>
          <t>Evet</t>
        </is>
      </c>
      <c r="H49" s="5" t="inlineStr">
        <is>
          <t>Evet</t>
        </is>
      </c>
      <c r="I49" s="5" t="inlineStr">
        <is>
          <t>Hayır</t>
        </is>
      </c>
      <c r="K49" s="5" t="n">
        <v>1</v>
      </c>
      <c r="L49" s="5" t="inlineStr">
        <is>
          <t>Lavaboda kıl, sabun kalıntısı, su lekesi var mı? Aynada leke var mı? Havlular düzgün katlı mı? Konaklama kontrolündeysen misafir eşyalarını değerlendirme.</t>
        </is>
      </c>
    </row>
    <row r="50">
      <c r="A50" s="5" t="inlineStr">
        <is>
          <t>BSAB</t>
        </is>
      </c>
      <c r="B50" s="5" t="n">
        <v>3</v>
      </c>
      <c r="C50" s="5" t="inlineStr">
        <is>
          <t>Banyo</t>
        </is>
      </c>
      <c r="D50" s="5" t="inlineStr">
        <is>
          <t>WC</t>
        </is>
      </c>
      <c r="E50" s="5" t="inlineStr">
        <is>
          <t>Klozet kapağı açık, tuvalet kağıdı ve yedek rulo görünecek şekilde çek.</t>
        </is>
      </c>
      <c r="F50" s="5" t="inlineStr">
        <is>
          <t>Klozet içi, kapak altı ve dış yüzey temiz
WC fırçası temiz
Tuvalet kağıdı takılı + yedek rulo
Çöp kovası boş, poşet yeni</t>
        </is>
      </c>
      <c r="G50" s="5" t="inlineStr">
        <is>
          <t>Evet</t>
        </is>
      </c>
      <c r="H50" s="5" t="inlineStr">
        <is>
          <t>Evet</t>
        </is>
      </c>
      <c r="I50" s="5" t="inlineStr">
        <is>
          <t>Hayır</t>
        </is>
      </c>
      <c r="K50" s="5" t="n">
        <v>1</v>
      </c>
      <c r="L50" s="5" t="inlineStr">
        <is>
          <t>Klozet içinde veya kapakta leke/kir var mı? Tuvalet kağıdı ve yedek rulo var mı? Çöp kovası boş mu?</t>
        </is>
      </c>
    </row>
    <row r="51">
      <c r="A51" s="5" t="inlineStr">
        <is>
          <t>BSAB</t>
        </is>
      </c>
      <c r="B51" s="5" t="n">
        <v>4</v>
      </c>
      <c r="C51" s="5" t="inlineStr">
        <is>
          <t>Banyo</t>
        </is>
      </c>
      <c r="D51" s="5" t="inlineStr">
        <is>
          <t>Duş</t>
        </is>
      </c>
      <c r="E51" s="5" t="inlineStr">
        <is>
          <t>Duş camını ışığa karşı çek (kireç böyle görünür); dispenserler ve gider görünsün.</t>
        </is>
      </c>
      <c r="F51" s="5" t="inlineStr">
        <is>
          <t>Camda kireç ve su lekesi yok
Duş seti askıda
Şampuan/duş jeli dolu
Giderde saç yok</t>
        </is>
      </c>
      <c r="G51" s="5" t="inlineStr">
        <is>
          <t>Evet</t>
        </is>
      </c>
      <c r="H51" s="5" t="inlineStr">
        <is>
          <t>Evet</t>
        </is>
      </c>
      <c r="I51" s="5" t="inlineStr">
        <is>
          <t>Hayır</t>
        </is>
      </c>
      <c r="K51" s="5" t="n">
        <v>1</v>
      </c>
      <c r="L51" s="5" t="inlineStr">
        <is>
          <t>Duş camında kireç/su lekesi, giderde saç, zeminde kir var mı? Konaklama kontrolündeysen misafir eşyalarını değerlendirme.</t>
        </is>
      </c>
    </row>
    <row r="52">
      <c r="A52" s="5" t="inlineStr">
        <is>
          <t>BSAB</t>
        </is>
      </c>
      <c r="B52" s="5" t="n">
        <v>5</v>
      </c>
      <c r="C52" s="5" t="inlineStr">
        <is>
          <t>Oda</t>
        </is>
      </c>
      <c r="D52" s="5" t="inlineStr">
        <is>
          <t>Gardırop</t>
        </is>
      </c>
      <c r="E52" s="5" t="inlineStr">
        <is>
          <t>Kapakları aç, askıları ve rafları tek karede çek. İçerisi karanlıksa feneri aç.</t>
        </is>
      </c>
      <c r="F52" s="5" t="inlineStr">
        <is>
          <t>Askılar tam
Yedek battaniye/yastık katlı
Unutulmuş eşya yok</t>
        </is>
      </c>
      <c r="G52" s="5" t="inlineStr">
        <is>
          <t>Evet</t>
        </is>
      </c>
      <c r="H52" s="5" t="inlineStr">
        <is>
          <t>Hayır</t>
        </is>
      </c>
      <c r="I52" s="5" t="inlineStr">
        <is>
          <t>Evet</t>
        </is>
      </c>
      <c r="K52" s="5" t="n">
        <v>1</v>
      </c>
      <c r="L52" s="5" t="inlineStr">
        <is>
          <t>Gardıropta unutulmuş eşya, çöp var mı? Askılar düzenli mi?</t>
        </is>
      </c>
    </row>
    <row r="53">
      <c r="A53" s="5" t="inlineStr">
        <is>
          <t>BSAB</t>
        </is>
      </c>
      <c r="B53" s="5" t="n">
        <v>6</v>
      </c>
      <c r="C53" s="5" t="inlineStr">
        <is>
          <t>Mutfak</t>
        </is>
      </c>
      <c r="D53" s="5" t="inlineStr">
        <is>
          <t>Mutfak tezgahı</t>
        </is>
      </c>
      <c r="E53" s="5" t="inlineStr">
        <is>
          <t>Tezgahın karşısından ocak, evye, kettle ve bulaşıklık tek karede olacak şekilde çek.</t>
        </is>
      </c>
      <c r="F53" s="5" t="inlineStr">
        <is>
          <t>Ocak temiz
Evye ve batarya temiz
Sünger ve fırça temiz
Bulaşıklık boş ve kuru
Kettle boş, kablosu toplanmış
Tuz-biber-yağ dolu
Çöp kovası boş</t>
        </is>
      </c>
      <c r="G53" s="5" t="inlineStr">
        <is>
          <t>Evet</t>
        </is>
      </c>
      <c r="H53" s="5" t="inlineStr">
        <is>
          <t>Evet</t>
        </is>
      </c>
      <c r="I53" s="5" t="inlineStr">
        <is>
          <t>Hayır</t>
        </is>
      </c>
      <c r="K53" s="5" t="n">
        <v>1</v>
      </c>
      <c r="L53" s="5" t="inlineStr">
        <is>
          <t>Tezgahta, ocakta, evyede kir, yağ, kırıntı veya bulaşık var mı? Çöp dolu mu? Konaklama kontrolündeysen misafir eşyalarını değerlendirme.</t>
        </is>
      </c>
    </row>
    <row r="54">
      <c r="A54" s="5" t="inlineStr">
        <is>
          <t>BSAB</t>
        </is>
      </c>
      <c r="B54" s="5" t="n">
        <v>7</v>
      </c>
      <c r="C54" s="5" t="inlineStr">
        <is>
          <t>Mutfak</t>
        </is>
      </c>
      <c r="D54" s="5" t="inlineStr">
        <is>
          <t>Çekmeceler</t>
        </is>
      </c>
      <c r="E54" s="5" t="inlineStr">
        <is>
          <t>Çekmeceleri sırayla aç, feneri aç ve her birini tam üstten çek.</t>
        </is>
      </c>
      <c r="F54" s="5" t="inlineStr">
        <is>
          <t>Çatal, kaşık, bıçak tam
Servis gereçleri yerinde
Çekmece içleri kırıntısız</t>
        </is>
      </c>
      <c r="G54" s="5" t="inlineStr">
        <is>
          <t>Evet</t>
        </is>
      </c>
      <c r="H54" s="5" t="inlineStr">
        <is>
          <t>Hayır</t>
        </is>
      </c>
      <c r="I54" s="5" t="inlineStr">
        <is>
          <t>Evet</t>
        </is>
      </c>
      <c r="K54" s="5" t="n">
        <v>2</v>
      </c>
      <c r="L54" s="5" t="inlineStr">
        <is>
          <t>Çekmece içinde kırıntı, kir, yerinden oynamış eşya var mı?</t>
        </is>
      </c>
    </row>
    <row r="55">
      <c r="A55" s="5" t="inlineStr">
        <is>
          <t>BSAB</t>
        </is>
      </c>
      <c r="B55" s="5" t="n">
        <v>8</v>
      </c>
      <c r="C55" s="5" t="inlineStr">
        <is>
          <t>Mutfak</t>
        </is>
      </c>
      <c r="D55" s="5" t="inlineStr">
        <is>
          <t>Dolaplar: tabak, bardak, tencere</t>
        </is>
      </c>
      <c r="E55" s="5" t="inlineStr">
        <is>
          <t>Üst ve alt dolapların kapaklarını aç, feneri aç; tabak, bardak ve tencereler görünsün.</t>
        </is>
      </c>
      <c r="F55" s="5" t="inlineStr">
        <is>
          <t>Tabak, kase, bardak, kupa sayısı tam
Bardaklarda su lekesi, kupalarda çay/kahve izi yok
Tencere ve tavalar temiz, kapaklı
Evye altında sızıntı yok</t>
        </is>
      </c>
      <c r="G55" s="5" t="inlineStr">
        <is>
          <t>Evet</t>
        </is>
      </c>
      <c r="H55" s="5" t="inlineStr">
        <is>
          <t>Hayır</t>
        </is>
      </c>
      <c r="I55" s="5" t="inlineStr">
        <is>
          <t>Evet</t>
        </is>
      </c>
      <c r="K55" s="5" t="n">
        <v>2</v>
      </c>
      <c r="L55" s="5" t="inlineStr">
        <is>
          <t>Bardaklarda leke, tabaklarda iz/çatlak, tencerelerde yemek kalıntısı var mı?</t>
        </is>
      </c>
    </row>
    <row r="56">
      <c r="A56" s="5" t="inlineStr">
        <is>
          <t>BSAB</t>
        </is>
      </c>
      <c r="B56" s="5" t="n">
        <v>9</v>
      </c>
      <c r="C56" s="5" t="inlineStr">
        <is>
          <t>Mutfak</t>
        </is>
      </c>
      <c r="D56" s="5" t="inlineStr">
        <is>
          <t>Buzdolabı</t>
        </is>
      </c>
      <c r="E56" s="5" t="inlineStr">
        <is>
          <t>Kapağı tamamen aç; içi ve kapak rafları görünsün.</t>
        </is>
      </c>
      <c r="F56" s="5" t="inlineStr">
        <is>
          <t>Raflar temiz
Unutulmuş yiyecek yok
Koku ve buzlanma yok</t>
        </is>
      </c>
      <c r="G56" s="5" t="inlineStr">
        <is>
          <t>Evet</t>
        </is>
      </c>
      <c r="H56" s="5" t="inlineStr">
        <is>
          <t>Hayır</t>
        </is>
      </c>
      <c r="I56" s="5" t="inlineStr">
        <is>
          <t>Hayır</t>
        </is>
      </c>
      <c r="K56" s="5" t="n">
        <v>1</v>
      </c>
      <c r="L56" s="5" t="inlineStr">
        <is>
          <t>Buzdolabında yiyecek kalıntısı, leke, buzlanma var mı?</t>
        </is>
      </c>
    </row>
    <row r="57">
      <c r="A57" s="5" t="inlineStr">
        <is>
          <t>BSAB</t>
        </is>
      </c>
      <c r="B57" s="5" t="n">
        <v>10</v>
      </c>
      <c r="C57" s="5" t="inlineStr">
        <is>
          <t>Oda</t>
        </is>
      </c>
      <c r="D57" s="5" t="inlineStr">
        <is>
          <t>TV ve ünite</t>
        </is>
      </c>
      <c r="E57" s="5" t="inlineStr">
        <is>
          <t>TV ve ünite raflarını önden çek.</t>
        </is>
      </c>
      <c r="F57" s="5" t="inlineStr">
        <is>
          <t>TV ekranı tozsuz
Ünite rafları tozsuz
Kumandalar yerinde</t>
        </is>
      </c>
      <c r="G57" s="5" t="inlineStr">
        <is>
          <t>Evet</t>
        </is>
      </c>
      <c r="H57" s="5" t="inlineStr">
        <is>
          <t>Evet</t>
        </is>
      </c>
      <c r="I57" s="5" t="inlineStr">
        <is>
          <t>Hayır</t>
        </is>
      </c>
      <c r="K57" s="5" t="n">
        <v>1</v>
      </c>
      <c r="L57" s="5" t="inlineStr">
        <is>
          <t>TV ve raflarda toz, leke var mı? Konaklama kontrolündeysen misafir eşyalarını değerlendirme.</t>
        </is>
      </c>
    </row>
    <row r="58">
      <c r="A58" s="5" t="inlineStr">
        <is>
          <t>BSAB</t>
        </is>
      </c>
      <c r="B58" s="5" t="n">
        <v>11</v>
      </c>
      <c r="C58" s="5" t="inlineStr">
        <is>
          <t>Oda</t>
        </is>
      </c>
      <c r="D58" s="5" t="inlineStr">
        <is>
          <t>Oturma alanı ve masa</t>
        </is>
      </c>
      <c r="E58" s="5" t="inlineStr">
        <is>
          <t>Pencereye doğru geniş açıyla çek; masa, koltuklar ve kanepe görünsün.</t>
        </is>
      </c>
      <c r="F58" s="5" t="inlineStr">
        <is>
          <t>Perde ve tül düzgün
Masa temiz
Koltuk/kanepe temiz, minderler düzgün</t>
        </is>
      </c>
      <c r="G58" s="5" t="inlineStr">
        <is>
          <t>Evet</t>
        </is>
      </c>
      <c r="H58" s="5" t="inlineStr">
        <is>
          <t>Evet</t>
        </is>
      </c>
      <c r="I58" s="5" t="inlineStr">
        <is>
          <t>Hayır</t>
        </is>
      </c>
      <c r="K58" s="5" t="n">
        <v>1</v>
      </c>
      <c r="L58" s="5" t="inlineStr">
        <is>
          <t>Masada, koltuklarda kir, leke, unutulmuş eşya var mı? Konaklama kontrolündeysen misafir eşyalarını değerlendirme.</t>
        </is>
      </c>
    </row>
    <row r="59">
      <c r="A59" s="5" t="inlineStr">
        <is>
          <t>BSAB</t>
        </is>
      </c>
      <c r="B59" s="5" t="n">
        <v>12</v>
      </c>
      <c r="C59" s="5" t="inlineStr">
        <is>
          <t>Oda</t>
        </is>
      </c>
      <c r="D59" s="5" t="inlineStr">
        <is>
          <t>Yatak ve komodinler</t>
        </is>
      </c>
      <c r="E59" s="5" t="inlineStr">
        <is>
          <t>Yatağı ayak ucundan tamamı görünecek şekilde çek; ikinci karede yatak altını ve komodinleri çek.</t>
        </is>
      </c>
      <c r="F59" s="5" t="inlineStr">
        <is>
          <t>Çarşaf dört köşeden gergin
Yastıklar tam, kılıflar lekesiz
Yatak altında eşya/toz yok
Komodinler boş ve tozsuz</t>
        </is>
      </c>
      <c r="G59" s="5" t="inlineStr">
        <is>
          <t>Evet</t>
        </is>
      </c>
      <c r="H59" s="5" t="inlineStr">
        <is>
          <t>Evet</t>
        </is>
      </c>
      <c r="I59" s="5" t="inlineStr">
        <is>
          <t>Hayır</t>
        </is>
      </c>
      <c r="K59" s="5" t="n">
        <v>2</v>
      </c>
      <c r="L59" s="5" t="inlineStr">
        <is>
          <t>Çarşafta kırışık, leke, saç var mı? Yastıklar düzgün mü? Yatak altında eşya/toz var mı? Konaklama kontrolündeysen misafir eşyalarını değerlendirme.</t>
        </is>
      </c>
    </row>
    <row r="60">
      <c r="A60" s="5" t="inlineStr">
        <is>
          <t>BSAB</t>
        </is>
      </c>
      <c r="B60" s="5" t="n">
        <v>13</v>
      </c>
      <c r="C60" s="5" t="inlineStr">
        <is>
          <t>Dış alan</t>
        </is>
      </c>
      <c r="D60" s="5" t="inlineStr">
        <is>
          <t>Balkon</t>
        </is>
      </c>
      <c r="E60" s="5" t="inlineStr">
        <is>
          <t>Balkon kapısından balkonun tamamını çek.</t>
        </is>
      </c>
      <c r="F60" s="5" t="inlineStr">
        <is>
          <t>Zemin süpürülmüş
Masa ve sandalyeler temiz
Kül tablası boş</t>
        </is>
      </c>
      <c r="G60" s="5" t="inlineStr">
        <is>
          <t>Evet</t>
        </is>
      </c>
      <c r="H60" s="5" t="inlineStr">
        <is>
          <t>Evet</t>
        </is>
      </c>
      <c r="I60" s="5" t="inlineStr">
        <is>
          <t>Hayır</t>
        </is>
      </c>
      <c r="K60" s="5" t="n">
        <v>1</v>
      </c>
      <c r="L60" s="5" t="inlineStr">
        <is>
          <t>Balkonda çöp, izmarit, kir var mı? Konaklama kontrolündeysen misafir eşyalarını değerlendirme.</t>
        </is>
      </c>
    </row>
    <row r="61">
      <c r="A61" s="5" t="inlineStr">
        <is>
          <t>BSAB</t>
        </is>
      </c>
      <c r="B61" s="5" t="n">
        <v>14</v>
      </c>
      <c r="C61" s="5" t="inlineStr">
        <is>
          <t>Oda</t>
        </is>
      </c>
      <c r="D61" s="5" t="inlineStr">
        <is>
          <t>Genel oda</t>
        </is>
      </c>
      <c r="E61" s="5" t="inlineStr">
        <is>
          <t>Kapı tarafından tüm odayı tek geniş karede çek. Tüm ışıklar açık.</t>
        </is>
      </c>
      <c r="F61" s="5" t="inlineStr">
        <is>
          <t>Klima çalışıyor
Çöp kovaları boş
Zemin temiz
Duvarda iz yok
Tüm aydınlatma yanıyor</t>
        </is>
      </c>
      <c r="G61" s="5" t="inlineStr">
        <is>
          <t>Evet</t>
        </is>
      </c>
      <c r="H61" s="5" t="inlineStr">
        <is>
          <t>Evet</t>
        </is>
      </c>
      <c r="I61" s="5" t="inlineStr">
        <is>
          <t>Hayır</t>
        </is>
      </c>
      <c r="K61" s="5" t="n">
        <v>1</v>
      </c>
      <c r="L61" s="5" t="inlineStr">
        <is>
          <t>Zeminde kir, çöp; yanmayan lamba; dağınıklık var mı? Konaklama kontrolündeysen misafir eşyalarını değerlendirme.</t>
        </is>
      </c>
    </row>
    <row r="62">
      <c r="A62" s="5" t="inlineStr">
        <is>
          <t>BSA</t>
        </is>
      </c>
      <c r="B62" s="5" t="n">
        <v>1</v>
      </c>
      <c r="C62" s="5" t="inlineStr">
        <is>
          <t>Giriş</t>
        </is>
      </c>
      <c r="D62" s="5" t="inlineStr">
        <is>
          <t>Giriş ve kapı</t>
        </is>
      </c>
      <c r="E62" s="5" t="inlineStr">
        <is>
          <t>Kapıdan girip girişi ve koridoru tek karede çek. Tüm ışıklar açık olsun.</t>
        </is>
      </c>
      <c r="F62" s="5" t="inlineStr">
        <is>
          <t>Kapı ve şifreli kilit çalışıyor
Süpürgelik ve duvar dipleri tozsuz
Aplikler yanıyor
Zeminde leke, saç, kum yok</t>
        </is>
      </c>
      <c r="G62" s="5" t="inlineStr">
        <is>
          <t>Evet</t>
        </is>
      </c>
      <c r="H62" s="5" t="inlineStr">
        <is>
          <t>Evet</t>
        </is>
      </c>
      <c r="I62" s="5" t="inlineStr">
        <is>
          <t>Hayır</t>
        </is>
      </c>
      <c r="K62" s="5" t="n">
        <v>1</v>
      </c>
      <c r="L62" s="5" t="inlineStr">
        <is>
          <t>Zeminde görünür kir, saç, çöp var mı? Yanmayan lamba var mı? Konaklama kontrolündeysen misafir eşyalarını değerlendirme.</t>
        </is>
      </c>
    </row>
    <row r="63">
      <c r="A63" s="5" t="inlineStr">
        <is>
          <t>BSA</t>
        </is>
      </c>
      <c r="B63" s="5" t="n">
        <v>2</v>
      </c>
      <c r="C63" s="5" t="inlineStr">
        <is>
          <t>Banyo</t>
        </is>
      </c>
      <c r="D63" s="5" t="inlineStr">
        <is>
          <t>Lavabo ve ayna</t>
        </is>
      </c>
      <c r="E63" s="5" t="inlineStr">
        <is>
          <t>Lavabo, batarya, ayna ve havlu rafı aynı karede olacak şekilde çek.</t>
        </is>
      </c>
      <c r="F63" s="5" t="inlineStr">
        <is>
          <t>Lavabo içi ve gider temiz
Batarya parlak, su lekesi yok
Sıvı sabun dolu
Ayna lekesiz
Havlular katlı ve tam</t>
        </is>
      </c>
      <c r="G63" s="5" t="inlineStr">
        <is>
          <t>Evet</t>
        </is>
      </c>
      <c r="H63" s="5" t="inlineStr">
        <is>
          <t>Evet</t>
        </is>
      </c>
      <c r="I63" s="5" t="inlineStr">
        <is>
          <t>Hayır</t>
        </is>
      </c>
      <c r="K63" s="5" t="n">
        <v>1</v>
      </c>
      <c r="L63" s="5" t="inlineStr">
        <is>
          <t>Lavaboda kıl, sabun kalıntısı, su lekesi var mı? Aynada leke var mı? Havlular düzgün katlı mı? Konaklama kontrolündeysen misafir eşyalarını değerlendirme.</t>
        </is>
      </c>
    </row>
    <row r="64">
      <c r="A64" s="5" t="inlineStr">
        <is>
          <t>BSA</t>
        </is>
      </c>
      <c r="B64" s="5" t="n">
        <v>3</v>
      </c>
      <c r="C64" s="5" t="inlineStr">
        <is>
          <t>Banyo</t>
        </is>
      </c>
      <c r="D64" s="5" t="inlineStr">
        <is>
          <t>WC</t>
        </is>
      </c>
      <c r="E64" s="5" t="inlineStr">
        <is>
          <t>Klozet kapağı açık, tuvalet kağıdı ve yedek rulo görünecek şekilde çek.</t>
        </is>
      </c>
      <c r="F64" s="5" t="inlineStr">
        <is>
          <t>Klozet içi, kapak altı ve dış yüzey temiz
WC fırçası temiz
Tuvalet kağıdı takılı + yedek rulo
Çöp kovası boş, poşet yeni</t>
        </is>
      </c>
      <c r="G64" s="5" t="inlineStr">
        <is>
          <t>Evet</t>
        </is>
      </c>
      <c r="H64" s="5" t="inlineStr">
        <is>
          <t>Evet</t>
        </is>
      </c>
      <c r="I64" s="5" t="inlineStr">
        <is>
          <t>Hayır</t>
        </is>
      </c>
      <c r="K64" s="5" t="n">
        <v>1</v>
      </c>
      <c r="L64" s="5" t="inlineStr">
        <is>
          <t>Klozet içinde veya kapakta leke/kir var mı? Tuvalet kağıdı ve yedek rulo var mı? Çöp kovası boş mu?</t>
        </is>
      </c>
    </row>
    <row r="65">
      <c r="A65" s="5" t="inlineStr">
        <is>
          <t>BSA</t>
        </is>
      </c>
      <c r="B65" s="5" t="n">
        <v>4</v>
      </c>
      <c r="C65" s="5" t="inlineStr">
        <is>
          <t>Banyo</t>
        </is>
      </c>
      <c r="D65" s="5" t="inlineStr">
        <is>
          <t>Duş</t>
        </is>
      </c>
      <c r="E65" s="5" t="inlineStr">
        <is>
          <t>Duş camını ışığa karşı çek (kireç böyle görünür); dispenserler ve gider görünsün.</t>
        </is>
      </c>
      <c r="F65" s="5" t="inlineStr">
        <is>
          <t>Camda kireç ve su lekesi yok
Duş seti askıda
Şampuan/duş jeli dolu
Giderde saç yok</t>
        </is>
      </c>
      <c r="G65" s="5" t="inlineStr">
        <is>
          <t>Evet</t>
        </is>
      </c>
      <c r="H65" s="5" t="inlineStr">
        <is>
          <t>Evet</t>
        </is>
      </c>
      <c r="I65" s="5" t="inlineStr">
        <is>
          <t>Hayır</t>
        </is>
      </c>
      <c r="K65" s="5" t="n">
        <v>1</v>
      </c>
      <c r="L65" s="5" t="inlineStr">
        <is>
          <t>Duş camında kireç/su lekesi, giderde saç, zeminde kir var mı? Konaklama kontrolündeysen misafir eşyalarını değerlendirme.</t>
        </is>
      </c>
    </row>
    <row r="66">
      <c r="A66" s="5" t="inlineStr">
        <is>
          <t>BSA</t>
        </is>
      </c>
      <c r="B66" s="5" t="n">
        <v>5</v>
      </c>
      <c r="C66" s="5" t="inlineStr">
        <is>
          <t>Oda</t>
        </is>
      </c>
      <c r="D66" s="5" t="inlineStr">
        <is>
          <t>Gardırop</t>
        </is>
      </c>
      <c r="E66" s="5" t="inlineStr">
        <is>
          <t>Kapakları aç, askıları ve rafları tek karede çek. İçerisi karanlıksa feneri aç.</t>
        </is>
      </c>
      <c r="F66" s="5" t="inlineStr">
        <is>
          <t>Askılar tam
Yedek battaniye/yastık katlı
Unutulmuş eşya yok</t>
        </is>
      </c>
      <c r="G66" s="5" t="inlineStr">
        <is>
          <t>Evet</t>
        </is>
      </c>
      <c r="H66" s="5" t="inlineStr">
        <is>
          <t>Hayır</t>
        </is>
      </c>
      <c r="I66" s="5" t="inlineStr">
        <is>
          <t>Evet</t>
        </is>
      </c>
      <c r="K66" s="5" t="n">
        <v>1</v>
      </c>
      <c r="L66" s="5" t="inlineStr">
        <is>
          <t>Gardıropta unutulmuş eşya, çöp var mı? Askılar düzenli mi?</t>
        </is>
      </c>
    </row>
    <row r="67">
      <c r="A67" s="5" t="inlineStr">
        <is>
          <t>BSA</t>
        </is>
      </c>
      <c r="B67" s="5" t="n">
        <v>6</v>
      </c>
      <c r="C67" s="5" t="inlineStr">
        <is>
          <t>Mutfak</t>
        </is>
      </c>
      <c r="D67" s="5" t="inlineStr">
        <is>
          <t>Mutfak tezgahı</t>
        </is>
      </c>
      <c r="E67" s="5" t="inlineStr">
        <is>
          <t>Tezgahın karşısından ocak, evye, kettle ve bulaşıklık tek karede olacak şekilde çek.</t>
        </is>
      </c>
      <c r="F67" s="5" t="inlineStr">
        <is>
          <t>Ocak temiz
Evye ve batarya temiz
Sünger ve fırça temiz
Bulaşıklık boş ve kuru
Kettle boş, kablosu toplanmış
Tuz-biber-yağ dolu
Çöp kovası boş</t>
        </is>
      </c>
      <c r="G67" s="5" t="inlineStr">
        <is>
          <t>Evet</t>
        </is>
      </c>
      <c r="H67" s="5" t="inlineStr">
        <is>
          <t>Evet</t>
        </is>
      </c>
      <c r="I67" s="5" t="inlineStr">
        <is>
          <t>Hayır</t>
        </is>
      </c>
      <c r="K67" s="5" t="n">
        <v>1</v>
      </c>
      <c r="L67" s="5" t="inlineStr">
        <is>
          <t>Tezgahta, ocakta, evyede kir, yağ, kırıntı veya bulaşık var mı? Çöp dolu mu? Konaklama kontrolündeysen misafir eşyalarını değerlendirme.</t>
        </is>
      </c>
    </row>
    <row r="68">
      <c r="A68" s="5" t="inlineStr">
        <is>
          <t>BSA</t>
        </is>
      </c>
      <c r="B68" s="5" t="n">
        <v>7</v>
      </c>
      <c r="C68" s="5" t="inlineStr">
        <is>
          <t>Mutfak</t>
        </is>
      </c>
      <c r="D68" s="5" t="inlineStr">
        <is>
          <t>Çekmeceler</t>
        </is>
      </c>
      <c r="E68" s="5" t="inlineStr">
        <is>
          <t>Çekmeceleri sırayla aç, feneri aç ve her birini tam üstten çek.</t>
        </is>
      </c>
      <c r="F68" s="5" t="inlineStr">
        <is>
          <t>Çatal, kaşık, bıçak tam
Servis gereçleri yerinde
Çekmece içleri kırıntısız</t>
        </is>
      </c>
      <c r="G68" s="5" t="inlineStr">
        <is>
          <t>Evet</t>
        </is>
      </c>
      <c r="H68" s="5" t="inlineStr">
        <is>
          <t>Hayır</t>
        </is>
      </c>
      <c r="I68" s="5" t="inlineStr">
        <is>
          <t>Evet</t>
        </is>
      </c>
      <c r="K68" s="5" t="n">
        <v>2</v>
      </c>
      <c r="L68" s="5" t="inlineStr">
        <is>
          <t>Çekmece içinde kırıntı, kir, yerinden oynamış eşya var mı?</t>
        </is>
      </c>
    </row>
    <row r="69">
      <c r="A69" s="5" t="inlineStr">
        <is>
          <t>BSA</t>
        </is>
      </c>
      <c r="B69" s="5" t="n">
        <v>8</v>
      </c>
      <c r="C69" s="5" t="inlineStr">
        <is>
          <t>Mutfak</t>
        </is>
      </c>
      <c r="D69" s="5" t="inlineStr">
        <is>
          <t>Dolaplar: tabak, bardak, tencere</t>
        </is>
      </c>
      <c r="E69" s="5" t="inlineStr">
        <is>
          <t>Üst ve alt dolapların kapaklarını aç, feneri aç; tabak, bardak ve tencereler görünsün.</t>
        </is>
      </c>
      <c r="F69" s="5" t="inlineStr">
        <is>
          <t>Tabak, kase, bardak, kupa sayısı tam
Bardaklarda su lekesi, kupalarda çay/kahve izi yok
Tencere ve tavalar temiz, kapaklı
Evye altında sızıntı yok</t>
        </is>
      </c>
      <c r="G69" s="5" t="inlineStr">
        <is>
          <t>Evet</t>
        </is>
      </c>
      <c r="H69" s="5" t="inlineStr">
        <is>
          <t>Hayır</t>
        </is>
      </c>
      <c r="I69" s="5" t="inlineStr">
        <is>
          <t>Evet</t>
        </is>
      </c>
      <c r="K69" s="5" t="n">
        <v>2</v>
      </c>
      <c r="L69" s="5" t="inlineStr">
        <is>
          <t>Bardaklarda leke, tabaklarda iz/çatlak, tencerelerde yemek kalıntısı var mı?</t>
        </is>
      </c>
    </row>
    <row r="70">
      <c r="A70" s="5" t="inlineStr">
        <is>
          <t>BSA</t>
        </is>
      </c>
      <c r="B70" s="5" t="n">
        <v>9</v>
      </c>
      <c r="C70" s="5" t="inlineStr">
        <is>
          <t>Mutfak</t>
        </is>
      </c>
      <c r="D70" s="5" t="inlineStr">
        <is>
          <t>Buzdolabı</t>
        </is>
      </c>
      <c r="E70" s="5" t="inlineStr">
        <is>
          <t>Kapağı tamamen aç; içi ve kapak rafları görünsün.</t>
        </is>
      </c>
      <c r="F70" s="5" t="inlineStr">
        <is>
          <t>Raflar temiz
Unutulmuş yiyecek yok
Koku ve buzlanma yok</t>
        </is>
      </c>
      <c r="G70" s="5" t="inlineStr">
        <is>
          <t>Evet</t>
        </is>
      </c>
      <c r="H70" s="5" t="inlineStr">
        <is>
          <t>Hayır</t>
        </is>
      </c>
      <c r="I70" s="5" t="inlineStr">
        <is>
          <t>Hayır</t>
        </is>
      </c>
      <c r="K70" s="5" t="n">
        <v>1</v>
      </c>
      <c r="L70" s="5" t="inlineStr">
        <is>
          <t>Buzdolabında yiyecek kalıntısı, leke, buzlanma var mı?</t>
        </is>
      </c>
    </row>
    <row r="71">
      <c r="A71" s="5" t="inlineStr">
        <is>
          <t>BSA</t>
        </is>
      </c>
      <c r="B71" s="5" t="n">
        <v>10</v>
      </c>
      <c r="C71" s="5" t="inlineStr">
        <is>
          <t>Mutfak</t>
        </is>
      </c>
      <c r="D71" s="5" t="inlineStr">
        <is>
          <t>Mikrodalga</t>
        </is>
      </c>
      <c r="E71" s="5" t="inlineStr">
        <is>
          <t>Mikrodalga kapağını açıp içini çek.</t>
        </is>
      </c>
      <c r="F71" s="5" t="inlineStr">
        <is>
          <t>İçi temiz, yağ ve yemek kalıntısı yok
Tabla yerinde</t>
        </is>
      </c>
      <c r="G71" s="5" t="inlineStr">
        <is>
          <t>Evet</t>
        </is>
      </c>
      <c r="H71" s="5" t="inlineStr">
        <is>
          <t>Hayır</t>
        </is>
      </c>
      <c r="I71" s="5" t="inlineStr">
        <is>
          <t>Evet</t>
        </is>
      </c>
      <c r="K71" s="5" t="n">
        <v>1</v>
      </c>
      <c r="L71" s="5" t="inlineStr">
        <is>
          <t>İçeride yağ, yanık, yemek kalıntısı var mı?</t>
        </is>
      </c>
    </row>
    <row r="72">
      <c r="A72" s="5" t="inlineStr">
        <is>
          <t>BSA</t>
        </is>
      </c>
      <c r="B72" s="5" t="n">
        <v>11</v>
      </c>
      <c r="C72" s="5" t="inlineStr">
        <is>
          <t>Mutfak</t>
        </is>
      </c>
      <c r="D72" s="5" t="inlineStr">
        <is>
          <t>Çamaşır makinesi</t>
        </is>
      </c>
      <c r="E72" s="5" t="inlineStr">
        <is>
          <t>Kapağını açıp tamburu çek.</t>
        </is>
      </c>
      <c r="F72" s="5" t="inlineStr">
        <is>
          <t>Tambur boş
Kapak lastiği temiz</t>
        </is>
      </c>
      <c r="G72" s="5" t="inlineStr">
        <is>
          <t>Evet</t>
        </is>
      </c>
      <c r="H72" s="5" t="inlineStr">
        <is>
          <t>Hayır</t>
        </is>
      </c>
      <c r="I72" s="5" t="inlineStr">
        <is>
          <t>Evet</t>
        </is>
      </c>
      <c r="K72" s="5" t="n">
        <v>1</v>
      </c>
      <c r="L72" s="5" t="inlineStr">
        <is>
          <t>Tamburda unutulmuş çamaşır var mı?</t>
        </is>
      </c>
    </row>
    <row r="73">
      <c r="A73" s="5" t="inlineStr">
        <is>
          <t>BSA</t>
        </is>
      </c>
      <c r="B73" s="5" t="n">
        <v>12</v>
      </c>
      <c r="C73" s="5" t="inlineStr">
        <is>
          <t>Oda</t>
        </is>
      </c>
      <c r="D73" s="5" t="inlineStr">
        <is>
          <t>TV ve ünite</t>
        </is>
      </c>
      <c r="E73" s="5" t="inlineStr">
        <is>
          <t>TV ve ünite raflarını önden çek.</t>
        </is>
      </c>
      <c r="F73" s="5" t="inlineStr">
        <is>
          <t>TV ekranı tozsuz
Ünite rafları tozsuz
Kumandalar yerinde</t>
        </is>
      </c>
      <c r="G73" s="5" t="inlineStr">
        <is>
          <t>Evet</t>
        </is>
      </c>
      <c r="H73" s="5" t="inlineStr">
        <is>
          <t>Evet</t>
        </is>
      </c>
      <c r="I73" s="5" t="inlineStr">
        <is>
          <t>Hayır</t>
        </is>
      </c>
      <c r="K73" s="5" t="n">
        <v>1</v>
      </c>
      <c r="L73" s="5" t="inlineStr">
        <is>
          <t>TV ve raflarda toz, leke var mı? Konaklama kontrolündeysen misafir eşyalarını değerlendirme.</t>
        </is>
      </c>
    </row>
    <row r="74">
      <c r="A74" s="5" t="inlineStr">
        <is>
          <t>BSA</t>
        </is>
      </c>
      <c r="B74" s="5" t="n">
        <v>13</v>
      </c>
      <c r="C74" s="5" t="inlineStr">
        <is>
          <t>Oda</t>
        </is>
      </c>
      <c r="D74" s="5" t="inlineStr">
        <is>
          <t>Oturma alanı ve masa</t>
        </is>
      </c>
      <c r="E74" s="5" t="inlineStr">
        <is>
          <t>Pencereye doğru geniş açıyla çek; masa, koltuklar ve kanepe görünsün.</t>
        </is>
      </c>
      <c r="F74" s="5" t="inlineStr">
        <is>
          <t>Perde ve tül düzgün
Masa temiz
Koltuk/kanepe temiz, minderler düzgün</t>
        </is>
      </c>
      <c r="G74" s="5" t="inlineStr">
        <is>
          <t>Evet</t>
        </is>
      </c>
      <c r="H74" s="5" t="inlineStr">
        <is>
          <t>Evet</t>
        </is>
      </c>
      <c r="I74" s="5" t="inlineStr">
        <is>
          <t>Hayır</t>
        </is>
      </c>
      <c r="K74" s="5" t="n">
        <v>1</v>
      </c>
      <c r="L74" s="5" t="inlineStr">
        <is>
          <t>Masada, koltuklarda kir, leke, unutulmuş eşya var mı? Konaklama kontrolündeysen misafir eşyalarını değerlendirme.</t>
        </is>
      </c>
    </row>
    <row r="75">
      <c r="A75" s="5" t="inlineStr">
        <is>
          <t>BSA</t>
        </is>
      </c>
      <c r="B75" s="5" t="n">
        <v>14</v>
      </c>
      <c r="C75" s="5" t="inlineStr">
        <is>
          <t>Oda</t>
        </is>
      </c>
      <c r="D75" s="5" t="inlineStr">
        <is>
          <t>Yatak ve komodinler</t>
        </is>
      </c>
      <c r="E75" s="5" t="inlineStr">
        <is>
          <t>Yatağı ayak ucundan tamamı görünecek şekilde çek; ikinci karede yatak altını ve komodinleri çek.</t>
        </is>
      </c>
      <c r="F75" s="5" t="inlineStr">
        <is>
          <t>Çarşaf dört köşeden gergin
Yastıklar tam, kılıflar lekesiz
Yatak altında eşya/toz yok
Komodinler boş ve tozsuz</t>
        </is>
      </c>
      <c r="G75" s="5" t="inlineStr">
        <is>
          <t>Evet</t>
        </is>
      </c>
      <c r="H75" s="5" t="inlineStr">
        <is>
          <t>Evet</t>
        </is>
      </c>
      <c r="I75" s="5" t="inlineStr">
        <is>
          <t>Hayır</t>
        </is>
      </c>
      <c r="K75" s="5" t="n">
        <v>2</v>
      </c>
      <c r="L75" s="5" t="inlineStr">
        <is>
          <t>Çarşafta kırışık, leke, saç var mı? Yastıklar düzgün mü? Yatak altında eşya/toz var mı? Konaklama kontrolündeysen misafir eşyalarını değerlendirme.</t>
        </is>
      </c>
    </row>
    <row r="76">
      <c r="A76" s="5" t="inlineStr">
        <is>
          <t>BSA</t>
        </is>
      </c>
      <c r="B76" s="5" t="n">
        <v>15</v>
      </c>
      <c r="C76" s="5" t="inlineStr">
        <is>
          <t>Oda</t>
        </is>
      </c>
      <c r="D76" s="5" t="inlineStr">
        <is>
          <t>Genel oda</t>
        </is>
      </c>
      <c r="E76" s="5" t="inlineStr">
        <is>
          <t>Kapı tarafından tüm odayı tek geniş karede çek. Tüm ışıklar açık.</t>
        </is>
      </c>
      <c r="F76" s="5" t="inlineStr">
        <is>
          <t>Klima çalışıyor
Çöp kovaları boş
Zemin temiz
Duvarda iz yok
Tüm aydınlatma yanıyor</t>
        </is>
      </c>
      <c r="G76" s="5" t="inlineStr">
        <is>
          <t>Evet</t>
        </is>
      </c>
      <c r="H76" s="5" t="inlineStr">
        <is>
          <t>Evet</t>
        </is>
      </c>
      <c r="I76" s="5" t="inlineStr">
        <is>
          <t>Hayır</t>
        </is>
      </c>
      <c r="K76" s="5" t="n">
        <v>1</v>
      </c>
      <c r="L76" s="5" t="inlineStr">
        <is>
          <t>Zeminde kir, çöp; yanmayan lamba; dağınıklık var mı? Konaklama kontrolündeysen misafir eşyalarını değerlendirme.</t>
        </is>
      </c>
    </row>
    <row r="77">
      <c r="A77" s="5" t="inlineStr">
        <is>
          <t>EDR</t>
        </is>
      </c>
      <c r="B77" s="5" t="n">
        <v>1</v>
      </c>
      <c r="C77" s="5" t="inlineStr">
        <is>
          <t>Giriş</t>
        </is>
      </c>
      <c r="D77" s="5" t="inlineStr">
        <is>
          <t>Giriş ve kapı</t>
        </is>
      </c>
      <c r="E77" s="5" t="inlineStr">
        <is>
          <t>Kapıdan girip girişi ve koridoru tek karede çek. Tüm ışıklar açık olsun.</t>
        </is>
      </c>
      <c r="F77" s="5" t="inlineStr">
        <is>
          <t>Kapı ve şifreli kilit çalışıyor
Süpürgelik ve duvar dipleri tozsuz
Aplikler yanıyor
Zeminde leke, saç, kum yok</t>
        </is>
      </c>
      <c r="G77" s="5" t="inlineStr">
        <is>
          <t>Evet</t>
        </is>
      </c>
      <c r="H77" s="5" t="inlineStr">
        <is>
          <t>Evet</t>
        </is>
      </c>
      <c r="I77" s="5" t="inlineStr">
        <is>
          <t>Hayır</t>
        </is>
      </c>
      <c r="K77" s="5" t="n">
        <v>1</v>
      </c>
      <c r="L77" s="5" t="inlineStr">
        <is>
          <t>Zeminde görünür kir, saç, çöp var mı? Yanmayan lamba var mı? Konaklama kontrolündeysen misafir eşyalarını değerlendirme.</t>
        </is>
      </c>
    </row>
    <row r="78">
      <c r="A78" s="5" t="inlineStr">
        <is>
          <t>EDR</t>
        </is>
      </c>
      <c r="B78" s="5" t="n">
        <v>2</v>
      </c>
      <c r="C78" s="5" t="inlineStr">
        <is>
          <t>Banyo</t>
        </is>
      </c>
      <c r="D78" s="5" t="inlineStr">
        <is>
          <t>Lavabo ve ayna</t>
        </is>
      </c>
      <c r="E78" s="5" t="inlineStr">
        <is>
          <t>Lavabo, batarya, ayna ve havlu rafı aynı karede olacak şekilde çek.</t>
        </is>
      </c>
      <c r="F78" s="5" t="inlineStr">
        <is>
          <t>Lavabo içi ve gider temiz
Batarya parlak, su lekesi yok
Sıvı sabun dolu
Ayna lekesiz
Havlular katlı ve tam</t>
        </is>
      </c>
      <c r="G78" s="5" t="inlineStr">
        <is>
          <t>Evet</t>
        </is>
      </c>
      <c r="H78" s="5" t="inlineStr">
        <is>
          <t>Evet</t>
        </is>
      </c>
      <c r="I78" s="5" t="inlineStr">
        <is>
          <t>Hayır</t>
        </is>
      </c>
      <c r="K78" s="5" t="n">
        <v>1</v>
      </c>
      <c r="L78" s="5" t="inlineStr">
        <is>
          <t>Lavaboda kıl, sabun kalıntısı, su lekesi var mı? Aynada leke var mı? Havlular düzgün katlı mı? Konaklama kontrolündeysen misafir eşyalarını değerlendirme.</t>
        </is>
      </c>
    </row>
    <row r="79">
      <c r="A79" s="5" t="inlineStr">
        <is>
          <t>EDR</t>
        </is>
      </c>
      <c r="B79" s="5" t="n">
        <v>3</v>
      </c>
      <c r="C79" s="5" t="inlineStr">
        <is>
          <t>Banyo</t>
        </is>
      </c>
      <c r="D79" s="5" t="inlineStr">
        <is>
          <t>WC</t>
        </is>
      </c>
      <c r="E79" s="5" t="inlineStr">
        <is>
          <t>Klozet kapağı açık, tuvalet kağıdı ve yedek rulo görünecek şekilde çek.</t>
        </is>
      </c>
      <c r="F79" s="5" t="inlineStr">
        <is>
          <t>Klozet içi, kapak altı ve dış yüzey temiz
WC fırçası temiz
Tuvalet kağıdı takılı + yedek rulo
Çöp kovası boş, poşet yeni</t>
        </is>
      </c>
      <c r="G79" s="5" t="inlineStr">
        <is>
          <t>Evet</t>
        </is>
      </c>
      <c r="H79" s="5" t="inlineStr">
        <is>
          <t>Evet</t>
        </is>
      </c>
      <c r="I79" s="5" t="inlineStr">
        <is>
          <t>Hayır</t>
        </is>
      </c>
      <c r="K79" s="5" t="n">
        <v>1</v>
      </c>
      <c r="L79" s="5" t="inlineStr">
        <is>
          <t>Klozet içinde veya kapakta leke/kir var mı? Tuvalet kağıdı ve yedek rulo var mı? Çöp kovası boş mu?</t>
        </is>
      </c>
    </row>
    <row r="80">
      <c r="A80" s="5" t="inlineStr">
        <is>
          <t>EDR</t>
        </is>
      </c>
      <c r="B80" s="5" t="n">
        <v>4</v>
      </c>
      <c r="C80" s="5" t="inlineStr">
        <is>
          <t>Banyo</t>
        </is>
      </c>
      <c r="D80" s="5" t="inlineStr">
        <is>
          <t>Duş</t>
        </is>
      </c>
      <c r="E80" s="5" t="inlineStr">
        <is>
          <t>Duş camını ışığa karşı çek (kireç böyle görünür); dispenserler ve gider görünsün.</t>
        </is>
      </c>
      <c r="F80" s="5" t="inlineStr">
        <is>
          <t>Camda kireç ve su lekesi yok
Duş seti askıda
Şampuan/duş jeli dolu
Giderde saç yok</t>
        </is>
      </c>
      <c r="G80" s="5" t="inlineStr">
        <is>
          <t>Evet</t>
        </is>
      </c>
      <c r="H80" s="5" t="inlineStr">
        <is>
          <t>Evet</t>
        </is>
      </c>
      <c r="I80" s="5" t="inlineStr">
        <is>
          <t>Hayır</t>
        </is>
      </c>
      <c r="K80" s="5" t="n">
        <v>1</v>
      </c>
      <c r="L80" s="5" t="inlineStr">
        <is>
          <t>Duş camında kireç/su lekesi, giderde saç, zeminde kir var mı? Konaklama kontrolündeysen misafir eşyalarını değerlendirme.</t>
        </is>
      </c>
    </row>
    <row r="81">
      <c r="A81" s="5" t="inlineStr">
        <is>
          <t>EDR</t>
        </is>
      </c>
      <c r="B81" s="5" t="n">
        <v>5</v>
      </c>
      <c r="C81" s="5" t="inlineStr">
        <is>
          <t>Oda</t>
        </is>
      </c>
      <c r="D81" s="5" t="inlineStr">
        <is>
          <t>Gardırop</t>
        </is>
      </c>
      <c r="E81" s="5" t="inlineStr">
        <is>
          <t>Kapakları aç, askıları ve rafları tek karede çek. İçerisi karanlıksa feneri aç.</t>
        </is>
      </c>
      <c r="F81" s="5" t="inlineStr">
        <is>
          <t>Askılar tam
Yedek battaniye/yastık katlı
Unutulmuş eşya yok</t>
        </is>
      </c>
      <c r="G81" s="5" t="inlineStr">
        <is>
          <t>Evet</t>
        </is>
      </c>
      <c r="H81" s="5" t="inlineStr">
        <is>
          <t>Hayır</t>
        </is>
      </c>
      <c r="I81" s="5" t="inlineStr">
        <is>
          <t>Evet</t>
        </is>
      </c>
      <c r="K81" s="5" t="n">
        <v>1</v>
      </c>
      <c r="L81" s="5" t="inlineStr">
        <is>
          <t>Gardıropta unutulmuş eşya, çöp var mı? Askılar düzenli mi?</t>
        </is>
      </c>
    </row>
    <row r="82">
      <c r="A82" s="5" t="inlineStr">
        <is>
          <t>EDR</t>
        </is>
      </c>
      <c r="B82" s="5" t="n">
        <v>6</v>
      </c>
      <c r="C82" s="5" t="inlineStr">
        <is>
          <t>Oda</t>
        </is>
      </c>
      <c r="D82" s="5" t="inlineStr">
        <is>
          <t>Kasa</t>
        </is>
      </c>
      <c r="E82" s="5" t="inlineStr">
        <is>
          <t>Kasa kapağını açıp içini çek.</t>
        </is>
      </c>
      <c r="F82" s="5" t="inlineStr">
        <is>
          <t>Kasa boş
Kasa açık bırakılmış, kilitli değil</t>
        </is>
      </c>
      <c r="G82" s="5" t="inlineStr">
        <is>
          <t>Evet</t>
        </is>
      </c>
      <c r="H82" s="5" t="inlineStr">
        <is>
          <t>Hayır</t>
        </is>
      </c>
      <c r="I82" s="5" t="inlineStr">
        <is>
          <t>Evet</t>
        </is>
      </c>
      <c r="K82" s="5" t="n">
        <v>1</v>
      </c>
      <c r="L82" s="5" t="inlineStr">
        <is>
          <t>Kasanın içinde eşya var mı? Kapak açık mı?</t>
        </is>
      </c>
    </row>
    <row r="83">
      <c r="A83" s="5" t="inlineStr">
        <is>
          <t>EDR</t>
        </is>
      </c>
      <c r="B83" s="5" t="n">
        <v>7</v>
      </c>
      <c r="C83" s="5" t="inlineStr">
        <is>
          <t>Oda</t>
        </is>
      </c>
      <c r="D83" s="5" t="inlineStr">
        <is>
          <t>Kettle ve ikram</t>
        </is>
      </c>
      <c r="E83" s="5" t="inlineStr">
        <is>
          <t>Kettle, bardaklar ve ikram tepsisini tek karede çek.</t>
        </is>
      </c>
      <c r="F83" s="5" t="inlineStr">
        <is>
          <t>Kettle boş ve temiz
Bardaklar lekesiz
İkram tepsisi tam</t>
        </is>
      </c>
      <c r="G83" s="5" t="inlineStr">
        <is>
          <t>Evet</t>
        </is>
      </c>
      <c r="H83" s="5" t="inlineStr">
        <is>
          <t>Evet</t>
        </is>
      </c>
      <c r="I83" s="5" t="inlineStr">
        <is>
          <t>Hayır</t>
        </is>
      </c>
      <c r="K83" s="5" t="n">
        <v>1</v>
      </c>
      <c r="L83" s="5" t="inlineStr">
        <is>
          <t>Bardaklarda leke, kettle içinde su/kireç var mı? İkram eksik mi?</t>
        </is>
      </c>
    </row>
    <row r="84">
      <c r="A84" s="5" t="inlineStr">
        <is>
          <t>EDR</t>
        </is>
      </c>
      <c r="B84" s="5" t="n">
        <v>8</v>
      </c>
      <c r="C84" s="5" t="inlineStr">
        <is>
          <t>Oda</t>
        </is>
      </c>
      <c r="D84" s="5" t="inlineStr">
        <is>
          <t>TV ve ünite</t>
        </is>
      </c>
      <c r="E84" s="5" t="inlineStr">
        <is>
          <t>TV ve ünite raflarını önden çek.</t>
        </is>
      </c>
      <c r="F84" s="5" t="inlineStr">
        <is>
          <t>TV ekranı tozsuz
Ünite rafları tozsuz
Kumandalar yerinde</t>
        </is>
      </c>
      <c r="G84" s="5" t="inlineStr">
        <is>
          <t>Evet</t>
        </is>
      </c>
      <c r="H84" s="5" t="inlineStr">
        <is>
          <t>Evet</t>
        </is>
      </c>
      <c r="I84" s="5" t="inlineStr">
        <is>
          <t>Hayır</t>
        </is>
      </c>
      <c r="K84" s="5" t="n">
        <v>1</v>
      </c>
      <c r="L84" s="5" t="inlineStr">
        <is>
          <t>TV ve raflarda toz, leke var mı? Konaklama kontrolündeysen misafir eşyalarını değerlendirme.</t>
        </is>
      </c>
    </row>
    <row r="85">
      <c r="A85" s="5" t="inlineStr">
        <is>
          <t>EDR</t>
        </is>
      </c>
      <c r="B85" s="5" t="n">
        <v>9</v>
      </c>
      <c r="C85" s="5" t="inlineStr">
        <is>
          <t>Oda</t>
        </is>
      </c>
      <c r="D85" s="5" t="inlineStr">
        <is>
          <t>Yatak ve komodinler</t>
        </is>
      </c>
      <c r="E85" s="5" t="inlineStr">
        <is>
          <t>Yatağı ayak ucundan tamamı görünecek şekilde çek; ikinci karede yatak altını ve komodinleri çek.</t>
        </is>
      </c>
      <c r="F85" s="5" t="inlineStr">
        <is>
          <t>Çarşaf dört köşeden gergin
Yastıklar tam, kılıflar lekesiz
Yatak altında eşya/toz yok
Komodinler boş ve tozsuz</t>
        </is>
      </c>
      <c r="G85" s="5" t="inlineStr">
        <is>
          <t>Evet</t>
        </is>
      </c>
      <c r="H85" s="5" t="inlineStr">
        <is>
          <t>Evet</t>
        </is>
      </c>
      <c r="I85" s="5" t="inlineStr">
        <is>
          <t>Hayır</t>
        </is>
      </c>
      <c r="K85" s="5" t="n">
        <v>2</v>
      </c>
      <c r="L85" s="5" t="inlineStr">
        <is>
          <t>Çarşafta kırışık, leke, saç var mı? Yastıklar düzgün mü? Yatak altında eşya/toz var mı? Konaklama kontrolündeysen misafir eşyalarını değerlendirme.</t>
        </is>
      </c>
    </row>
    <row r="86">
      <c r="A86" s="5" t="inlineStr">
        <is>
          <t>EDR</t>
        </is>
      </c>
      <c r="B86" s="5" t="n">
        <v>10</v>
      </c>
      <c r="C86" s="5" t="inlineStr">
        <is>
          <t>Oda</t>
        </is>
      </c>
      <c r="D86" s="5" t="inlineStr">
        <is>
          <t>Genel oda</t>
        </is>
      </c>
      <c r="E86" s="5" t="inlineStr">
        <is>
          <t>Kapı tarafından tüm odayı tek geniş karede çek. Tüm ışıklar açık.</t>
        </is>
      </c>
      <c r="F86" s="5" t="inlineStr">
        <is>
          <t>Klima çalışıyor
Çöp kovaları boş
Zemin temiz
Duvarda iz yok
Tüm aydınlatma yanıyor</t>
        </is>
      </c>
      <c r="G86" s="5" t="inlineStr">
        <is>
          <t>Evet</t>
        </is>
      </c>
      <c r="H86" s="5" t="inlineStr">
        <is>
          <t>Evet</t>
        </is>
      </c>
      <c r="I86" s="5" t="inlineStr">
        <is>
          <t>Hayır</t>
        </is>
      </c>
      <c r="K86" s="5" t="n">
        <v>1</v>
      </c>
      <c r="L86" s="5" t="inlineStr">
        <is>
          <t>Zeminde kir, çöp; yanmayan lamba; dağınıklık var mı? Konaklama kontrolündeysen misafir eşyalarını değerlendirme.</t>
        </is>
      </c>
    </row>
    <row r="87">
      <c r="A87" s="5" t="inlineStr">
        <is>
          <t>DSSW</t>
        </is>
      </c>
      <c r="B87" s="5" t="n">
        <v>1</v>
      </c>
      <c r="C87" s="5" t="inlineStr">
        <is>
          <t>Giriş</t>
        </is>
      </c>
      <c r="D87" s="5" t="inlineStr">
        <is>
          <t>Giriş ve kapı</t>
        </is>
      </c>
      <c r="E87" s="5" t="inlineStr">
        <is>
          <t>Kapıdan girip girişi ve koridoru tek karede çek. Tüm ışıklar açık olsun.</t>
        </is>
      </c>
      <c r="F87" s="5" t="inlineStr">
        <is>
          <t>Kapı ve şifreli kilit çalışıyor
Süpürgelik ve duvar dipleri tozsuz
Aplikler yanıyor
Zeminde leke, saç, kum yok</t>
        </is>
      </c>
      <c r="G87" s="5" t="inlineStr">
        <is>
          <t>Evet</t>
        </is>
      </c>
      <c r="H87" s="5" t="inlineStr">
        <is>
          <t>Evet</t>
        </is>
      </c>
      <c r="I87" s="5" t="inlineStr">
        <is>
          <t>Hayır</t>
        </is>
      </c>
      <c r="K87" s="5" t="n">
        <v>1</v>
      </c>
      <c r="L87" s="5" t="inlineStr">
        <is>
          <t>Zeminde görünür kir, saç, çöp var mı? Yanmayan lamba var mı? Konaklama kontrolündeysen misafir eşyalarını değerlendirme.</t>
        </is>
      </c>
    </row>
    <row r="88">
      <c r="A88" s="5" t="inlineStr">
        <is>
          <t>DSSW</t>
        </is>
      </c>
      <c r="B88" s="5" t="n">
        <v>2</v>
      </c>
      <c r="C88" s="5" t="inlineStr">
        <is>
          <t>Banyo</t>
        </is>
      </c>
      <c r="D88" s="5" t="inlineStr">
        <is>
          <t>Lavabo ve ayna</t>
        </is>
      </c>
      <c r="E88" s="5" t="inlineStr">
        <is>
          <t>Lavabo, batarya, ayna ve havlu rafı aynı karede olacak şekilde çek.</t>
        </is>
      </c>
      <c r="F88" s="5" t="inlineStr">
        <is>
          <t>Lavabo içi ve gider temiz
Batarya parlak, su lekesi yok
Sıvı sabun dolu
Ayna lekesiz
Havlular katlı ve tam</t>
        </is>
      </c>
      <c r="G88" s="5" t="inlineStr">
        <is>
          <t>Evet</t>
        </is>
      </c>
      <c r="H88" s="5" t="inlineStr">
        <is>
          <t>Evet</t>
        </is>
      </c>
      <c r="I88" s="5" t="inlineStr">
        <is>
          <t>Hayır</t>
        </is>
      </c>
      <c r="K88" s="5" t="n">
        <v>1</v>
      </c>
      <c r="L88" s="5" t="inlineStr">
        <is>
          <t>Lavaboda kıl, sabun kalıntısı, su lekesi var mı? Aynada leke var mı? Havlular düzgün katlı mı? Konaklama kontrolündeysen misafir eşyalarını değerlendirme.</t>
        </is>
      </c>
    </row>
    <row r="89">
      <c r="A89" s="5" t="inlineStr">
        <is>
          <t>DSSW</t>
        </is>
      </c>
      <c r="B89" s="5" t="n">
        <v>3</v>
      </c>
      <c r="C89" s="5" t="inlineStr">
        <is>
          <t>Banyo</t>
        </is>
      </c>
      <c r="D89" s="5" t="inlineStr">
        <is>
          <t>WC</t>
        </is>
      </c>
      <c r="E89" s="5" t="inlineStr">
        <is>
          <t>Klozet kapağı açık, tuvalet kağıdı ve yedek rulo görünecek şekilde çek.</t>
        </is>
      </c>
      <c r="F89" s="5" t="inlineStr">
        <is>
          <t>Klozet içi, kapak altı ve dış yüzey temiz
WC fırçası temiz
Tuvalet kağıdı takılı + yedek rulo
Çöp kovası boş, poşet yeni</t>
        </is>
      </c>
      <c r="G89" s="5" t="inlineStr">
        <is>
          <t>Evet</t>
        </is>
      </c>
      <c r="H89" s="5" t="inlineStr">
        <is>
          <t>Evet</t>
        </is>
      </c>
      <c r="I89" s="5" t="inlineStr">
        <is>
          <t>Hayır</t>
        </is>
      </c>
      <c r="K89" s="5" t="n">
        <v>1</v>
      </c>
      <c r="L89" s="5" t="inlineStr">
        <is>
          <t>Klozet içinde veya kapakta leke/kir var mı? Tuvalet kağıdı ve yedek rulo var mı? Çöp kovası boş mu?</t>
        </is>
      </c>
    </row>
    <row r="90">
      <c r="A90" s="5" t="inlineStr">
        <is>
          <t>DSSW</t>
        </is>
      </c>
      <c r="B90" s="5" t="n">
        <v>4</v>
      </c>
      <c r="C90" s="5" t="inlineStr">
        <is>
          <t>Banyo</t>
        </is>
      </c>
      <c r="D90" s="5" t="inlineStr">
        <is>
          <t>Duş</t>
        </is>
      </c>
      <c r="E90" s="5" t="inlineStr">
        <is>
          <t>Duş camını ışığa karşı çek (kireç böyle görünür); dispenserler ve gider görünsün.</t>
        </is>
      </c>
      <c r="F90" s="5" t="inlineStr">
        <is>
          <t>Camda kireç ve su lekesi yok
Duş seti askıda
Şampuan/duş jeli dolu
Giderde saç yok</t>
        </is>
      </c>
      <c r="G90" s="5" t="inlineStr">
        <is>
          <t>Evet</t>
        </is>
      </c>
      <c r="H90" s="5" t="inlineStr">
        <is>
          <t>Evet</t>
        </is>
      </c>
      <c r="I90" s="5" t="inlineStr">
        <is>
          <t>Hayır</t>
        </is>
      </c>
      <c r="K90" s="5" t="n">
        <v>1</v>
      </c>
      <c r="L90" s="5" t="inlineStr">
        <is>
          <t>Duş camında kireç/su lekesi, giderde saç, zeminde kir var mı? Konaklama kontrolündeysen misafir eşyalarını değerlendirme.</t>
        </is>
      </c>
    </row>
    <row r="91">
      <c r="A91" s="5" t="inlineStr">
        <is>
          <t>DSSW</t>
        </is>
      </c>
      <c r="B91" s="5" t="n">
        <v>5</v>
      </c>
      <c r="C91" s="5" t="inlineStr">
        <is>
          <t>Oda</t>
        </is>
      </c>
      <c r="D91" s="5" t="inlineStr">
        <is>
          <t>Gardırop</t>
        </is>
      </c>
      <c r="E91" s="5" t="inlineStr">
        <is>
          <t>Kapakları aç, askıları ve rafları tek karede çek. İçerisi karanlıksa feneri aç.</t>
        </is>
      </c>
      <c r="F91" s="5" t="inlineStr">
        <is>
          <t>Askılar tam
Yedek battaniye/yastık katlı
Unutulmuş eşya yok</t>
        </is>
      </c>
      <c r="G91" s="5" t="inlineStr">
        <is>
          <t>Evet</t>
        </is>
      </c>
      <c r="H91" s="5" t="inlineStr">
        <is>
          <t>Hayır</t>
        </is>
      </c>
      <c r="I91" s="5" t="inlineStr">
        <is>
          <t>Evet</t>
        </is>
      </c>
      <c r="K91" s="5" t="n">
        <v>1</v>
      </c>
      <c r="L91" s="5" t="inlineStr">
        <is>
          <t>Gardıropta unutulmuş eşya, çöp var mı? Askılar düzenli mi?</t>
        </is>
      </c>
    </row>
    <row r="92">
      <c r="A92" s="5" t="inlineStr">
        <is>
          <t>DSSW</t>
        </is>
      </c>
      <c r="B92" s="5" t="n">
        <v>6</v>
      </c>
      <c r="C92" s="5" t="inlineStr">
        <is>
          <t>Oda</t>
        </is>
      </c>
      <c r="D92" s="5" t="inlineStr">
        <is>
          <t>Kasa</t>
        </is>
      </c>
      <c r="E92" s="5" t="inlineStr">
        <is>
          <t>Kasa kapağını açıp içini çek.</t>
        </is>
      </c>
      <c r="F92" s="5" t="inlineStr">
        <is>
          <t>Kasa boş
Kasa açık bırakılmış, kilitli değil</t>
        </is>
      </c>
      <c r="G92" s="5" t="inlineStr">
        <is>
          <t>Evet</t>
        </is>
      </c>
      <c r="H92" s="5" t="inlineStr">
        <is>
          <t>Hayır</t>
        </is>
      </c>
      <c r="I92" s="5" t="inlineStr">
        <is>
          <t>Evet</t>
        </is>
      </c>
      <c r="K92" s="5" t="n">
        <v>1</v>
      </c>
      <c r="L92" s="5" t="inlineStr">
        <is>
          <t>Kasanın içinde eşya var mı? Kapak açık mı?</t>
        </is>
      </c>
    </row>
    <row r="93">
      <c r="A93" s="5" t="inlineStr">
        <is>
          <t>DSSW</t>
        </is>
      </c>
      <c r="B93" s="5" t="n">
        <v>7</v>
      </c>
      <c r="C93" s="5" t="inlineStr">
        <is>
          <t>Oda</t>
        </is>
      </c>
      <c r="D93" s="5" t="inlineStr">
        <is>
          <t>Kettle ve ikram</t>
        </is>
      </c>
      <c r="E93" s="5" t="inlineStr">
        <is>
          <t>Kettle, bardaklar ve ikram tepsisini tek karede çek.</t>
        </is>
      </c>
      <c r="F93" s="5" t="inlineStr">
        <is>
          <t>Kettle boş ve temiz
Bardaklar lekesiz
İkram tepsisi tam</t>
        </is>
      </c>
      <c r="G93" s="5" t="inlineStr">
        <is>
          <t>Evet</t>
        </is>
      </c>
      <c r="H93" s="5" t="inlineStr">
        <is>
          <t>Evet</t>
        </is>
      </c>
      <c r="I93" s="5" t="inlineStr">
        <is>
          <t>Hayır</t>
        </is>
      </c>
      <c r="K93" s="5" t="n">
        <v>1</v>
      </c>
      <c r="L93" s="5" t="inlineStr">
        <is>
          <t>Bardaklarda leke, kettle içinde su/kireç var mı? İkram eksik mi?</t>
        </is>
      </c>
    </row>
    <row r="94">
      <c r="A94" s="5" t="inlineStr">
        <is>
          <t>DSSW</t>
        </is>
      </c>
      <c r="B94" s="5" t="n">
        <v>8</v>
      </c>
      <c r="C94" s="5" t="inlineStr">
        <is>
          <t>Oda</t>
        </is>
      </c>
      <c r="D94" s="5" t="inlineStr">
        <is>
          <t>TV ve ünite</t>
        </is>
      </c>
      <c r="E94" s="5" t="inlineStr">
        <is>
          <t>TV ve ünite raflarını önden çek.</t>
        </is>
      </c>
      <c r="F94" s="5" t="inlineStr">
        <is>
          <t>TV ekranı tozsuz
Ünite rafları tozsuz
Kumandalar yerinde</t>
        </is>
      </c>
      <c r="G94" s="5" t="inlineStr">
        <is>
          <t>Evet</t>
        </is>
      </c>
      <c r="H94" s="5" t="inlineStr">
        <is>
          <t>Evet</t>
        </is>
      </c>
      <c r="I94" s="5" t="inlineStr">
        <is>
          <t>Hayır</t>
        </is>
      </c>
      <c r="K94" s="5" t="n">
        <v>1</v>
      </c>
      <c r="L94" s="5" t="inlineStr">
        <is>
          <t>TV ve raflarda toz, leke var mı? Konaklama kontrolündeysen misafir eşyalarını değerlendirme.</t>
        </is>
      </c>
    </row>
    <row r="95">
      <c r="A95" s="5" t="inlineStr">
        <is>
          <t>DSSW</t>
        </is>
      </c>
      <c r="B95" s="5" t="n">
        <v>9</v>
      </c>
      <c r="C95" s="5" t="inlineStr">
        <is>
          <t>Oda</t>
        </is>
      </c>
      <c r="D95" s="5" t="inlineStr">
        <is>
          <t>Oturma alanı ve masa</t>
        </is>
      </c>
      <c r="E95" s="5" t="inlineStr">
        <is>
          <t>Pencereye doğru geniş açıyla çek; masa, koltuklar ve kanepe görünsün.</t>
        </is>
      </c>
      <c r="F95" s="5" t="inlineStr">
        <is>
          <t>Perde ve tül düzgün
Masa temiz
Koltuk/kanepe temiz, minderler düzgün</t>
        </is>
      </c>
      <c r="G95" s="5" t="inlineStr">
        <is>
          <t>Evet</t>
        </is>
      </c>
      <c r="H95" s="5" t="inlineStr">
        <is>
          <t>Evet</t>
        </is>
      </c>
      <c r="I95" s="5" t="inlineStr">
        <is>
          <t>Hayır</t>
        </is>
      </c>
      <c r="K95" s="5" t="n">
        <v>1</v>
      </c>
      <c r="L95" s="5" t="inlineStr">
        <is>
          <t>Masada, koltuklarda kir, leke, unutulmuş eşya var mı? Konaklama kontrolündeysen misafir eşyalarını değerlendirme.</t>
        </is>
      </c>
    </row>
    <row r="96">
      <c r="A96" s="5" t="inlineStr">
        <is>
          <t>DSSW</t>
        </is>
      </c>
      <c r="B96" s="5" t="n">
        <v>10</v>
      </c>
      <c r="C96" s="5" t="inlineStr">
        <is>
          <t>Oda</t>
        </is>
      </c>
      <c r="D96" s="5" t="inlineStr">
        <is>
          <t>Yatak ve komodinler</t>
        </is>
      </c>
      <c r="E96" s="5" t="inlineStr">
        <is>
          <t>Yatağı ayak ucundan tamamı görünecek şekilde çek; ikinci karede yatak altını ve komodinleri çek.</t>
        </is>
      </c>
      <c r="F96" s="5" t="inlineStr">
        <is>
          <t>Çarşaf dört köşeden gergin
Yastıklar tam, kılıflar lekesiz
Yatak altında eşya/toz yok
Komodinler boş ve tozsuz</t>
        </is>
      </c>
      <c r="G96" s="5" t="inlineStr">
        <is>
          <t>Evet</t>
        </is>
      </c>
      <c r="H96" s="5" t="inlineStr">
        <is>
          <t>Evet</t>
        </is>
      </c>
      <c r="I96" s="5" t="inlineStr">
        <is>
          <t>Hayır</t>
        </is>
      </c>
      <c r="K96" s="5" t="n">
        <v>2</v>
      </c>
      <c r="L96" s="5" t="inlineStr">
        <is>
          <t>Çarşafta kırışık, leke, saç var mı? Yastıklar düzgün mü? Yatak altında eşya/toz var mı? Konaklama kontrolündeysen misafir eşyalarını değerlendirme.</t>
        </is>
      </c>
    </row>
    <row r="97">
      <c r="A97" s="5" t="inlineStr">
        <is>
          <t>DSSW</t>
        </is>
      </c>
      <c r="B97" s="5" t="n">
        <v>11</v>
      </c>
      <c r="C97" s="5" t="inlineStr">
        <is>
          <t>Oda</t>
        </is>
      </c>
      <c r="D97" s="5" t="inlineStr">
        <is>
          <t>Genel oda</t>
        </is>
      </c>
      <c r="E97" s="5" t="inlineStr">
        <is>
          <t>Kapı tarafından tüm odayı tek geniş karede çek. Tüm ışıklar açık.</t>
        </is>
      </c>
      <c r="F97" s="5" t="inlineStr">
        <is>
          <t>Klima çalışıyor
Çöp kovaları boş
Zemin temiz
Duvarda iz yok
Tüm aydınlatma yanıyor</t>
        </is>
      </c>
      <c r="G97" s="5" t="inlineStr">
        <is>
          <t>Evet</t>
        </is>
      </c>
      <c r="H97" s="5" t="inlineStr">
        <is>
          <t>Evet</t>
        </is>
      </c>
      <c r="I97" s="5" t="inlineStr">
        <is>
          <t>Hayır</t>
        </is>
      </c>
      <c r="K97" s="5" t="n">
        <v>1</v>
      </c>
      <c r="L97" s="5" t="inlineStr">
        <is>
          <t>Zeminde kir, çöp; yanmayan lamba; dağınıklık var mı? Konaklama kontrolündeysen misafir eşyalarını değerlendirme.</t>
        </is>
      </c>
    </row>
    <row r="98">
      <c r="A98" s="5" t="inlineStr">
        <is>
          <t>EXSB</t>
        </is>
      </c>
      <c r="B98" s="5" t="n">
        <v>1</v>
      </c>
      <c r="C98" s="5" t="inlineStr">
        <is>
          <t>Giriş</t>
        </is>
      </c>
      <c r="D98" s="5" t="inlineStr">
        <is>
          <t>Giriş ve kapı</t>
        </is>
      </c>
      <c r="E98" s="5" t="inlineStr">
        <is>
          <t>Kapıdan girip girişi ve koridoru tek karede çek. Tüm ışıklar açık olsun.</t>
        </is>
      </c>
      <c r="F98" s="5" t="inlineStr">
        <is>
          <t>Kapı ve şifreli kilit çalışıyor
Süpürgelik ve duvar dipleri tozsuz
Aplikler yanıyor
Zeminde leke, saç, kum yok</t>
        </is>
      </c>
      <c r="G98" s="5" t="inlineStr">
        <is>
          <t>Evet</t>
        </is>
      </c>
      <c r="H98" s="5" t="inlineStr">
        <is>
          <t>Evet</t>
        </is>
      </c>
      <c r="I98" s="5" t="inlineStr">
        <is>
          <t>Hayır</t>
        </is>
      </c>
      <c r="K98" s="5" t="n">
        <v>1</v>
      </c>
      <c r="L98" s="5" t="inlineStr">
        <is>
          <t>Zeminde görünür kir, saç, çöp var mı? Yanmayan lamba var mı? Konaklama kontrolündeysen misafir eşyalarını değerlendirme.</t>
        </is>
      </c>
    </row>
    <row r="99">
      <c r="A99" s="5" t="inlineStr">
        <is>
          <t>EXSB</t>
        </is>
      </c>
      <c r="B99" s="5" t="n">
        <v>2</v>
      </c>
      <c r="C99" s="5" t="inlineStr">
        <is>
          <t>Banyo</t>
        </is>
      </c>
      <c r="D99" s="5" t="inlineStr">
        <is>
          <t>Lavabo ve ayna</t>
        </is>
      </c>
      <c r="E99" s="5" t="inlineStr">
        <is>
          <t>Lavabo, batarya, ayna ve havlu rafı aynı karede olacak şekilde çek.</t>
        </is>
      </c>
      <c r="F99" s="5" t="inlineStr">
        <is>
          <t>Lavabo içi ve gider temiz
Batarya parlak, su lekesi yok
Sıvı sabun dolu
Ayna lekesiz
Havlular katlı ve tam</t>
        </is>
      </c>
      <c r="G99" s="5" t="inlineStr">
        <is>
          <t>Evet</t>
        </is>
      </c>
      <c r="H99" s="5" t="inlineStr">
        <is>
          <t>Evet</t>
        </is>
      </c>
      <c r="I99" s="5" t="inlineStr">
        <is>
          <t>Hayır</t>
        </is>
      </c>
      <c r="K99" s="5" t="n">
        <v>1</v>
      </c>
      <c r="L99" s="5" t="inlineStr">
        <is>
          <t>Lavaboda kıl, sabun kalıntısı, su lekesi var mı? Aynada leke var mı? Havlular düzgün katlı mı? Konaklama kontrolündeysen misafir eşyalarını değerlendirme.</t>
        </is>
      </c>
    </row>
    <row r="100">
      <c r="A100" s="5" t="inlineStr">
        <is>
          <t>EXSB</t>
        </is>
      </c>
      <c r="B100" s="5" t="n">
        <v>3</v>
      </c>
      <c r="C100" s="5" t="inlineStr">
        <is>
          <t>Banyo</t>
        </is>
      </c>
      <c r="D100" s="5" t="inlineStr">
        <is>
          <t>WC</t>
        </is>
      </c>
      <c r="E100" s="5" t="inlineStr">
        <is>
          <t>Klozet kapağı açık, tuvalet kağıdı ve yedek rulo görünecek şekilde çek.</t>
        </is>
      </c>
      <c r="F100" s="5" t="inlineStr">
        <is>
          <t>Klozet içi, kapak altı ve dış yüzey temiz
WC fırçası temiz
Tuvalet kağıdı takılı + yedek rulo
Çöp kovası boş, poşet yeni</t>
        </is>
      </c>
      <c r="G100" s="5" t="inlineStr">
        <is>
          <t>Evet</t>
        </is>
      </c>
      <c r="H100" s="5" t="inlineStr">
        <is>
          <t>Evet</t>
        </is>
      </c>
      <c r="I100" s="5" t="inlineStr">
        <is>
          <t>Hayır</t>
        </is>
      </c>
      <c r="K100" s="5" t="n">
        <v>1</v>
      </c>
      <c r="L100" s="5" t="inlineStr">
        <is>
          <t>Klozet içinde veya kapakta leke/kir var mı? Tuvalet kağıdı ve yedek rulo var mı? Çöp kovası boş mu?</t>
        </is>
      </c>
    </row>
    <row r="101">
      <c r="A101" s="5" t="inlineStr">
        <is>
          <t>EXSB</t>
        </is>
      </c>
      <c r="B101" s="5" t="n">
        <v>4</v>
      </c>
      <c r="C101" s="5" t="inlineStr">
        <is>
          <t>Banyo</t>
        </is>
      </c>
      <c r="D101" s="5" t="inlineStr">
        <is>
          <t>Duş</t>
        </is>
      </c>
      <c r="E101" s="5" t="inlineStr">
        <is>
          <t>Duş camını ışığa karşı çek (kireç böyle görünür); dispenserler ve gider görünsün.</t>
        </is>
      </c>
      <c r="F101" s="5" t="inlineStr">
        <is>
          <t>Camda kireç ve su lekesi yok
Duş seti askıda
Şampuan/duş jeli dolu
Giderde saç yok</t>
        </is>
      </c>
      <c r="G101" s="5" t="inlineStr">
        <is>
          <t>Evet</t>
        </is>
      </c>
      <c r="H101" s="5" t="inlineStr">
        <is>
          <t>Evet</t>
        </is>
      </c>
      <c r="I101" s="5" t="inlineStr">
        <is>
          <t>Hayır</t>
        </is>
      </c>
      <c r="K101" s="5" t="n">
        <v>1</v>
      </c>
      <c r="L101" s="5" t="inlineStr">
        <is>
          <t>Duş camında kireç/su lekesi, giderde saç, zeminde kir var mı? Konaklama kontrolündeysen misafir eşyalarını değerlendirme.</t>
        </is>
      </c>
    </row>
    <row r="102">
      <c r="A102" s="5" t="inlineStr">
        <is>
          <t>EXSB</t>
        </is>
      </c>
      <c r="B102" s="5" t="n">
        <v>5</v>
      </c>
      <c r="C102" s="5" t="inlineStr">
        <is>
          <t>Oda</t>
        </is>
      </c>
      <c r="D102" s="5" t="inlineStr">
        <is>
          <t>Gardırop</t>
        </is>
      </c>
      <c r="E102" s="5" t="inlineStr">
        <is>
          <t>Kapakları aç, askıları ve rafları tek karede çek. İçerisi karanlıksa feneri aç.</t>
        </is>
      </c>
      <c r="F102" s="5" t="inlineStr">
        <is>
          <t>Askılar tam
Yedek battaniye/yastık katlı
Unutulmuş eşya yok</t>
        </is>
      </c>
      <c r="G102" s="5" t="inlineStr">
        <is>
          <t>Evet</t>
        </is>
      </c>
      <c r="H102" s="5" t="inlineStr">
        <is>
          <t>Hayır</t>
        </is>
      </c>
      <c r="I102" s="5" t="inlineStr">
        <is>
          <t>Evet</t>
        </is>
      </c>
      <c r="K102" s="5" t="n">
        <v>1</v>
      </c>
      <c r="L102" s="5" t="inlineStr">
        <is>
          <t>Gardıropta unutulmuş eşya, çöp var mı? Askılar düzenli mi?</t>
        </is>
      </c>
    </row>
    <row r="103">
      <c r="A103" s="5" t="inlineStr">
        <is>
          <t>EXSB</t>
        </is>
      </c>
      <c r="B103" s="5" t="n">
        <v>6</v>
      </c>
      <c r="C103" s="5" t="inlineStr">
        <is>
          <t>Oda</t>
        </is>
      </c>
      <c r="D103" s="5" t="inlineStr">
        <is>
          <t>Kasa</t>
        </is>
      </c>
      <c r="E103" s="5" t="inlineStr">
        <is>
          <t>Kasa kapağını açıp içini çek.</t>
        </is>
      </c>
      <c r="F103" s="5" t="inlineStr">
        <is>
          <t>Kasa boş
Kasa açık bırakılmış, kilitli değil</t>
        </is>
      </c>
      <c r="G103" s="5" t="inlineStr">
        <is>
          <t>Evet</t>
        </is>
      </c>
      <c r="H103" s="5" t="inlineStr">
        <is>
          <t>Hayır</t>
        </is>
      </c>
      <c r="I103" s="5" t="inlineStr">
        <is>
          <t>Evet</t>
        </is>
      </c>
      <c r="K103" s="5" t="n">
        <v>1</v>
      </c>
      <c r="L103" s="5" t="inlineStr">
        <is>
          <t>Kasanın içinde eşya var mı? Kapak açık mı?</t>
        </is>
      </c>
    </row>
    <row r="104">
      <c r="A104" s="5" t="inlineStr">
        <is>
          <t>EXSB</t>
        </is>
      </c>
      <c r="B104" s="5" t="n">
        <v>7</v>
      </c>
      <c r="C104" s="5" t="inlineStr">
        <is>
          <t>Oda</t>
        </is>
      </c>
      <c r="D104" s="5" t="inlineStr">
        <is>
          <t>Kettle ve ikram</t>
        </is>
      </c>
      <c r="E104" s="5" t="inlineStr">
        <is>
          <t>Kettle, bardaklar ve ikram tepsisini tek karede çek.</t>
        </is>
      </c>
      <c r="F104" s="5" t="inlineStr">
        <is>
          <t>Kettle boş ve temiz
Bardaklar lekesiz
İkram tepsisi tam</t>
        </is>
      </c>
      <c r="G104" s="5" t="inlineStr">
        <is>
          <t>Evet</t>
        </is>
      </c>
      <c r="H104" s="5" t="inlineStr">
        <is>
          <t>Evet</t>
        </is>
      </c>
      <c r="I104" s="5" t="inlineStr">
        <is>
          <t>Hayır</t>
        </is>
      </c>
      <c r="K104" s="5" t="n">
        <v>1</v>
      </c>
      <c r="L104" s="5" t="inlineStr">
        <is>
          <t>Bardaklarda leke, kettle içinde su/kireç var mı? İkram eksik mi?</t>
        </is>
      </c>
    </row>
    <row r="105">
      <c r="A105" s="5" t="inlineStr">
        <is>
          <t>EXSB</t>
        </is>
      </c>
      <c r="B105" s="5" t="n">
        <v>8</v>
      </c>
      <c r="C105" s="5" t="inlineStr">
        <is>
          <t>Oda</t>
        </is>
      </c>
      <c r="D105" s="5" t="inlineStr">
        <is>
          <t>TV ve ünite</t>
        </is>
      </c>
      <c r="E105" s="5" t="inlineStr">
        <is>
          <t>TV ve ünite raflarını önden çek.</t>
        </is>
      </c>
      <c r="F105" s="5" t="inlineStr">
        <is>
          <t>TV ekranı tozsuz
Ünite rafları tozsuz
Kumandalar yerinde</t>
        </is>
      </c>
      <c r="G105" s="5" t="inlineStr">
        <is>
          <t>Evet</t>
        </is>
      </c>
      <c r="H105" s="5" t="inlineStr">
        <is>
          <t>Evet</t>
        </is>
      </c>
      <c r="I105" s="5" t="inlineStr">
        <is>
          <t>Hayır</t>
        </is>
      </c>
      <c r="K105" s="5" t="n">
        <v>1</v>
      </c>
      <c r="L105" s="5" t="inlineStr">
        <is>
          <t>TV ve raflarda toz, leke var mı? Konaklama kontrolündeysen misafir eşyalarını değerlendirme.</t>
        </is>
      </c>
    </row>
    <row r="106">
      <c r="A106" s="5" t="inlineStr">
        <is>
          <t>EXSB</t>
        </is>
      </c>
      <c r="B106" s="5" t="n">
        <v>9</v>
      </c>
      <c r="C106" s="5" t="inlineStr">
        <is>
          <t>Oda</t>
        </is>
      </c>
      <c r="D106" s="5" t="inlineStr">
        <is>
          <t>Oturma alanı ve masa</t>
        </is>
      </c>
      <c r="E106" s="5" t="inlineStr">
        <is>
          <t>Pencereye doğru geniş açıyla çek; masa, koltuklar ve kanepe görünsün.</t>
        </is>
      </c>
      <c r="F106" s="5" t="inlineStr">
        <is>
          <t>Perde ve tül düzgün
Masa temiz
Koltuk/kanepe temiz, minderler düzgün</t>
        </is>
      </c>
      <c r="G106" s="5" t="inlineStr">
        <is>
          <t>Evet</t>
        </is>
      </c>
      <c r="H106" s="5" t="inlineStr">
        <is>
          <t>Evet</t>
        </is>
      </c>
      <c r="I106" s="5" t="inlineStr">
        <is>
          <t>Hayır</t>
        </is>
      </c>
      <c r="K106" s="5" t="n">
        <v>1</v>
      </c>
      <c r="L106" s="5" t="inlineStr">
        <is>
          <t>Masada, koltuklarda kir, leke, unutulmuş eşya var mı? Konaklama kontrolündeysen misafir eşyalarını değerlendirme.</t>
        </is>
      </c>
    </row>
    <row r="107">
      <c r="A107" s="5" t="inlineStr">
        <is>
          <t>EXSB</t>
        </is>
      </c>
      <c r="B107" s="5" t="n">
        <v>10</v>
      </c>
      <c r="C107" s="5" t="inlineStr">
        <is>
          <t>Oda</t>
        </is>
      </c>
      <c r="D107" s="5" t="inlineStr">
        <is>
          <t>Yatak ve komodinler</t>
        </is>
      </c>
      <c r="E107" s="5" t="inlineStr">
        <is>
          <t>Yatağı ayak ucundan tamamı görünecek şekilde çek; ikinci karede yatak altını ve komodinleri çek.</t>
        </is>
      </c>
      <c r="F107" s="5" t="inlineStr">
        <is>
          <t>Çarşaf dört köşeden gergin
Yastıklar tam, kılıflar lekesiz
Yatak altında eşya/toz yok
Komodinler boş ve tozsuz</t>
        </is>
      </c>
      <c r="G107" s="5" t="inlineStr">
        <is>
          <t>Evet</t>
        </is>
      </c>
      <c r="H107" s="5" t="inlineStr">
        <is>
          <t>Evet</t>
        </is>
      </c>
      <c r="I107" s="5" t="inlineStr">
        <is>
          <t>Hayır</t>
        </is>
      </c>
      <c r="K107" s="5" t="n">
        <v>2</v>
      </c>
      <c r="L107" s="5" t="inlineStr">
        <is>
          <t>Çarşafta kırışık, leke, saç var mı? Yastıklar düzgün mü? Yatak altında eşya/toz var mı? Konaklama kontrolündeysen misafir eşyalarını değerlendirme.</t>
        </is>
      </c>
    </row>
    <row r="108">
      <c r="A108" s="5" t="inlineStr">
        <is>
          <t>EXSB</t>
        </is>
      </c>
      <c r="B108" s="5" t="n">
        <v>11</v>
      </c>
      <c r="C108" s="5" t="inlineStr">
        <is>
          <t>Dış alan</t>
        </is>
      </c>
      <c r="D108" s="5" t="inlineStr">
        <is>
          <t>Balkon</t>
        </is>
      </c>
      <c r="E108" s="5" t="inlineStr">
        <is>
          <t>Balkon kapısından balkonun tamamını çek.</t>
        </is>
      </c>
      <c r="F108" s="5" t="inlineStr">
        <is>
          <t>Zemin süpürülmüş
Masa ve sandalyeler temiz
Kül tablası boş</t>
        </is>
      </c>
      <c r="G108" s="5" t="inlineStr">
        <is>
          <t>Evet</t>
        </is>
      </c>
      <c r="H108" s="5" t="inlineStr">
        <is>
          <t>Evet</t>
        </is>
      </c>
      <c r="I108" s="5" t="inlineStr">
        <is>
          <t>Hayır</t>
        </is>
      </c>
      <c r="K108" s="5" t="n">
        <v>1</v>
      </c>
      <c r="L108" s="5" t="inlineStr">
        <is>
          <t>Balkonda çöp, izmarit, kir var mı? Konaklama kontrolündeysen misafir eşyalarını değerlendirme.</t>
        </is>
      </c>
    </row>
    <row r="109">
      <c r="A109" s="5" t="inlineStr">
        <is>
          <t>EXSB</t>
        </is>
      </c>
      <c r="B109" s="5" t="n">
        <v>12</v>
      </c>
      <c r="C109" s="5" t="inlineStr">
        <is>
          <t>Oda</t>
        </is>
      </c>
      <c r="D109" s="5" t="inlineStr">
        <is>
          <t>Genel oda</t>
        </is>
      </c>
      <c r="E109" s="5" t="inlineStr">
        <is>
          <t>Kapı tarafından tüm odayı tek geniş karede çek. Tüm ışıklar açık.</t>
        </is>
      </c>
      <c r="F109" s="5" t="inlineStr">
        <is>
          <t>Klima çalışıyor
Çöp kovaları boş
Zemin temiz
Duvarda iz yok
Tüm aydınlatma yanıyor</t>
        </is>
      </c>
      <c r="G109" s="5" t="inlineStr">
        <is>
          <t>Evet</t>
        </is>
      </c>
      <c r="H109" s="5" t="inlineStr">
        <is>
          <t>Evet</t>
        </is>
      </c>
      <c r="I109" s="5" t="inlineStr">
        <is>
          <t>Hayır</t>
        </is>
      </c>
      <c r="K109" s="5" t="n">
        <v>1</v>
      </c>
      <c r="L109" s="5" t="inlineStr">
        <is>
          <t>Zeminde kir, çöp; yanmayan lamba; dağınıklık var mı? Konaklama kontrolündeysen misafir eşyalarını değerlendirme.</t>
        </is>
      </c>
    </row>
    <row r="110">
      <c r="A110" s="5" t="inlineStr">
        <is>
          <t>DS</t>
        </is>
      </c>
      <c r="B110" s="5" t="n">
        <v>1</v>
      </c>
      <c r="C110" s="5" t="inlineStr">
        <is>
          <t>Giriş</t>
        </is>
      </c>
      <c r="D110" s="5" t="inlineStr">
        <is>
          <t>Giriş ve kapı</t>
        </is>
      </c>
      <c r="E110" s="5" t="inlineStr">
        <is>
          <t>Kapıdan girip girişi ve koridoru tek karede çek. Tüm ışıklar açık olsun.</t>
        </is>
      </c>
      <c r="F110" s="5" t="inlineStr">
        <is>
          <t>Kapı ve şifreli kilit çalışıyor
Süpürgelik ve duvar dipleri tozsuz
Aplikler yanıyor
Zeminde leke, saç, kum yok</t>
        </is>
      </c>
      <c r="G110" s="5" t="inlineStr">
        <is>
          <t>Evet</t>
        </is>
      </c>
      <c r="H110" s="5" t="inlineStr">
        <is>
          <t>Evet</t>
        </is>
      </c>
      <c r="I110" s="5" t="inlineStr">
        <is>
          <t>Hayır</t>
        </is>
      </c>
      <c r="K110" s="5" t="n">
        <v>1</v>
      </c>
      <c r="L110" s="5" t="inlineStr">
        <is>
          <t>Zeminde görünür kir, saç, çöp var mı? Yanmayan lamba var mı? Konaklama kontrolündeysen misafir eşyalarını değerlendirme.</t>
        </is>
      </c>
    </row>
    <row r="111">
      <c r="A111" s="5" t="inlineStr">
        <is>
          <t>DS</t>
        </is>
      </c>
      <c r="B111" s="5" t="n">
        <v>2</v>
      </c>
      <c r="C111" s="5" t="inlineStr">
        <is>
          <t>Banyo</t>
        </is>
      </c>
      <c r="D111" s="5" t="inlineStr">
        <is>
          <t>Lavabo ve ayna</t>
        </is>
      </c>
      <c r="E111" s="5" t="inlineStr">
        <is>
          <t>Lavabo, batarya, ayna ve havlu rafı aynı karede olacak şekilde çek.</t>
        </is>
      </c>
      <c r="F111" s="5" t="inlineStr">
        <is>
          <t>Lavabo içi ve gider temiz
Batarya parlak, su lekesi yok
Sıvı sabun dolu
Ayna lekesiz
Havlular katlı ve tam</t>
        </is>
      </c>
      <c r="G111" s="5" t="inlineStr">
        <is>
          <t>Evet</t>
        </is>
      </c>
      <c r="H111" s="5" t="inlineStr">
        <is>
          <t>Evet</t>
        </is>
      </c>
      <c r="I111" s="5" t="inlineStr">
        <is>
          <t>Hayır</t>
        </is>
      </c>
      <c r="K111" s="5" t="n">
        <v>1</v>
      </c>
      <c r="L111" s="5" t="inlineStr">
        <is>
          <t>Lavaboda kıl, sabun kalıntısı, su lekesi var mı? Aynada leke var mı? Havlular düzgün katlı mı? Konaklama kontrolündeysen misafir eşyalarını değerlendirme.</t>
        </is>
      </c>
    </row>
    <row r="112">
      <c r="A112" s="5" t="inlineStr">
        <is>
          <t>DS</t>
        </is>
      </c>
      <c r="B112" s="5" t="n">
        <v>3</v>
      </c>
      <c r="C112" s="5" t="inlineStr">
        <is>
          <t>Banyo</t>
        </is>
      </c>
      <c r="D112" s="5" t="inlineStr">
        <is>
          <t>WC</t>
        </is>
      </c>
      <c r="E112" s="5" t="inlineStr">
        <is>
          <t>Klozet kapağı açık, tuvalet kağıdı ve yedek rulo görünecek şekilde çek.</t>
        </is>
      </c>
      <c r="F112" s="5" t="inlineStr">
        <is>
          <t>Klozet içi, kapak altı ve dış yüzey temiz
WC fırçası temiz
Tuvalet kağıdı takılı + yedek rulo
Çöp kovası boş, poşet yeni</t>
        </is>
      </c>
      <c r="G112" s="5" t="inlineStr">
        <is>
          <t>Evet</t>
        </is>
      </c>
      <c r="H112" s="5" t="inlineStr">
        <is>
          <t>Evet</t>
        </is>
      </c>
      <c r="I112" s="5" t="inlineStr">
        <is>
          <t>Hayır</t>
        </is>
      </c>
      <c r="K112" s="5" t="n">
        <v>1</v>
      </c>
      <c r="L112" s="5" t="inlineStr">
        <is>
          <t>Klozet içinde veya kapakta leke/kir var mı? Tuvalet kağıdı ve yedek rulo var mı? Çöp kovası boş mu?</t>
        </is>
      </c>
    </row>
    <row r="113">
      <c r="A113" s="5" t="inlineStr">
        <is>
          <t>DS</t>
        </is>
      </c>
      <c r="B113" s="5" t="n">
        <v>4</v>
      </c>
      <c r="C113" s="5" t="inlineStr">
        <is>
          <t>Banyo</t>
        </is>
      </c>
      <c r="D113" s="5" t="inlineStr">
        <is>
          <t>Duş</t>
        </is>
      </c>
      <c r="E113" s="5" t="inlineStr">
        <is>
          <t>Duş camını ışığa karşı çek (kireç böyle görünür); dispenserler ve gider görünsün.</t>
        </is>
      </c>
      <c r="F113" s="5" t="inlineStr">
        <is>
          <t>Camda kireç ve su lekesi yok
Duş seti askıda
Şampuan/duş jeli dolu
Giderde saç yok</t>
        </is>
      </c>
      <c r="G113" s="5" t="inlineStr">
        <is>
          <t>Evet</t>
        </is>
      </c>
      <c r="H113" s="5" t="inlineStr">
        <is>
          <t>Evet</t>
        </is>
      </c>
      <c r="I113" s="5" t="inlineStr">
        <is>
          <t>Hayır</t>
        </is>
      </c>
      <c r="K113" s="5" t="n">
        <v>1</v>
      </c>
      <c r="L113" s="5" t="inlineStr">
        <is>
          <t>Duş camında kireç/su lekesi, giderde saç, zeminde kir var mı? Konaklama kontrolündeysen misafir eşyalarını değerlendirme.</t>
        </is>
      </c>
    </row>
    <row r="114">
      <c r="A114" s="5" t="inlineStr">
        <is>
          <t>DS</t>
        </is>
      </c>
      <c r="B114" s="5" t="n">
        <v>5</v>
      </c>
      <c r="C114" s="5" t="inlineStr">
        <is>
          <t>Oda</t>
        </is>
      </c>
      <c r="D114" s="5" t="inlineStr">
        <is>
          <t>Gardırop</t>
        </is>
      </c>
      <c r="E114" s="5" t="inlineStr">
        <is>
          <t>Kapakları aç, askıları ve rafları tek karede çek. İçerisi karanlıksa feneri aç.</t>
        </is>
      </c>
      <c r="F114" s="5" t="inlineStr">
        <is>
          <t>Askılar tam
Yedek battaniye/yastık katlı
Unutulmuş eşya yok</t>
        </is>
      </c>
      <c r="G114" s="5" t="inlineStr">
        <is>
          <t>Evet</t>
        </is>
      </c>
      <c r="H114" s="5" t="inlineStr">
        <is>
          <t>Hayır</t>
        </is>
      </c>
      <c r="I114" s="5" t="inlineStr">
        <is>
          <t>Evet</t>
        </is>
      </c>
      <c r="K114" s="5" t="n">
        <v>1</v>
      </c>
      <c r="L114" s="5" t="inlineStr">
        <is>
          <t>Gardıropta unutulmuş eşya, çöp var mı? Askılar düzenli mi?</t>
        </is>
      </c>
    </row>
    <row r="115">
      <c r="A115" s="5" t="inlineStr">
        <is>
          <t>DS</t>
        </is>
      </c>
      <c r="B115" s="5" t="n">
        <v>6</v>
      </c>
      <c r="C115" s="5" t="inlineStr">
        <is>
          <t>Oda</t>
        </is>
      </c>
      <c r="D115" s="5" t="inlineStr">
        <is>
          <t>Kasa</t>
        </is>
      </c>
      <c r="E115" s="5" t="inlineStr">
        <is>
          <t>Kasa kapağını açıp içini çek.</t>
        </is>
      </c>
      <c r="F115" s="5" t="inlineStr">
        <is>
          <t>Kasa boş
Kasa açık bırakılmış, kilitli değil</t>
        </is>
      </c>
      <c r="G115" s="5" t="inlineStr">
        <is>
          <t>Evet</t>
        </is>
      </c>
      <c r="H115" s="5" t="inlineStr">
        <is>
          <t>Hayır</t>
        </is>
      </c>
      <c r="I115" s="5" t="inlineStr">
        <is>
          <t>Evet</t>
        </is>
      </c>
      <c r="K115" s="5" t="n">
        <v>1</v>
      </c>
      <c r="L115" s="5" t="inlineStr">
        <is>
          <t>Kasanın içinde eşya var mı? Kapak açık mı?</t>
        </is>
      </c>
    </row>
    <row r="116">
      <c r="A116" s="5" t="inlineStr">
        <is>
          <t>DS</t>
        </is>
      </c>
      <c r="B116" s="5" t="n">
        <v>7</v>
      </c>
      <c r="C116" s="5" t="inlineStr">
        <is>
          <t>Oda</t>
        </is>
      </c>
      <c r="D116" s="5" t="inlineStr">
        <is>
          <t>Kettle ve ikram</t>
        </is>
      </c>
      <c r="E116" s="5" t="inlineStr">
        <is>
          <t>Kettle, bardaklar ve ikram tepsisini tek karede çek.</t>
        </is>
      </c>
      <c r="F116" s="5" t="inlineStr">
        <is>
          <t>Kettle boş ve temiz
Bardaklar lekesiz
İkram tepsisi tam</t>
        </is>
      </c>
      <c r="G116" s="5" t="inlineStr">
        <is>
          <t>Evet</t>
        </is>
      </c>
      <c r="H116" s="5" t="inlineStr">
        <is>
          <t>Evet</t>
        </is>
      </c>
      <c r="I116" s="5" t="inlineStr">
        <is>
          <t>Hayır</t>
        </is>
      </c>
      <c r="K116" s="5" t="n">
        <v>1</v>
      </c>
      <c r="L116" s="5" t="inlineStr">
        <is>
          <t>Bardaklarda leke, kettle içinde su/kireç var mı? İkram eksik mi?</t>
        </is>
      </c>
    </row>
    <row r="117">
      <c r="A117" s="5" t="inlineStr">
        <is>
          <t>DS</t>
        </is>
      </c>
      <c r="B117" s="5" t="n">
        <v>8</v>
      </c>
      <c r="C117" s="5" t="inlineStr">
        <is>
          <t>Oda</t>
        </is>
      </c>
      <c r="D117" s="5" t="inlineStr">
        <is>
          <t>TV ve ünite</t>
        </is>
      </c>
      <c r="E117" s="5" t="inlineStr">
        <is>
          <t>TV ve ünite raflarını önden çek.</t>
        </is>
      </c>
      <c r="F117" s="5" t="inlineStr">
        <is>
          <t>TV ekranı tozsuz
Ünite rafları tozsuz
Kumandalar yerinde</t>
        </is>
      </c>
      <c r="G117" s="5" t="inlineStr">
        <is>
          <t>Evet</t>
        </is>
      </c>
      <c r="H117" s="5" t="inlineStr">
        <is>
          <t>Evet</t>
        </is>
      </c>
      <c r="I117" s="5" t="inlineStr">
        <is>
          <t>Hayır</t>
        </is>
      </c>
      <c r="K117" s="5" t="n">
        <v>1</v>
      </c>
      <c r="L117" s="5" t="inlineStr">
        <is>
          <t>TV ve raflarda toz, leke var mı? Konaklama kontrolündeysen misafir eşyalarını değerlendirme.</t>
        </is>
      </c>
    </row>
    <row r="118">
      <c r="A118" s="5" t="inlineStr">
        <is>
          <t>DS</t>
        </is>
      </c>
      <c r="B118" s="5" t="n">
        <v>9</v>
      </c>
      <c r="C118" s="5" t="inlineStr">
        <is>
          <t>Oda</t>
        </is>
      </c>
      <c r="D118" s="5" t="inlineStr">
        <is>
          <t>Oturma alanı ve masa</t>
        </is>
      </c>
      <c r="E118" s="5" t="inlineStr">
        <is>
          <t>Pencereye doğru geniş açıyla çek; masa, koltuklar ve kanepe görünsün.</t>
        </is>
      </c>
      <c r="F118" s="5" t="inlineStr">
        <is>
          <t>Perde ve tül düzgün
Masa temiz
Koltuk/kanepe temiz, minderler düzgün</t>
        </is>
      </c>
      <c r="G118" s="5" t="inlineStr">
        <is>
          <t>Evet</t>
        </is>
      </c>
      <c r="H118" s="5" t="inlineStr">
        <is>
          <t>Evet</t>
        </is>
      </c>
      <c r="I118" s="5" t="inlineStr">
        <is>
          <t>Hayır</t>
        </is>
      </c>
      <c r="K118" s="5" t="n">
        <v>1</v>
      </c>
      <c r="L118" s="5" t="inlineStr">
        <is>
          <t>Masada, koltuklarda kir, leke, unutulmuş eşya var mı? Konaklama kontrolündeysen misafir eşyalarını değerlendirme.</t>
        </is>
      </c>
    </row>
    <row r="119">
      <c r="A119" s="5" t="inlineStr">
        <is>
          <t>DS</t>
        </is>
      </c>
      <c r="B119" s="5" t="n">
        <v>10</v>
      </c>
      <c r="C119" s="5" t="inlineStr">
        <is>
          <t>Oda</t>
        </is>
      </c>
      <c r="D119" s="5" t="inlineStr">
        <is>
          <t>Yatak ve komodinler</t>
        </is>
      </c>
      <c r="E119" s="5" t="inlineStr">
        <is>
          <t>Yatağı ayak ucundan tamamı görünecek şekilde çek; ikinci karede yatak altını ve komodinleri çek.</t>
        </is>
      </c>
      <c r="F119" s="5" t="inlineStr">
        <is>
          <t>Çarşaf dört köşeden gergin
Yastıklar tam, kılıflar lekesiz
Yatak altında eşya/toz yok
Komodinler boş ve tozsuz</t>
        </is>
      </c>
      <c r="G119" s="5" t="inlineStr">
        <is>
          <t>Evet</t>
        </is>
      </c>
      <c r="H119" s="5" t="inlineStr">
        <is>
          <t>Evet</t>
        </is>
      </c>
      <c r="I119" s="5" t="inlineStr">
        <is>
          <t>Hayır</t>
        </is>
      </c>
      <c r="K119" s="5" t="n">
        <v>2</v>
      </c>
      <c r="L119" s="5" t="inlineStr">
        <is>
          <t>Çarşafta kırışık, leke, saç var mı? Yastıklar düzgün mü? Yatak altında eşya/toz var mı? Konaklama kontrolündeysen misafir eşyalarını değerlendirme.</t>
        </is>
      </c>
    </row>
    <row r="120">
      <c r="A120" s="5" t="inlineStr">
        <is>
          <t>DS</t>
        </is>
      </c>
      <c r="B120" s="5" t="n">
        <v>11</v>
      </c>
      <c r="C120" s="5" t="inlineStr">
        <is>
          <t>Oda</t>
        </is>
      </c>
      <c r="D120" s="5" t="inlineStr">
        <is>
          <t>Genel oda</t>
        </is>
      </c>
      <c r="E120" s="5" t="inlineStr">
        <is>
          <t>Kapı tarafından tüm odayı tek geniş karede çek. Tüm ışıklar açık.</t>
        </is>
      </c>
      <c r="F120" s="5" t="inlineStr">
        <is>
          <t>Klima çalışıyor
Çöp kovaları boş
Zemin temiz
Duvarda iz yok
Tüm aydınlatma yanıyor</t>
        </is>
      </c>
      <c r="G120" s="5" t="inlineStr">
        <is>
          <t>Evet</t>
        </is>
      </c>
      <c r="H120" s="5" t="inlineStr">
        <is>
          <t>Evet</t>
        </is>
      </c>
      <c r="I120" s="5" t="inlineStr">
        <is>
          <t>Hayır</t>
        </is>
      </c>
      <c r="K120" s="5" t="n">
        <v>1</v>
      </c>
      <c r="L120" s="5" t="inlineStr">
        <is>
          <t>Zeminde kir, çöp; yanmayan lamba; dağınıklık var mı? Konaklama kontrolündeysen misafir eşyalarını değerlendirme.</t>
        </is>
      </c>
    </row>
    <row r="121">
      <c r="A121" s="5" t="inlineStr">
        <is>
          <t>DFS</t>
        </is>
      </c>
      <c r="B121" s="5" t="n">
        <v>1</v>
      </c>
      <c r="C121" s="5" t="inlineStr">
        <is>
          <t>Giriş</t>
        </is>
      </c>
      <c r="D121" s="5" t="inlineStr">
        <is>
          <t>Giriş ve kapı</t>
        </is>
      </c>
      <c r="E121" s="5" t="inlineStr">
        <is>
          <t>Kapıdan girip girişi ve koridoru tek karede çek. Tüm ışıklar açık olsun.</t>
        </is>
      </c>
      <c r="F121" s="5" t="inlineStr">
        <is>
          <t>Kapı ve şifreli kilit çalışıyor
Süpürgelik ve duvar dipleri tozsuz
Aplikler yanıyor
Zeminde leke, saç, kum yok</t>
        </is>
      </c>
      <c r="G121" s="5" t="inlineStr">
        <is>
          <t>Evet</t>
        </is>
      </c>
      <c r="H121" s="5" t="inlineStr">
        <is>
          <t>Evet</t>
        </is>
      </c>
      <c r="I121" s="5" t="inlineStr">
        <is>
          <t>Hayır</t>
        </is>
      </c>
      <c r="K121" s="5" t="n">
        <v>1</v>
      </c>
      <c r="L121" s="5" t="inlineStr">
        <is>
          <t>Zeminde görünür kir, saç, çöp var mı? Yanmayan lamba var mı? Konaklama kontrolündeysen misafir eşyalarını değerlendirme.</t>
        </is>
      </c>
    </row>
    <row r="122">
      <c r="A122" s="5" t="inlineStr">
        <is>
          <t>DFS</t>
        </is>
      </c>
      <c r="B122" s="5" t="n">
        <v>2</v>
      </c>
      <c r="C122" s="5" t="inlineStr">
        <is>
          <t>Banyo</t>
        </is>
      </c>
      <c r="D122" s="5" t="inlineStr">
        <is>
          <t>Lavabo ve ayna</t>
        </is>
      </c>
      <c r="E122" s="5" t="inlineStr">
        <is>
          <t>Lavabo, batarya, ayna ve havlu rafı aynı karede olacak şekilde çek.</t>
        </is>
      </c>
      <c r="F122" s="5" t="inlineStr">
        <is>
          <t>Lavabo içi ve gider temiz
Batarya parlak, su lekesi yok
Sıvı sabun dolu
Ayna lekesiz
Havlular katlı ve tam</t>
        </is>
      </c>
      <c r="G122" s="5" t="inlineStr">
        <is>
          <t>Evet</t>
        </is>
      </c>
      <c r="H122" s="5" t="inlineStr">
        <is>
          <t>Evet</t>
        </is>
      </c>
      <c r="I122" s="5" t="inlineStr">
        <is>
          <t>Hayır</t>
        </is>
      </c>
      <c r="K122" s="5" t="n">
        <v>1</v>
      </c>
      <c r="L122" s="5" t="inlineStr">
        <is>
          <t>Lavaboda kıl, sabun kalıntısı, su lekesi var mı? Aynada leke var mı? Havlular düzgün katlı mı? Konaklama kontrolündeysen misafir eşyalarını değerlendirme.</t>
        </is>
      </c>
    </row>
    <row r="123">
      <c r="A123" s="5" t="inlineStr">
        <is>
          <t>DFS</t>
        </is>
      </c>
      <c r="B123" s="5" t="n">
        <v>3</v>
      </c>
      <c r="C123" s="5" t="inlineStr">
        <is>
          <t>Banyo</t>
        </is>
      </c>
      <c r="D123" s="5" t="inlineStr">
        <is>
          <t>WC</t>
        </is>
      </c>
      <c r="E123" s="5" t="inlineStr">
        <is>
          <t>Klozet kapağı açık, tuvalet kağıdı ve yedek rulo görünecek şekilde çek.</t>
        </is>
      </c>
      <c r="F123" s="5" t="inlineStr">
        <is>
          <t>Klozet içi, kapak altı ve dış yüzey temiz
WC fırçası temiz
Tuvalet kağıdı takılı + yedek rulo
Çöp kovası boş, poşet yeni</t>
        </is>
      </c>
      <c r="G123" s="5" t="inlineStr">
        <is>
          <t>Evet</t>
        </is>
      </c>
      <c r="H123" s="5" t="inlineStr">
        <is>
          <t>Evet</t>
        </is>
      </c>
      <c r="I123" s="5" t="inlineStr">
        <is>
          <t>Hayır</t>
        </is>
      </c>
      <c r="K123" s="5" t="n">
        <v>1</v>
      </c>
      <c r="L123" s="5" t="inlineStr">
        <is>
          <t>Klozet içinde veya kapakta leke/kir var mı? Tuvalet kağıdı ve yedek rulo var mı? Çöp kovası boş mu?</t>
        </is>
      </c>
    </row>
    <row r="124">
      <c r="A124" s="5" t="inlineStr">
        <is>
          <t>DFS</t>
        </is>
      </c>
      <c r="B124" s="5" t="n">
        <v>4</v>
      </c>
      <c r="C124" s="5" t="inlineStr">
        <is>
          <t>Banyo</t>
        </is>
      </c>
      <c r="D124" s="5" t="inlineStr">
        <is>
          <t>Duş</t>
        </is>
      </c>
      <c r="E124" s="5" t="inlineStr">
        <is>
          <t>Duş camını ışığa karşı çek (kireç böyle görünür); dispenserler ve gider görünsün.</t>
        </is>
      </c>
      <c r="F124" s="5" t="inlineStr">
        <is>
          <t>Camda kireç ve su lekesi yok
Duş seti askıda
Şampuan/duş jeli dolu
Giderde saç yok</t>
        </is>
      </c>
      <c r="G124" s="5" t="inlineStr">
        <is>
          <t>Evet</t>
        </is>
      </c>
      <c r="H124" s="5" t="inlineStr">
        <is>
          <t>Evet</t>
        </is>
      </c>
      <c r="I124" s="5" t="inlineStr">
        <is>
          <t>Hayır</t>
        </is>
      </c>
      <c r="K124" s="5" t="n">
        <v>1</v>
      </c>
      <c r="L124" s="5" t="inlineStr">
        <is>
          <t>Duş camında kireç/su lekesi, giderde saç, zeminde kir var mı? Konaklama kontrolündeysen misafir eşyalarını değerlendirme.</t>
        </is>
      </c>
    </row>
    <row r="125">
      <c r="A125" s="5" t="inlineStr">
        <is>
          <t>DFS</t>
        </is>
      </c>
      <c r="B125" s="5" t="n">
        <v>5</v>
      </c>
      <c r="C125" s="5" t="inlineStr">
        <is>
          <t>Oda</t>
        </is>
      </c>
      <c r="D125" s="5" t="inlineStr">
        <is>
          <t>Gardırop</t>
        </is>
      </c>
      <c r="E125" s="5" t="inlineStr">
        <is>
          <t>Kapakları aç, askıları ve rafları tek karede çek. İçerisi karanlıksa feneri aç.</t>
        </is>
      </c>
      <c r="F125" s="5" t="inlineStr">
        <is>
          <t>Askılar tam
Yedek battaniye/yastık katlı
Unutulmuş eşya yok</t>
        </is>
      </c>
      <c r="G125" s="5" t="inlineStr">
        <is>
          <t>Evet</t>
        </is>
      </c>
      <c r="H125" s="5" t="inlineStr">
        <is>
          <t>Hayır</t>
        </is>
      </c>
      <c r="I125" s="5" t="inlineStr">
        <is>
          <t>Evet</t>
        </is>
      </c>
      <c r="K125" s="5" t="n">
        <v>1</v>
      </c>
      <c r="L125" s="5" t="inlineStr">
        <is>
          <t>Gardıropta unutulmuş eşya, çöp var mı? Askılar düzenli mi?</t>
        </is>
      </c>
    </row>
    <row r="126">
      <c r="A126" s="5" t="inlineStr">
        <is>
          <t>DFS</t>
        </is>
      </c>
      <c r="B126" s="5" t="n">
        <v>6</v>
      </c>
      <c r="C126" s="5" t="inlineStr">
        <is>
          <t>Oda</t>
        </is>
      </c>
      <c r="D126" s="5" t="inlineStr">
        <is>
          <t>Kasa</t>
        </is>
      </c>
      <c r="E126" s="5" t="inlineStr">
        <is>
          <t>Kasa kapağını açıp içini çek.</t>
        </is>
      </c>
      <c r="F126" s="5" t="inlineStr">
        <is>
          <t>Kasa boş
Kasa açık bırakılmış, kilitli değil</t>
        </is>
      </c>
      <c r="G126" s="5" t="inlineStr">
        <is>
          <t>Evet</t>
        </is>
      </c>
      <c r="H126" s="5" t="inlineStr">
        <is>
          <t>Hayır</t>
        </is>
      </c>
      <c r="I126" s="5" t="inlineStr">
        <is>
          <t>Evet</t>
        </is>
      </c>
      <c r="K126" s="5" t="n">
        <v>1</v>
      </c>
      <c r="L126" s="5" t="inlineStr">
        <is>
          <t>Kasanın içinde eşya var mı? Kapak açık mı?</t>
        </is>
      </c>
    </row>
    <row r="127">
      <c r="A127" s="5" t="inlineStr">
        <is>
          <t>DFS</t>
        </is>
      </c>
      <c r="B127" s="5" t="n">
        <v>7</v>
      </c>
      <c r="C127" s="5" t="inlineStr">
        <is>
          <t>Oda</t>
        </is>
      </c>
      <c r="D127" s="5" t="inlineStr">
        <is>
          <t>Kettle ve ikram</t>
        </is>
      </c>
      <c r="E127" s="5" t="inlineStr">
        <is>
          <t>Kettle, bardaklar ve ikram tepsisini tek karede çek.</t>
        </is>
      </c>
      <c r="F127" s="5" t="inlineStr">
        <is>
          <t>Kettle boş ve temiz
Bardaklar lekesiz
İkram tepsisi tam</t>
        </is>
      </c>
      <c r="G127" s="5" t="inlineStr">
        <is>
          <t>Evet</t>
        </is>
      </c>
      <c r="H127" s="5" t="inlineStr">
        <is>
          <t>Evet</t>
        </is>
      </c>
      <c r="I127" s="5" t="inlineStr">
        <is>
          <t>Hayır</t>
        </is>
      </c>
      <c r="K127" s="5" t="n">
        <v>1</v>
      </c>
      <c r="L127" s="5" t="inlineStr">
        <is>
          <t>Bardaklarda leke, kettle içinde su/kireç var mı? İkram eksik mi?</t>
        </is>
      </c>
    </row>
    <row r="128">
      <c r="A128" s="5" t="inlineStr">
        <is>
          <t>DFS</t>
        </is>
      </c>
      <c r="B128" s="5" t="n">
        <v>8</v>
      </c>
      <c r="C128" s="5" t="inlineStr">
        <is>
          <t>Oda</t>
        </is>
      </c>
      <c r="D128" s="5" t="inlineStr">
        <is>
          <t>TV ve ünite</t>
        </is>
      </c>
      <c r="E128" s="5" t="inlineStr">
        <is>
          <t>TV ve ünite raflarını önden çek.</t>
        </is>
      </c>
      <c r="F128" s="5" t="inlineStr">
        <is>
          <t>TV ekranı tozsuz
Ünite rafları tozsuz
Kumandalar yerinde</t>
        </is>
      </c>
      <c r="G128" s="5" t="inlineStr">
        <is>
          <t>Evet</t>
        </is>
      </c>
      <c r="H128" s="5" t="inlineStr">
        <is>
          <t>Evet</t>
        </is>
      </c>
      <c r="I128" s="5" t="inlineStr">
        <is>
          <t>Hayır</t>
        </is>
      </c>
      <c r="K128" s="5" t="n">
        <v>1</v>
      </c>
      <c r="L128" s="5" t="inlineStr">
        <is>
          <t>TV ve raflarda toz, leke var mı? Konaklama kontrolündeysen misafir eşyalarını değerlendirme.</t>
        </is>
      </c>
    </row>
    <row r="129">
      <c r="A129" s="5" t="inlineStr">
        <is>
          <t>DFS</t>
        </is>
      </c>
      <c r="B129" s="5" t="n">
        <v>9</v>
      </c>
      <c r="C129" s="5" t="inlineStr">
        <is>
          <t>Oda</t>
        </is>
      </c>
      <c r="D129" s="5" t="inlineStr">
        <is>
          <t>Oturma alanı ve masa</t>
        </is>
      </c>
      <c r="E129" s="5" t="inlineStr">
        <is>
          <t>Pencereye doğru geniş açıyla çek; masa, koltuklar ve kanepe görünsün.</t>
        </is>
      </c>
      <c r="F129" s="5" t="inlineStr">
        <is>
          <t>Perde ve tül düzgün
Masa temiz
Koltuk/kanepe temiz, minderler düzgün</t>
        </is>
      </c>
      <c r="G129" s="5" t="inlineStr">
        <is>
          <t>Evet</t>
        </is>
      </c>
      <c r="H129" s="5" t="inlineStr">
        <is>
          <t>Evet</t>
        </is>
      </c>
      <c r="I129" s="5" t="inlineStr">
        <is>
          <t>Hayır</t>
        </is>
      </c>
      <c r="K129" s="5" t="n">
        <v>1</v>
      </c>
      <c r="L129" s="5" t="inlineStr">
        <is>
          <t>Masada, koltuklarda kir, leke, unutulmuş eşya var mı? Konaklama kontrolündeysen misafir eşyalarını değerlendirme.</t>
        </is>
      </c>
    </row>
    <row r="130">
      <c r="A130" s="5" t="inlineStr">
        <is>
          <t>DFS</t>
        </is>
      </c>
      <c r="B130" s="5" t="n">
        <v>10</v>
      </c>
      <c r="C130" s="5" t="inlineStr">
        <is>
          <t>Oda</t>
        </is>
      </c>
      <c r="D130" s="5" t="inlineStr">
        <is>
          <t>Yatak ve komodinler</t>
        </is>
      </c>
      <c r="E130" s="5" t="inlineStr">
        <is>
          <t>Yatağı ayak ucundan tamamı görünecek şekilde çek; ikinci karede yatak altını ve komodinleri çek. Dubleks: üst ve alt kattaki yatakların her biri için ayrı kare.</t>
        </is>
      </c>
      <c r="F130" s="5" t="inlineStr">
        <is>
          <t>Çarşaf dört köşeden gergin
Yastıklar tam, kılıflar lekesiz
Yatak altında eşya/toz yok
Komodinler boş ve tozsuz</t>
        </is>
      </c>
      <c r="G130" s="5" t="inlineStr">
        <is>
          <t>Evet</t>
        </is>
      </c>
      <c r="H130" s="5" t="inlineStr">
        <is>
          <t>Evet</t>
        </is>
      </c>
      <c r="I130" s="5" t="inlineStr">
        <is>
          <t>Hayır</t>
        </is>
      </c>
      <c r="K130" s="5" t="n">
        <v>3</v>
      </c>
      <c r="L130" s="5" t="inlineStr">
        <is>
          <t>Çarşafta kırışık, leke, saç var mı? Yastıklar düzgün mü? Yatak altında eşya/toz var mı? Konaklama kontrolündeysen misafir eşyalarını değerlendirme.</t>
        </is>
      </c>
    </row>
    <row r="131">
      <c r="A131" s="5" t="inlineStr">
        <is>
          <t>DFS</t>
        </is>
      </c>
      <c r="B131" s="5" t="n">
        <v>11</v>
      </c>
      <c r="C131" s="5" t="inlineStr">
        <is>
          <t>Oda</t>
        </is>
      </c>
      <c r="D131" s="5" t="inlineStr">
        <is>
          <t>Genel oda</t>
        </is>
      </c>
      <c r="E131" s="5" t="inlineStr">
        <is>
          <t>Kapı tarafından tüm odayı tek geniş karede çek. Tüm ışıklar açık.</t>
        </is>
      </c>
      <c r="F131" s="5" t="inlineStr">
        <is>
          <t>Klima çalışıyor
Çöp kovaları boş
Zemin temiz
Duvarda iz yok
Tüm aydınlatma yanıyor</t>
        </is>
      </c>
      <c r="G131" s="5" t="inlineStr">
        <is>
          <t>Evet</t>
        </is>
      </c>
      <c r="H131" s="5" t="inlineStr">
        <is>
          <t>Evet</t>
        </is>
      </c>
      <c r="I131" s="5" t="inlineStr">
        <is>
          <t>Hayır</t>
        </is>
      </c>
      <c r="K131" s="5" t="n">
        <v>1</v>
      </c>
      <c r="L131" s="5" t="inlineStr">
        <is>
          <t>Zeminde kir, çöp; yanmayan lamba; dağınıklık var mı? Konaklama kontrolündeysen misafir eşyalarını değerlendirme.</t>
        </is>
      </c>
    </row>
    <row r="132">
      <c r="A132" s="5" t="inlineStr">
        <is>
          <t>VGS</t>
        </is>
      </c>
      <c r="B132" s="5" t="n">
        <v>1</v>
      </c>
      <c r="C132" s="5" t="inlineStr">
        <is>
          <t>Giriş</t>
        </is>
      </c>
      <c r="D132" s="5" t="inlineStr">
        <is>
          <t>Giriş ve kapı</t>
        </is>
      </c>
      <c r="E132" s="5" t="inlineStr">
        <is>
          <t>Kapıdan girip girişi ve koridoru tek karede çek. Tüm ışıklar açık olsun.</t>
        </is>
      </c>
      <c r="F132" s="5" t="inlineStr">
        <is>
          <t>Kapı ve şifreli kilit çalışıyor
Süpürgelik ve duvar dipleri tozsuz
Aplikler yanıyor
Zeminde leke, saç, kum yok</t>
        </is>
      </c>
      <c r="G132" s="5" t="inlineStr">
        <is>
          <t>Evet</t>
        </is>
      </c>
      <c r="H132" s="5" t="inlineStr">
        <is>
          <t>Evet</t>
        </is>
      </c>
      <c r="I132" s="5" t="inlineStr">
        <is>
          <t>Hayır</t>
        </is>
      </c>
      <c r="K132" s="5" t="n">
        <v>1</v>
      </c>
      <c r="L132" s="5" t="inlineStr">
        <is>
          <t>Zeminde görünür kir, saç, çöp var mı? Yanmayan lamba var mı? Konaklama kontrolündeysen misafir eşyalarını değerlendirme.</t>
        </is>
      </c>
    </row>
    <row r="133">
      <c r="A133" s="5" t="inlineStr">
        <is>
          <t>VGS</t>
        </is>
      </c>
      <c r="B133" s="5" t="n">
        <v>2</v>
      </c>
      <c r="C133" s="5" t="inlineStr">
        <is>
          <t>Banyo</t>
        </is>
      </c>
      <c r="D133" s="5" t="inlineStr">
        <is>
          <t>Lavabo ve ayna</t>
        </is>
      </c>
      <c r="E133" s="5" t="inlineStr">
        <is>
          <t>Lavabo, batarya, ayna ve havlu rafı aynı karede olacak şekilde çek.</t>
        </is>
      </c>
      <c r="F133" s="5" t="inlineStr">
        <is>
          <t>Lavabo içi ve gider temiz
Batarya parlak, su lekesi yok
Sıvı sabun dolu
Ayna lekesiz
Havlular katlı ve tam</t>
        </is>
      </c>
      <c r="G133" s="5" t="inlineStr">
        <is>
          <t>Evet</t>
        </is>
      </c>
      <c r="H133" s="5" t="inlineStr">
        <is>
          <t>Evet</t>
        </is>
      </c>
      <c r="I133" s="5" t="inlineStr">
        <is>
          <t>Hayır</t>
        </is>
      </c>
      <c r="K133" s="5" t="n">
        <v>1</v>
      </c>
      <c r="L133" s="5" t="inlineStr">
        <is>
          <t>Lavaboda kıl, sabun kalıntısı, su lekesi var mı? Aynada leke var mı? Havlular düzgün katlı mı? Konaklama kontrolündeysen misafir eşyalarını değerlendirme.</t>
        </is>
      </c>
    </row>
    <row r="134">
      <c r="A134" s="5" t="inlineStr">
        <is>
          <t>VGS</t>
        </is>
      </c>
      <c r="B134" s="5" t="n">
        <v>3</v>
      </c>
      <c r="C134" s="5" t="inlineStr">
        <is>
          <t>Banyo</t>
        </is>
      </c>
      <c r="D134" s="5" t="inlineStr">
        <is>
          <t>WC</t>
        </is>
      </c>
      <c r="E134" s="5" t="inlineStr">
        <is>
          <t>Klozet kapağı açık, tuvalet kağıdı ve yedek rulo görünecek şekilde çek.</t>
        </is>
      </c>
      <c r="F134" s="5" t="inlineStr">
        <is>
          <t>Klozet içi, kapak altı ve dış yüzey temiz
WC fırçası temiz
Tuvalet kağıdı takılı + yedek rulo
Çöp kovası boş, poşet yeni</t>
        </is>
      </c>
      <c r="G134" s="5" t="inlineStr">
        <is>
          <t>Evet</t>
        </is>
      </c>
      <c r="H134" s="5" t="inlineStr">
        <is>
          <t>Evet</t>
        </is>
      </c>
      <c r="I134" s="5" t="inlineStr">
        <is>
          <t>Hayır</t>
        </is>
      </c>
      <c r="K134" s="5" t="n">
        <v>1</v>
      </c>
      <c r="L134" s="5" t="inlineStr">
        <is>
          <t>Klozet içinde veya kapakta leke/kir var mı? Tuvalet kağıdı ve yedek rulo var mı? Çöp kovası boş mu?</t>
        </is>
      </c>
    </row>
    <row r="135">
      <c r="A135" s="5" t="inlineStr">
        <is>
          <t>VGS</t>
        </is>
      </c>
      <c r="B135" s="5" t="n">
        <v>4</v>
      </c>
      <c r="C135" s="5" t="inlineStr">
        <is>
          <t>Banyo</t>
        </is>
      </c>
      <c r="D135" s="5" t="inlineStr">
        <is>
          <t>Duş</t>
        </is>
      </c>
      <c r="E135" s="5" t="inlineStr">
        <is>
          <t>Duş camını ışığa karşı çek (kireç böyle görünür); dispenserler ve gider görünsün.</t>
        </is>
      </c>
      <c r="F135" s="5" t="inlineStr">
        <is>
          <t>Camda kireç ve su lekesi yok
Duş seti askıda
Şampuan/duş jeli dolu
Giderde saç yok</t>
        </is>
      </c>
      <c r="G135" s="5" t="inlineStr">
        <is>
          <t>Evet</t>
        </is>
      </c>
      <c r="H135" s="5" t="inlineStr">
        <is>
          <t>Evet</t>
        </is>
      </c>
      <c r="I135" s="5" t="inlineStr">
        <is>
          <t>Hayır</t>
        </is>
      </c>
      <c r="K135" s="5" t="n">
        <v>1</v>
      </c>
      <c r="L135" s="5" t="inlineStr">
        <is>
          <t>Duş camında kireç/su lekesi, giderde saç, zeminde kir var mı? Konaklama kontrolündeysen misafir eşyalarını değerlendirme.</t>
        </is>
      </c>
    </row>
    <row r="136">
      <c r="A136" s="5" t="inlineStr">
        <is>
          <t>VGS</t>
        </is>
      </c>
      <c r="B136" s="5" t="n">
        <v>5</v>
      </c>
      <c r="C136" s="5" t="inlineStr">
        <is>
          <t>Oda</t>
        </is>
      </c>
      <c r="D136" s="5" t="inlineStr">
        <is>
          <t>Gardırop</t>
        </is>
      </c>
      <c r="E136" s="5" t="inlineStr">
        <is>
          <t>Kapakları aç, askıları ve rafları tek karede çek. İçerisi karanlıksa feneri aç.</t>
        </is>
      </c>
      <c r="F136" s="5" t="inlineStr">
        <is>
          <t>Askılar tam
Yedek battaniye/yastık katlı
Unutulmuş eşya yok</t>
        </is>
      </c>
      <c r="G136" s="5" t="inlineStr">
        <is>
          <t>Evet</t>
        </is>
      </c>
      <c r="H136" s="5" t="inlineStr">
        <is>
          <t>Hayır</t>
        </is>
      </c>
      <c r="I136" s="5" t="inlineStr">
        <is>
          <t>Evet</t>
        </is>
      </c>
      <c r="K136" s="5" t="n">
        <v>1</v>
      </c>
      <c r="L136" s="5" t="inlineStr">
        <is>
          <t>Gardıropta unutulmuş eşya, çöp var mı? Askılar düzenli mi?</t>
        </is>
      </c>
    </row>
    <row r="137">
      <c r="A137" s="5" t="inlineStr">
        <is>
          <t>VGS</t>
        </is>
      </c>
      <c r="B137" s="5" t="n">
        <v>6</v>
      </c>
      <c r="C137" s="5" t="inlineStr">
        <is>
          <t>Mutfak</t>
        </is>
      </c>
      <c r="D137" s="5" t="inlineStr">
        <is>
          <t>Mutfak tezgahı</t>
        </is>
      </c>
      <c r="E137" s="5" t="inlineStr">
        <is>
          <t>Tezgahın karşısından ocak, evye, kettle ve bulaşıklık tek karede olacak şekilde çek.</t>
        </is>
      </c>
      <c r="F137" s="5" t="inlineStr">
        <is>
          <t>Ocak temiz
Evye ve batarya temiz
Sünger ve fırça temiz
Bulaşıklık boş ve kuru
Kettle boş, kablosu toplanmış
Tuz-biber-yağ dolu
Çöp kovası boş</t>
        </is>
      </c>
      <c r="G137" s="5" t="inlineStr">
        <is>
          <t>Evet</t>
        </is>
      </c>
      <c r="H137" s="5" t="inlineStr">
        <is>
          <t>Evet</t>
        </is>
      </c>
      <c r="I137" s="5" t="inlineStr">
        <is>
          <t>Hayır</t>
        </is>
      </c>
      <c r="K137" s="5" t="n">
        <v>1</v>
      </c>
      <c r="L137" s="5" t="inlineStr">
        <is>
          <t>Tezgahta, ocakta, evyede kir, yağ, kırıntı veya bulaşık var mı? Çöp dolu mu? Konaklama kontrolündeysen misafir eşyalarını değerlendirme.</t>
        </is>
      </c>
    </row>
    <row r="138">
      <c r="A138" s="5" t="inlineStr">
        <is>
          <t>VGS</t>
        </is>
      </c>
      <c r="B138" s="5" t="n">
        <v>7</v>
      </c>
      <c r="C138" s="5" t="inlineStr">
        <is>
          <t>Mutfak</t>
        </is>
      </c>
      <c r="D138" s="5" t="inlineStr">
        <is>
          <t>Çekmeceler</t>
        </is>
      </c>
      <c r="E138" s="5" t="inlineStr">
        <is>
          <t>Çekmeceleri sırayla aç, feneri aç ve her birini tam üstten çek.</t>
        </is>
      </c>
      <c r="F138" s="5" t="inlineStr">
        <is>
          <t>Çatal, kaşık, bıçak tam
Servis gereçleri yerinde
Çekmece içleri kırıntısız</t>
        </is>
      </c>
      <c r="G138" s="5" t="inlineStr">
        <is>
          <t>Evet</t>
        </is>
      </c>
      <c r="H138" s="5" t="inlineStr">
        <is>
          <t>Hayır</t>
        </is>
      </c>
      <c r="I138" s="5" t="inlineStr">
        <is>
          <t>Evet</t>
        </is>
      </c>
      <c r="K138" s="5" t="n">
        <v>2</v>
      </c>
      <c r="L138" s="5" t="inlineStr">
        <is>
          <t>Çekmece içinde kırıntı, kir, yerinden oynamış eşya var mı?</t>
        </is>
      </c>
    </row>
    <row r="139">
      <c r="A139" s="5" t="inlineStr">
        <is>
          <t>VGS</t>
        </is>
      </c>
      <c r="B139" s="5" t="n">
        <v>8</v>
      </c>
      <c r="C139" s="5" t="inlineStr">
        <is>
          <t>Mutfak</t>
        </is>
      </c>
      <c r="D139" s="5" t="inlineStr">
        <is>
          <t>Dolaplar: tabak, bardak, tencere</t>
        </is>
      </c>
      <c r="E139" s="5" t="inlineStr">
        <is>
          <t>Üst ve alt dolapların kapaklarını aç, feneri aç; tabak, bardak ve tencereler görünsün.</t>
        </is>
      </c>
      <c r="F139" s="5" t="inlineStr">
        <is>
          <t>Tabak, kase, bardak, kupa sayısı tam
Bardaklarda su lekesi, kupalarda çay/kahve izi yok
Tencere ve tavalar temiz, kapaklı
Evye altında sızıntı yok</t>
        </is>
      </c>
      <c r="G139" s="5" t="inlineStr">
        <is>
          <t>Evet</t>
        </is>
      </c>
      <c r="H139" s="5" t="inlineStr">
        <is>
          <t>Hayır</t>
        </is>
      </c>
      <c r="I139" s="5" t="inlineStr">
        <is>
          <t>Evet</t>
        </is>
      </c>
      <c r="K139" s="5" t="n">
        <v>2</v>
      </c>
      <c r="L139" s="5" t="inlineStr">
        <is>
          <t>Bardaklarda leke, tabaklarda iz/çatlak, tencerelerde yemek kalıntısı var mı?</t>
        </is>
      </c>
    </row>
    <row r="140">
      <c r="A140" s="5" t="inlineStr">
        <is>
          <t>VGS</t>
        </is>
      </c>
      <c r="B140" s="5" t="n">
        <v>9</v>
      </c>
      <c r="C140" s="5" t="inlineStr">
        <is>
          <t>Mutfak</t>
        </is>
      </c>
      <c r="D140" s="5" t="inlineStr">
        <is>
          <t>Buzdolabı</t>
        </is>
      </c>
      <c r="E140" s="5" t="inlineStr">
        <is>
          <t>Kapağı tamamen aç; içi ve kapak rafları görünsün.</t>
        </is>
      </c>
      <c r="F140" s="5" t="inlineStr">
        <is>
          <t>Raflar temiz
Unutulmuş yiyecek yok
Koku ve buzlanma yok</t>
        </is>
      </c>
      <c r="G140" s="5" t="inlineStr">
        <is>
          <t>Evet</t>
        </is>
      </c>
      <c r="H140" s="5" t="inlineStr">
        <is>
          <t>Hayır</t>
        </is>
      </c>
      <c r="I140" s="5" t="inlineStr">
        <is>
          <t>Hayır</t>
        </is>
      </c>
      <c r="K140" s="5" t="n">
        <v>1</v>
      </c>
      <c r="L140" s="5" t="inlineStr">
        <is>
          <t>Buzdolabında yiyecek kalıntısı, leke, buzlanma var mı?</t>
        </is>
      </c>
    </row>
    <row r="141">
      <c r="A141" s="5" t="inlineStr">
        <is>
          <t>VGS</t>
        </is>
      </c>
      <c r="B141" s="5" t="n">
        <v>10</v>
      </c>
      <c r="C141" s="5" t="inlineStr">
        <is>
          <t>Oda</t>
        </is>
      </c>
      <c r="D141" s="5" t="inlineStr">
        <is>
          <t>TV ve ünite</t>
        </is>
      </c>
      <c r="E141" s="5" t="inlineStr">
        <is>
          <t>TV ve ünite raflarını önden çek.</t>
        </is>
      </c>
      <c r="F141" s="5" t="inlineStr">
        <is>
          <t>TV ekranı tozsuz
Ünite rafları tozsuz
Kumandalar yerinde</t>
        </is>
      </c>
      <c r="G141" s="5" t="inlineStr">
        <is>
          <t>Evet</t>
        </is>
      </c>
      <c r="H141" s="5" t="inlineStr">
        <is>
          <t>Evet</t>
        </is>
      </c>
      <c r="I141" s="5" t="inlineStr">
        <is>
          <t>Hayır</t>
        </is>
      </c>
      <c r="K141" s="5" t="n">
        <v>1</v>
      </c>
      <c r="L141" s="5" t="inlineStr">
        <is>
          <t>TV ve raflarda toz, leke var mı? Konaklama kontrolündeysen misafir eşyalarını değerlendirme.</t>
        </is>
      </c>
    </row>
    <row r="142">
      <c r="A142" s="5" t="inlineStr">
        <is>
          <t>VGS</t>
        </is>
      </c>
      <c r="B142" s="5" t="n">
        <v>11</v>
      </c>
      <c r="C142" s="5" t="inlineStr">
        <is>
          <t>Oda</t>
        </is>
      </c>
      <c r="D142" s="5" t="inlineStr">
        <is>
          <t>Oturma alanı ve masa</t>
        </is>
      </c>
      <c r="E142" s="5" t="inlineStr">
        <is>
          <t>Pencereye doğru geniş açıyla çek; masa, koltuklar ve kanepe görünsün.</t>
        </is>
      </c>
      <c r="F142" s="5" t="inlineStr">
        <is>
          <t>Perde ve tül düzgün
Masa temiz
Koltuk/kanepe temiz, minderler düzgün
Sofa yatak toplanmış</t>
        </is>
      </c>
      <c r="G142" s="5" t="inlineStr">
        <is>
          <t>Evet</t>
        </is>
      </c>
      <c r="H142" s="5" t="inlineStr">
        <is>
          <t>Evet</t>
        </is>
      </c>
      <c r="I142" s="5" t="inlineStr">
        <is>
          <t>Hayır</t>
        </is>
      </c>
      <c r="K142" s="5" t="n">
        <v>1</v>
      </c>
      <c r="L142" s="5" t="inlineStr">
        <is>
          <t>Masada, koltuklarda kir, leke, unutulmuş eşya var mı? Konaklama kontrolündeysen misafir eşyalarını değerlendirme.</t>
        </is>
      </c>
    </row>
    <row r="143">
      <c r="A143" s="5" t="inlineStr">
        <is>
          <t>VGS</t>
        </is>
      </c>
      <c r="B143" s="5" t="n">
        <v>12</v>
      </c>
      <c r="C143" s="5" t="inlineStr">
        <is>
          <t>Oda</t>
        </is>
      </c>
      <c r="D143" s="5" t="inlineStr">
        <is>
          <t>Yatak ve komodinler</t>
        </is>
      </c>
      <c r="E143" s="5" t="inlineStr">
        <is>
          <t>Yatağı ayak ucundan tamamı görünecek şekilde çek; ikinci karede yatak altını ve komodinleri çek.</t>
        </is>
      </c>
      <c r="F143" s="5" t="inlineStr">
        <is>
          <t>Çarşaf dört köşeden gergin
Yastıklar tam, kılıflar lekesiz
Yatak altında eşya/toz yok
Komodinler boş ve tozsuz</t>
        </is>
      </c>
      <c r="G143" s="5" t="inlineStr">
        <is>
          <t>Evet</t>
        </is>
      </c>
      <c r="H143" s="5" t="inlineStr">
        <is>
          <t>Evet</t>
        </is>
      </c>
      <c r="I143" s="5" t="inlineStr">
        <is>
          <t>Hayır</t>
        </is>
      </c>
      <c r="K143" s="5" t="n">
        <v>2</v>
      </c>
      <c r="L143" s="5" t="inlineStr">
        <is>
          <t>Çarşafta kırışık, leke, saç var mı? Yastıklar düzgün mü? Yatak altında eşya/toz var mı? Konaklama kontrolündeysen misafir eşyalarını değerlendirme.</t>
        </is>
      </c>
    </row>
    <row r="144">
      <c r="A144" s="5" t="inlineStr">
        <is>
          <t>VGS</t>
        </is>
      </c>
      <c r="B144" s="5" t="n">
        <v>13</v>
      </c>
      <c r="C144" s="5" t="inlineStr">
        <is>
          <t>Oda</t>
        </is>
      </c>
      <c r="D144" s="5" t="inlineStr">
        <is>
          <t>Genel oda</t>
        </is>
      </c>
      <c r="E144" s="5" t="inlineStr">
        <is>
          <t>Kapı tarafından tüm odayı tek geniş karede çek. Tüm ışıklar açık.</t>
        </is>
      </c>
      <c r="F144" s="5" t="inlineStr">
        <is>
          <t>Klima çalışıyor
Çöp kovaları boş
Zemin temiz
Duvarda iz yok
Tüm aydınlatma yanıyor</t>
        </is>
      </c>
      <c r="G144" s="5" t="inlineStr">
        <is>
          <t>Evet</t>
        </is>
      </c>
      <c r="H144" s="5" t="inlineStr">
        <is>
          <t>Evet</t>
        </is>
      </c>
      <c r="I144" s="5" t="inlineStr">
        <is>
          <t>Hayır</t>
        </is>
      </c>
      <c r="K144" s="5" t="n">
        <v>1</v>
      </c>
      <c r="L144" s="5" t="inlineStr">
        <is>
          <t>Zeminde kir, çöp; yanmayan lamba; dağınıklık var mı? Konaklama kontrolündeysen misafir eşyalarını değerlendirme.</t>
        </is>
      </c>
    </row>
    <row r="145">
      <c r="A145" s="5" t="inlineStr">
        <is>
          <t>VBS</t>
        </is>
      </c>
      <c r="B145" s="5" t="n">
        <v>1</v>
      </c>
      <c r="C145" s="5" t="inlineStr">
        <is>
          <t>Giriş</t>
        </is>
      </c>
      <c r="D145" s="5" t="inlineStr">
        <is>
          <t>Giriş ve kapı</t>
        </is>
      </c>
      <c r="E145" s="5" t="inlineStr">
        <is>
          <t>Kapıdan girip girişi ve koridoru tek karede çek. Tüm ışıklar açık olsun.</t>
        </is>
      </c>
      <c r="F145" s="5" t="inlineStr">
        <is>
          <t>Kapı ve şifreli kilit çalışıyor
Süpürgelik ve duvar dipleri tozsuz
Aplikler yanıyor
Zeminde leke, saç, kum yok</t>
        </is>
      </c>
      <c r="G145" s="5" t="inlineStr">
        <is>
          <t>Evet</t>
        </is>
      </c>
      <c r="H145" s="5" t="inlineStr">
        <is>
          <t>Evet</t>
        </is>
      </c>
      <c r="I145" s="5" t="inlineStr">
        <is>
          <t>Hayır</t>
        </is>
      </c>
      <c r="K145" s="5" t="n">
        <v>1</v>
      </c>
      <c r="L145" s="5" t="inlineStr">
        <is>
          <t>Zeminde görünür kir, saç, çöp var mı? Yanmayan lamba var mı? Konaklama kontrolündeysen misafir eşyalarını değerlendirme.</t>
        </is>
      </c>
    </row>
    <row r="146">
      <c r="A146" s="5" t="inlineStr">
        <is>
          <t>VBS</t>
        </is>
      </c>
      <c r="B146" s="5" t="n">
        <v>2</v>
      </c>
      <c r="C146" s="5" t="inlineStr">
        <is>
          <t>Banyo</t>
        </is>
      </c>
      <c r="D146" s="5" t="inlineStr">
        <is>
          <t>Lavabo ve ayna</t>
        </is>
      </c>
      <c r="E146" s="5" t="inlineStr">
        <is>
          <t>Lavabo, batarya, ayna ve havlu rafı aynı karede olacak şekilde çek.</t>
        </is>
      </c>
      <c r="F146" s="5" t="inlineStr">
        <is>
          <t>Lavabo içi ve gider temiz
Batarya parlak, su lekesi yok
Sıvı sabun dolu
Ayna lekesiz
Havlular katlı ve tam</t>
        </is>
      </c>
      <c r="G146" s="5" t="inlineStr">
        <is>
          <t>Evet</t>
        </is>
      </c>
      <c r="H146" s="5" t="inlineStr">
        <is>
          <t>Evet</t>
        </is>
      </c>
      <c r="I146" s="5" t="inlineStr">
        <is>
          <t>Hayır</t>
        </is>
      </c>
      <c r="K146" s="5" t="n">
        <v>1</v>
      </c>
      <c r="L146" s="5" t="inlineStr">
        <is>
          <t>Lavaboda kıl, sabun kalıntısı, su lekesi var mı? Aynada leke var mı? Havlular düzgün katlı mı? Konaklama kontrolündeysen misafir eşyalarını değerlendirme.</t>
        </is>
      </c>
    </row>
    <row r="147">
      <c r="A147" s="5" t="inlineStr">
        <is>
          <t>VBS</t>
        </is>
      </c>
      <c r="B147" s="5" t="n">
        <v>3</v>
      </c>
      <c r="C147" s="5" t="inlineStr">
        <is>
          <t>Banyo</t>
        </is>
      </c>
      <c r="D147" s="5" t="inlineStr">
        <is>
          <t>WC</t>
        </is>
      </c>
      <c r="E147" s="5" t="inlineStr">
        <is>
          <t>Klozet kapağı açık, tuvalet kağıdı ve yedek rulo görünecek şekilde çek.</t>
        </is>
      </c>
      <c r="F147" s="5" t="inlineStr">
        <is>
          <t>Klozet içi, kapak altı ve dış yüzey temiz
WC fırçası temiz
Tuvalet kağıdı takılı + yedek rulo
Çöp kovası boş, poşet yeni</t>
        </is>
      </c>
      <c r="G147" s="5" t="inlineStr">
        <is>
          <t>Evet</t>
        </is>
      </c>
      <c r="H147" s="5" t="inlineStr">
        <is>
          <t>Evet</t>
        </is>
      </c>
      <c r="I147" s="5" t="inlineStr">
        <is>
          <t>Hayır</t>
        </is>
      </c>
      <c r="K147" s="5" t="n">
        <v>1</v>
      </c>
      <c r="L147" s="5" t="inlineStr">
        <is>
          <t>Klozet içinde veya kapakta leke/kir var mı? Tuvalet kağıdı ve yedek rulo var mı? Çöp kovası boş mu?</t>
        </is>
      </c>
    </row>
    <row r="148">
      <c r="A148" s="5" t="inlineStr">
        <is>
          <t>VBS</t>
        </is>
      </c>
      <c r="B148" s="5" t="n">
        <v>4</v>
      </c>
      <c r="C148" s="5" t="inlineStr">
        <is>
          <t>Banyo</t>
        </is>
      </c>
      <c r="D148" s="5" t="inlineStr">
        <is>
          <t>Duş</t>
        </is>
      </c>
      <c r="E148" s="5" t="inlineStr">
        <is>
          <t>Duş camını ışığa karşı çek (kireç böyle görünür); dispenserler ve gider görünsün.</t>
        </is>
      </c>
      <c r="F148" s="5" t="inlineStr">
        <is>
          <t>Camda kireç ve su lekesi yok
Duş seti askıda
Şampuan/duş jeli dolu
Giderde saç yok</t>
        </is>
      </c>
      <c r="G148" s="5" t="inlineStr">
        <is>
          <t>Evet</t>
        </is>
      </c>
      <c r="H148" s="5" t="inlineStr">
        <is>
          <t>Evet</t>
        </is>
      </c>
      <c r="I148" s="5" t="inlineStr">
        <is>
          <t>Hayır</t>
        </is>
      </c>
      <c r="K148" s="5" t="n">
        <v>1</v>
      </c>
      <c r="L148" s="5" t="inlineStr">
        <is>
          <t>Duş camında kireç/su lekesi, giderde saç, zeminde kir var mı? Konaklama kontrolündeysen misafir eşyalarını değerlendirme.</t>
        </is>
      </c>
    </row>
    <row r="149">
      <c r="A149" s="5" t="inlineStr">
        <is>
          <t>VBS</t>
        </is>
      </c>
      <c r="B149" s="5" t="n">
        <v>5</v>
      </c>
      <c r="C149" s="5" t="inlineStr">
        <is>
          <t>Oda</t>
        </is>
      </c>
      <c r="D149" s="5" t="inlineStr">
        <is>
          <t>Gardırop</t>
        </is>
      </c>
      <c r="E149" s="5" t="inlineStr">
        <is>
          <t>Kapakları aç, askıları ve rafları tek karede çek. İçerisi karanlıksa feneri aç.</t>
        </is>
      </c>
      <c r="F149" s="5" t="inlineStr">
        <is>
          <t>Askılar tam
Yedek battaniye/yastık katlı
Unutulmuş eşya yok</t>
        </is>
      </c>
      <c r="G149" s="5" t="inlineStr">
        <is>
          <t>Evet</t>
        </is>
      </c>
      <c r="H149" s="5" t="inlineStr">
        <is>
          <t>Hayır</t>
        </is>
      </c>
      <c r="I149" s="5" t="inlineStr">
        <is>
          <t>Evet</t>
        </is>
      </c>
      <c r="K149" s="5" t="n">
        <v>1</v>
      </c>
      <c r="L149" s="5" t="inlineStr">
        <is>
          <t>Gardıropta unutulmuş eşya, çöp var mı? Askılar düzenli mi?</t>
        </is>
      </c>
    </row>
    <row r="150">
      <c r="A150" s="5" t="inlineStr">
        <is>
          <t>VBS</t>
        </is>
      </c>
      <c r="B150" s="5" t="n">
        <v>6</v>
      </c>
      <c r="C150" s="5" t="inlineStr">
        <is>
          <t>Mutfak</t>
        </is>
      </c>
      <c r="D150" s="5" t="inlineStr">
        <is>
          <t>Mutfak tezgahı</t>
        </is>
      </c>
      <c r="E150" s="5" t="inlineStr">
        <is>
          <t>Tezgahın karşısından ocak, evye, kettle ve bulaşıklık tek karede olacak şekilde çek.</t>
        </is>
      </c>
      <c r="F150" s="5" t="inlineStr">
        <is>
          <t>Ocak temiz
Evye ve batarya temiz
Sünger ve fırça temiz
Bulaşıklık boş ve kuru
Kettle boş, kablosu toplanmış
Tuz-biber-yağ dolu
Çöp kovası boş</t>
        </is>
      </c>
      <c r="G150" s="5" t="inlineStr">
        <is>
          <t>Evet</t>
        </is>
      </c>
      <c r="H150" s="5" t="inlineStr">
        <is>
          <t>Evet</t>
        </is>
      </c>
      <c r="I150" s="5" t="inlineStr">
        <is>
          <t>Hayır</t>
        </is>
      </c>
      <c r="K150" s="5" t="n">
        <v>1</v>
      </c>
      <c r="L150" s="5" t="inlineStr">
        <is>
          <t>Tezgahta, ocakta, evyede kir, yağ, kırıntı veya bulaşık var mı? Çöp dolu mu? Konaklama kontrolündeysen misafir eşyalarını değerlendirme.</t>
        </is>
      </c>
    </row>
    <row r="151">
      <c r="A151" s="5" t="inlineStr">
        <is>
          <t>VBS</t>
        </is>
      </c>
      <c r="B151" s="5" t="n">
        <v>7</v>
      </c>
      <c r="C151" s="5" t="inlineStr">
        <is>
          <t>Mutfak</t>
        </is>
      </c>
      <c r="D151" s="5" t="inlineStr">
        <is>
          <t>Çekmeceler</t>
        </is>
      </c>
      <c r="E151" s="5" t="inlineStr">
        <is>
          <t>Çekmeceleri sırayla aç, feneri aç ve her birini tam üstten çek.</t>
        </is>
      </c>
      <c r="F151" s="5" t="inlineStr">
        <is>
          <t>Çatal, kaşık, bıçak tam
Servis gereçleri yerinde
Çekmece içleri kırıntısız</t>
        </is>
      </c>
      <c r="G151" s="5" t="inlineStr">
        <is>
          <t>Evet</t>
        </is>
      </c>
      <c r="H151" s="5" t="inlineStr">
        <is>
          <t>Hayır</t>
        </is>
      </c>
      <c r="I151" s="5" t="inlineStr">
        <is>
          <t>Evet</t>
        </is>
      </c>
      <c r="K151" s="5" t="n">
        <v>2</v>
      </c>
      <c r="L151" s="5" t="inlineStr">
        <is>
          <t>Çekmece içinde kırıntı, kir, yerinden oynamış eşya var mı?</t>
        </is>
      </c>
    </row>
    <row r="152">
      <c r="A152" s="5" t="inlineStr">
        <is>
          <t>VBS</t>
        </is>
      </c>
      <c r="B152" s="5" t="n">
        <v>8</v>
      </c>
      <c r="C152" s="5" t="inlineStr">
        <is>
          <t>Mutfak</t>
        </is>
      </c>
      <c r="D152" s="5" t="inlineStr">
        <is>
          <t>Dolaplar: tabak, bardak, tencere</t>
        </is>
      </c>
      <c r="E152" s="5" t="inlineStr">
        <is>
          <t>Üst ve alt dolapların kapaklarını aç, feneri aç; tabak, bardak ve tencereler görünsün.</t>
        </is>
      </c>
      <c r="F152" s="5" t="inlineStr">
        <is>
          <t>Tabak, kase, bardak, kupa sayısı tam
Bardaklarda su lekesi, kupalarda çay/kahve izi yok
Tencere ve tavalar temiz, kapaklı
Evye altında sızıntı yok</t>
        </is>
      </c>
      <c r="G152" s="5" t="inlineStr">
        <is>
          <t>Evet</t>
        </is>
      </c>
      <c r="H152" s="5" t="inlineStr">
        <is>
          <t>Hayır</t>
        </is>
      </c>
      <c r="I152" s="5" t="inlineStr">
        <is>
          <t>Evet</t>
        </is>
      </c>
      <c r="K152" s="5" t="n">
        <v>2</v>
      </c>
      <c r="L152" s="5" t="inlineStr">
        <is>
          <t>Bardaklarda leke, tabaklarda iz/çatlak, tencerelerde yemek kalıntısı var mı?</t>
        </is>
      </c>
    </row>
    <row r="153">
      <c r="A153" s="5" t="inlineStr">
        <is>
          <t>VBS</t>
        </is>
      </c>
      <c r="B153" s="5" t="n">
        <v>9</v>
      </c>
      <c r="C153" s="5" t="inlineStr">
        <is>
          <t>Mutfak</t>
        </is>
      </c>
      <c r="D153" s="5" t="inlineStr">
        <is>
          <t>Buzdolabı</t>
        </is>
      </c>
      <c r="E153" s="5" t="inlineStr">
        <is>
          <t>Kapağı tamamen aç; içi ve kapak rafları görünsün.</t>
        </is>
      </c>
      <c r="F153" s="5" t="inlineStr">
        <is>
          <t>Raflar temiz
Unutulmuş yiyecek yok
Koku ve buzlanma yok</t>
        </is>
      </c>
      <c r="G153" s="5" t="inlineStr">
        <is>
          <t>Evet</t>
        </is>
      </c>
      <c r="H153" s="5" t="inlineStr">
        <is>
          <t>Hayır</t>
        </is>
      </c>
      <c r="I153" s="5" t="inlineStr">
        <is>
          <t>Hayır</t>
        </is>
      </c>
      <c r="K153" s="5" t="n">
        <v>1</v>
      </c>
      <c r="L153" s="5" t="inlineStr">
        <is>
          <t>Buzdolabında yiyecek kalıntısı, leke, buzlanma var mı?</t>
        </is>
      </c>
    </row>
    <row r="154">
      <c r="A154" s="5" t="inlineStr">
        <is>
          <t>VBS</t>
        </is>
      </c>
      <c r="B154" s="5" t="n">
        <v>10</v>
      </c>
      <c r="C154" s="5" t="inlineStr">
        <is>
          <t>Oda</t>
        </is>
      </c>
      <c r="D154" s="5" t="inlineStr">
        <is>
          <t>TV ve ünite</t>
        </is>
      </c>
      <c r="E154" s="5" t="inlineStr">
        <is>
          <t>TV ve ünite raflarını önden çek.</t>
        </is>
      </c>
      <c r="F154" s="5" t="inlineStr">
        <is>
          <t>TV ekranı tozsuz
Ünite rafları tozsuz
Kumandalar yerinde</t>
        </is>
      </c>
      <c r="G154" s="5" t="inlineStr">
        <is>
          <t>Evet</t>
        </is>
      </c>
      <c r="H154" s="5" t="inlineStr">
        <is>
          <t>Evet</t>
        </is>
      </c>
      <c r="I154" s="5" t="inlineStr">
        <is>
          <t>Hayır</t>
        </is>
      </c>
      <c r="K154" s="5" t="n">
        <v>1</v>
      </c>
      <c r="L154" s="5" t="inlineStr">
        <is>
          <t>TV ve raflarda toz, leke var mı? Konaklama kontrolündeysen misafir eşyalarını değerlendirme.</t>
        </is>
      </c>
    </row>
    <row r="155">
      <c r="A155" s="5" t="inlineStr">
        <is>
          <t>VBS</t>
        </is>
      </c>
      <c r="B155" s="5" t="n">
        <v>11</v>
      </c>
      <c r="C155" s="5" t="inlineStr">
        <is>
          <t>Oda</t>
        </is>
      </c>
      <c r="D155" s="5" t="inlineStr">
        <is>
          <t>Oturma alanı ve masa</t>
        </is>
      </c>
      <c r="E155" s="5" t="inlineStr">
        <is>
          <t>Pencereye doğru geniş açıyla çek; masa, koltuklar ve kanepe görünsün.</t>
        </is>
      </c>
      <c r="F155" s="5" t="inlineStr">
        <is>
          <t>Perde ve tül düzgün
Masa temiz
Koltuk/kanepe temiz, minderler düzgün
Sofa yatak toplanmış</t>
        </is>
      </c>
      <c r="G155" s="5" t="inlineStr">
        <is>
          <t>Evet</t>
        </is>
      </c>
      <c r="H155" s="5" t="inlineStr">
        <is>
          <t>Evet</t>
        </is>
      </c>
      <c r="I155" s="5" t="inlineStr">
        <is>
          <t>Hayır</t>
        </is>
      </c>
      <c r="K155" s="5" t="n">
        <v>1</v>
      </c>
      <c r="L155" s="5" t="inlineStr">
        <is>
          <t>Masada, koltuklarda kir, leke, unutulmuş eşya var mı? Konaklama kontrolündeysen misafir eşyalarını değerlendirme.</t>
        </is>
      </c>
    </row>
    <row r="156">
      <c r="A156" s="5" t="inlineStr">
        <is>
          <t>VBS</t>
        </is>
      </c>
      <c r="B156" s="5" t="n">
        <v>12</v>
      </c>
      <c r="C156" s="5" t="inlineStr">
        <is>
          <t>Oda</t>
        </is>
      </c>
      <c r="D156" s="5" t="inlineStr">
        <is>
          <t>Yatak ve komodinler</t>
        </is>
      </c>
      <c r="E156" s="5" t="inlineStr">
        <is>
          <t>Yatağı ayak ucundan tamamı görünecek şekilde çek; ikinci karede yatak altını ve komodinleri çek.</t>
        </is>
      </c>
      <c r="F156" s="5" t="inlineStr">
        <is>
          <t>Çarşaf dört köşeden gergin
Yastıklar tam, kılıflar lekesiz
Yatak altında eşya/toz yok
Komodinler boş ve tozsuz</t>
        </is>
      </c>
      <c r="G156" s="5" t="inlineStr">
        <is>
          <t>Evet</t>
        </is>
      </c>
      <c r="H156" s="5" t="inlineStr">
        <is>
          <t>Evet</t>
        </is>
      </c>
      <c r="I156" s="5" t="inlineStr">
        <is>
          <t>Hayır</t>
        </is>
      </c>
      <c r="K156" s="5" t="n">
        <v>2</v>
      </c>
      <c r="L156" s="5" t="inlineStr">
        <is>
          <t>Çarşafta kırışık, leke, saç var mı? Yastıklar düzgün mü? Yatak altında eşya/toz var mı? Konaklama kontrolündeysen misafir eşyalarını değerlendirme.</t>
        </is>
      </c>
    </row>
    <row r="157">
      <c r="A157" s="5" t="inlineStr">
        <is>
          <t>VBS</t>
        </is>
      </c>
      <c r="B157" s="5" t="n">
        <v>13</v>
      </c>
      <c r="C157" s="5" t="inlineStr">
        <is>
          <t>Dış alan</t>
        </is>
      </c>
      <c r="D157" s="5" t="inlineStr">
        <is>
          <t>Balkon</t>
        </is>
      </c>
      <c r="E157" s="5" t="inlineStr">
        <is>
          <t>Balkon kapısından balkonun tamamını çek.</t>
        </is>
      </c>
      <c r="F157" s="5" t="inlineStr">
        <is>
          <t>Zemin süpürülmüş
Masa ve sandalyeler temiz
Kül tablası boş</t>
        </is>
      </c>
      <c r="G157" s="5" t="inlineStr">
        <is>
          <t>Evet</t>
        </is>
      </c>
      <c r="H157" s="5" t="inlineStr">
        <is>
          <t>Evet</t>
        </is>
      </c>
      <c r="I157" s="5" t="inlineStr">
        <is>
          <t>Hayır</t>
        </is>
      </c>
      <c r="K157" s="5" t="n">
        <v>1</v>
      </c>
      <c r="L157" s="5" t="inlineStr">
        <is>
          <t>Balkonda çöp, izmarit, kir var mı? Konaklama kontrolündeysen misafir eşyalarını değerlendirme.</t>
        </is>
      </c>
    </row>
    <row r="158">
      <c r="A158" s="5" t="inlineStr">
        <is>
          <t>VBS</t>
        </is>
      </c>
      <c r="B158" s="5" t="n">
        <v>14</v>
      </c>
      <c r="C158" s="5" t="inlineStr">
        <is>
          <t>Oda</t>
        </is>
      </c>
      <c r="D158" s="5" t="inlineStr">
        <is>
          <t>Genel oda</t>
        </is>
      </c>
      <c r="E158" s="5" t="inlineStr">
        <is>
          <t>Kapı tarafından tüm odayı tek geniş karede çek. Tüm ışıklar açık.</t>
        </is>
      </c>
      <c r="F158" s="5" t="inlineStr">
        <is>
          <t>Klima çalışıyor
Çöp kovaları boş
Zemin temiz
Duvarda iz yok
Tüm aydınlatma yanıyor</t>
        </is>
      </c>
      <c r="G158" s="5" t="inlineStr">
        <is>
          <t>Evet</t>
        </is>
      </c>
      <c r="H158" s="5" t="inlineStr">
        <is>
          <t>Evet</t>
        </is>
      </c>
      <c r="I158" s="5" t="inlineStr">
        <is>
          <t>Hayır</t>
        </is>
      </c>
      <c r="K158" s="5" t="n">
        <v>1</v>
      </c>
      <c r="L158" s="5" t="inlineStr">
        <is>
          <t>Zeminde kir, çöp; yanmayan lamba; dağınıklık var mı? Konaklama kontrolündeysen misafir eşyalarını değerlendirme.</t>
        </is>
      </c>
    </row>
    <row r="159">
      <c r="A159" s="5" t="inlineStr">
        <is>
          <t>VSS</t>
        </is>
      </c>
      <c r="B159" s="5" t="n">
        <v>1</v>
      </c>
      <c r="C159" s="5" t="inlineStr">
        <is>
          <t>Giriş</t>
        </is>
      </c>
      <c r="D159" s="5" t="inlineStr">
        <is>
          <t>Giriş ve kapı</t>
        </is>
      </c>
      <c r="E159" s="5" t="inlineStr">
        <is>
          <t>Kapıdan girip girişi ve koridoru tek karede çek. Tüm ışıklar açık olsun.</t>
        </is>
      </c>
      <c r="F159" s="5" t="inlineStr">
        <is>
          <t>Kapı ve şifreli kilit çalışıyor
Süpürgelik ve duvar dipleri tozsuz
Aplikler yanıyor
Zeminde leke, saç, kum yok</t>
        </is>
      </c>
      <c r="G159" s="5" t="inlineStr">
        <is>
          <t>Evet</t>
        </is>
      </c>
      <c r="H159" s="5" t="inlineStr">
        <is>
          <t>Evet</t>
        </is>
      </c>
      <c r="I159" s="5" t="inlineStr">
        <is>
          <t>Hayır</t>
        </is>
      </c>
      <c r="K159" s="5" t="n">
        <v>1</v>
      </c>
      <c r="L159" s="5" t="inlineStr">
        <is>
          <t>Zeminde görünür kir, saç, çöp var mı? Yanmayan lamba var mı? Konaklama kontrolündeysen misafir eşyalarını değerlendirme.</t>
        </is>
      </c>
    </row>
    <row r="160">
      <c r="A160" s="5" t="inlineStr">
        <is>
          <t>VSS</t>
        </is>
      </c>
      <c r="B160" s="5" t="n">
        <v>2</v>
      </c>
      <c r="C160" s="5" t="inlineStr">
        <is>
          <t>Banyo</t>
        </is>
      </c>
      <c r="D160" s="5" t="inlineStr">
        <is>
          <t>Lavabo ve ayna</t>
        </is>
      </c>
      <c r="E160" s="5" t="inlineStr">
        <is>
          <t>Lavabo, batarya, ayna ve havlu rafı aynı karede olacak şekilde çek.</t>
        </is>
      </c>
      <c r="F160" s="5" t="inlineStr">
        <is>
          <t>Lavabo içi ve gider temiz
Batarya parlak, su lekesi yok
Sıvı sabun dolu
Ayna lekesiz
Havlular katlı ve tam</t>
        </is>
      </c>
      <c r="G160" s="5" t="inlineStr">
        <is>
          <t>Evet</t>
        </is>
      </c>
      <c r="H160" s="5" t="inlineStr">
        <is>
          <t>Evet</t>
        </is>
      </c>
      <c r="I160" s="5" t="inlineStr">
        <is>
          <t>Hayır</t>
        </is>
      </c>
      <c r="K160" s="5" t="n">
        <v>1</v>
      </c>
      <c r="L160" s="5" t="inlineStr">
        <is>
          <t>Lavaboda kıl, sabun kalıntısı, su lekesi var mı? Aynada leke var mı? Havlular düzgün katlı mı? Konaklama kontrolündeysen misafir eşyalarını değerlendirme.</t>
        </is>
      </c>
    </row>
    <row r="161">
      <c r="A161" s="5" t="inlineStr">
        <is>
          <t>VSS</t>
        </is>
      </c>
      <c r="B161" s="5" t="n">
        <v>3</v>
      </c>
      <c r="C161" s="5" t="inlineStr">
        <is>
          <t>Banyo</t>
        </is>
      </c>
      <c r="D161" s="5" t="inlineStr">
        <is>
          <t>WC</t>
        </is>
      </c>
      <c r="E161" s="5" t="inlineStr">
        <is>
          <t>Klozet kapağı açık, tuvalet kağıdı ve yedek rulo görünecek şekilde çek.</t>
        </is>
      </c>
      <c r="F161" s="5" t="inlineStr">
        <is>
          <t>Klozet içi, kapak altı ve dış yüzey temiz
WC fırçası temiz
Tuvalet kağıdı takılı + yedek rulo
Çöp kovası boş, poşet yeni</t>
        </is>
      </c>
      <c r="G161" s="5" t="inlineStr">
        <is>
          <t>Evet</t>
        </is>
      </c>
      <c r="H161" s="5" t="inlineStr">
        <is>
          <t>Evet</t>
        </is>
      </c>
      <c r="I161" s="5" t="inlineStr">
        <is>
          <t>Hayır</t>
        </is>
      </c>
      <c r="K161" s="5" t="n">
        <v>1</v>
      </c>
      <c r="L161" s="5" t="inlineStr">
        <is>
          <t>Klozet içinde veya kapakta leke/kir var mı? Tuvalet kağıdı ve yedek rulo var mı? Çöp kovası boş mu?</t>
        </is>
      </c>
    </row>
    <row r="162">
      <c r="A162" s="5" t="inlineStr">
        <is>
          <t>VSS</t>
        </is>
      </c>
      <c r="B162" s="5" t="n">
        <v>4</v>
      </c>
      <c r="C162" s="5" t="inlineStr">
        <is>
          <t>Banyo</t>
        </is>
      </c>
      <c r="D162" s="5" t="inlineStr">
        <is>
          <t>Duş</t>
        </is>
      </c>
      <c r="E162" s="5" t="inlineStr">
        <is>
          <t>Duş camını ışığa karşı çek (kireç böyle görünür); dispenserler ve gider görünsün.</t>
        </is>
      </c>
      <c r="F162" s="5" t="inlineStr">
        <is>
          <t>Camda kireç ve su lekesi yok
Duş seti askıda
Şampuan/duş jeli dolu
Giderde saç yok</t>
        </is>
      </c>
      <c r="G162" s="5" t="inlineStr">
        <is>
          <t>Evet</t>
        </is>
      </c>
      <c r="H162" s="5" t="inlineStr">
        <is>
          <t>Evet</t>
        </is>
      </c>
      <c r="I162" s="5" t="inlineStr">
        <is>
          <t>Hayır</t>
        </is>
      </c>
      <c r="K162" s="5" t="n">
        <v>1</v>
      </c>
      <c r="L162" s="5" t="inlineStr">
        <is>
          <t>Duş camında kireç/su lekesi, giderde saç, zeminde kir var mı? Konaklama kontrolündeysen misafir eşyalarını değerlendirme.</t>
        </is>
      </c>
    </row>
    <row r="163">
      <c r="A163" s="5" t="inlineStr">
        <is>
          <t>VSS</t>
        </is>
      </c>
      <c r="B163" s="5" t="n">
        <v>5</v>
      </c>
      <c r="C163" s="5" t="inlineStr">
        <is>
          <t>Oda</t>
        </is>
      </c>
      <c r="D163" s="5" t="inlineStr">
        <is>
          <t>Gardırop</t>
        </is>
      </c>
      <c r="E163" s="5" t="inlineStr">
        <is>
          <t>Kapakları aç, askıları ve rafları tek karede çek. İçerisi karanlıksa feneri aç.</t>
        </is>
      </c>
      <c r="F163" s="5" t="inlineStr">
        <is>
          <t>Askılar tam
Yedek battaniye/yastık katlı
Unutulmuş eşya yok</t>
        </is>
      </c>
      <c r="G163" s="5" t="inlineStr">
        <is>
          <t>Evet</t>
        </is>
      </c>
      <c r="H163" s="5" t="inlineStr">
        <is>
          <t>Hayır</t>
        </is>
      </c>
      <c r="I163" s="5" t="inlineStr">
        <is>
          <t>Evet</t>
        </is>
      </c>
      <c r="K163" s="5" t="n">
        <v>1</v>
      </c>
      <c r="L163" s="5" t="inlineStr">
        <is>
          <t>Gardıropta unutulmuş eşya, çöp var mı? Askılar düzenli mi?</t>
        </is>
      </c>
    </row>
    <row r="164">
      <c r="A164" s="5" t="inlineStr">
        <is>
          <t>VSS</t>
        </is>
      </c>
      <c r="B164" s="5" t="n">
        <v>6</v>
      </c>
      <c r="C164" s="5" t="inlineStr">
        <is>
          <t>Mutfak</t>
        </is>
      </c>
      <c r="D164" s="5" t="inlineStr">
        <is>
          <t>Mutfak tezgahı</t>
        </is>
      </c>
      <c r="E164" s="5" t="inlineStr">
        <is>
          <t>Tezgahın karşısından ocak, evye, kettle ve bulaşıklık tek karede olacak şekilde çek.</t>
        </is>
      </c>
      <c r="F164" s="5" t="inlineStr">
        <is>
          <t>Ocak temiz
Evye ve batarya temiz
Sünger ve fırça temiz
Bulaşıklık boş ve kuru
Kettle boş, kablosu toplanmış
Tuz-biber-yağ dolu
Çöp kovası boş</t>
        </is>
      </c>
      <c r="G164" s="5" t="inlineStr">
        <is>
          <t>Evet</t>
        </is>
      </c>
      <c r="H164" s="5" t="inlineStr">
        <is>
          <t>Evet</t>
        </is>
      </c>
      <c r="I164" s="5" t="inlineStr">
        <is>
          <t>Hayır</t>
        </is>
      </c>
      <c r="K164" s="5" t="n">
        <v>1</v>
      </c>
      <c r="L164" s="5" t="inlineStr">
        <is>
          <t>Tezgahta, ocakta, evyede kir, yağ, kırıntı veya bulaşık var mı? Çöp dolu mu? Konaklama kontrolündeysen misafir eşyalarını değerlendirme.</t>
        </is>
      </c>
    </row>
    <row r="165">
      <c r="A165" s="5" t="inlineStr">
        <is>
          <t>VSS</t>
        </is>
      </c>
      <c r="B165" s="5" t="n">
        <v>7</v>
      </c>
      <c r="C165" s="5" t="inlineStr">
        <is>
          <t>Mutfak</t>
        </is>
      </c>
      <c r="D165" s="5" t="inlineStr">
        <is>
          <t>Çekmeceler</t>
        </is>
      </c>
      <c r="E165" s="5" t="inlineStr">
        <is>
          <t>Çekmeceleri sırayla aç, feneri aç ve her birini tam üstten çek.</t>
        </is>
      </c>
      <c r="F165" s="5" t="inlineStr">
        <is>
          <t>Çatal, kaşık, bıçak tam
Servis gereçleri yerinde
Çekmece içleri kırıntısız</t>
        </is>
      </c>
      <c r="G165" s="5" t="inlineStr">
        <is>
          <t>Evet</t>
        </is>
      </c>
      <c r="H165" s="5" t="inlineStr">
        <is>
          <t>Hayır</t>
        </is>
      </c>
      <c r="I165" s="5" t="inlineStr">
        <is>
          <t>Evet</t>
        </is>
      </c>
      <c r="K165" s="5" t="n">
        <v>2</v>
      </c>
      <c r="L165" s="5" t="inlineStr">
        <is>
          <t>Çekmece içinde kırıntı, kir, yerinden oynamış eşya var mı?</t>
        </is>
      </c>
    </row>
    <row r="166">
      <c r="A166" s="5" t="inlineStr">
        <is>
          <t>VSS</t>
        </is>
      </c>
      <c r="B166" s="5" t="n">
        <v>8</v>
      </c>
      <c r="C166" s="5" t="inlineStr">
        <is>
          <t>Mutfak</t>
        </is>
      </c>
      <c r="D166" s="5" t="inlineStr">
        <is>
          <t>Dolaplar: tabak, bardak, tencere</t>
        </is>
      </c>
      <c r="E166" s="5" t="inlineStr">
        <is>
          <t>Üst ve alt dolapların kapaklarını aç, feneri aç; tabak, bardak ve tencereler görünsün.</t>
        </is>
      </c>
      <c r="F166" s="5" t="inlineStr">
        <is>
          <t>Tabak, kase, bardak, kupa sayısı tam
Bardaklarda su lekesi, kupalarda çay/kahve izi yok
Tencere ve tavalar temiz, kapaklı
Evye altında sızıntı yok</t>
        </is>
      </c>
      <c r="G166" s="5" t="inlineStr">
        <is>
          <t>Evet</t>
        </is>
      </c>
      <c r="H166" s="5" t="inlineStr">
        <is>
          <t>Hayır</t>
        </is>
      </c>
      <c r="I166" s="5" t="inlineStr">
        <is>
          <t>Evet</t>
        </is>
      </c>
      <c r="K166" s="5" t="n">
        <v>2</v>
      </c>
      <c r="L166" s="5" t="inlineStr">
        <is>
          <t>Bardaklarda leke, tabaklarda iz/çatlak, tencerelerde yemek kalıntısı var mı?</t>
        </is>
      </c>
    </row>
    <row r="167">
      <c r="A167" s="5" t="inlineStr">
        <is>
          <t>VSS</t>
        </is>
      </c>
      <c r="B167" s="5" t="n">
        <v>9</v>
      </c>
      <c r="C167" s="5" t="inlineStr">
        <is>
          <t>Mutfak</t>
        </is>
      </c>
      <c r="D167" s="5" t="inlineStr">
        <is>
          <t>Buzdolabı</t>
        </is>
      </c>
      <c r="E167" s="5" t="inlineStr">
        <is>
          <t>Kapağı tamamen aç; içi ve kapak rafları görünsün.</t>
        </is>
      </c>
      <c r="F167" s="5" t="inlineStr">
        <is>
          <t>Raflar temiz
Unutulmuş yiyecek yok
Koku ve buzlanma yok</t>
        </is>
      </c>
      <c r="G167" s="5" t="inlineStr">
        <is>
          <t>Evet</t>
        </is>
      </c>
      <c r="H167" s="5" t="inlineStr">
        <is>
          <t>Hayır</t>
        </is>
      </c>
      <c r="I167" s="5" t="inlineStr">
        <is>
          <t>Hayır</t>
        </is>
      </c>
      <c r="K167" s="5" t="n">
        <v>1</v>
      </c>
      <c r="L167" s="5" t="inlineStr">
        <is>
          <t>Buzdolabında yiyecek kalıntısı, leke, buzlanma var mı?</t>
        </is>
      </c>
    </row>
    <row r="168">
      <c r="A168" s="5" t="inlineStr">
        <is>
          <t>VSS</t>
        </is>
      </c>
      <c r="B168" s="5" t="n">
        <v>10</v>
      </c>
      <c r="C168" s="5" t="inlineStr">
        <is>
          <t>Oda</t>
        </is>
      </c>
      <c r="D168" s="5" t="inlineStr">
        <is>
          <t>TV ve ünite</t>
        </is>
      </c>
      <c r="E168" s="5" t="inlineStr">
        <is>
          <t>TV ve ünite raflarını önden çek.</t>
        </is>
      </c>
      <c r="F168" s="5" t="inlineStr">
        <is>
          <t>TV ekranı tozsuz
Ünite rafları tozsuz
Kumandalar yerinde</t>
        </is>
      </c>
      <c r="G168" s="5" t="inlineStr">
        <is>
          <t>Evet</t>
        </is>
      </c>
      <c r="H168" s="5" t="inlineStr">
        <is>
          <t>Evet</t>
        </is>
      </c>
      <c r="I168" s="5" t="inlineStr">
        <is>
          <t>Hayır</t>
        </is>
      </c>
      <c r="K168" s="5" t="n">
        <v>1</v>
      </c>
      <c r="L168" s="5" t="inlineStr">
        <is>
          <t>TV ve raflarda toz, leke var mı? Konaklama kontrolündeysen misafir eşyalarını değerlendirme.</t>
        </is>
      </c>
    </row>
    <row r="169">
      <c r="A169" s="5" t="inlineStr">
        <is>
          <t>VSS</t>
        </is>
      </c>
      <c r="B169" s="5" t="n">
        <v>11</v>
      </c>
      <c r="C169" s="5" t="inlineStr">
        <is>
          <t>Oda</t>
        </is>
      </c>
      <c r="D169" s="5" t="inlineStr">
        <is>
          <t>Oturma alanı ve masa</t>
        </is>
      </c>
      <c r="E169" s="5" t="inlineStr">
        <is>
          <t>Pencereye doğru geniş açıyla çek; masa, koltuklar ve kanepe görünsün.</t>
        </is>
      </c>
      <c r="F169" s="5" t="inlineStr">
        <is>
          <t>Perde ve tül düzgün
Masa temiz
Koltuk/kanepe temiz, minderler düzgün</t>
        </is>
      </c>
      <c r="G169" s="5" t="inlineStr">
        <is>
          <t>Evet</t>
        </is>
      </c>
      <c r="H169" s="5" t="inlineStr">
        <is>
          <t>Evet</t>
        </is>
      </c>
      <c r="I169" s="5" t="inlineStr">
        <is>
          <t>Hayır</t>
        </is>
      </c>
      <c r="K169" s="5" t="n">
        <v>1</v>
      </c>
      <c r="L169" s="5" t="inlineStr">
        <is>
          <t>Masada, koltuklarda kir, leke, unutulmuş eşya var mı? Konaklama kontrolündeysen misafir eşyalarını değerlendirme.</t>
        </is>
      </c>
    </row>
    <row r="170">
      <c r="A170" s="5" t="inlineStr">
        <is>
          <t>VSS</t>
        </is>
      </c>
      <c r="B170" s="5" t="n">
        <v>12</v>
      </c>
      <c r="C170" s="5" t="inlineStr">
        <is>
          <t>Oda</t>
        </is>
      </c>
      <c r="D170" s="5" t="inlineStr">
        <is>
          <t>Yatak ve komodinler</t>
        </is>
      </c>
      <c r="E170" s="5" t="inlineStr">
        <is>
          <t>Yatağı ayak ucundan tamamı görünecek şekilde çek; ikinci karede yatak altını ve komodinleri çek.</t>
        </is>
      </c>
      <c r="F170" s="5" t="inlineStr">
        <is>
          <t>Çarşaf dört köşeden gergin
Yastıklar tam, kılıflar lekesiz
Yatak altında eşya/toz yok
Komodinler boş ve tozsuz</t>
        </is>
      </c>
      <c r="G170" s="5" t="inlineStr">
        <is>
          <t>Evet</t>
        </is>
      </c>
      <c r="H170" s="5" t="inlineStr">
        <is>
          <t>Evet</t>
        </is>
      </c>
      <c r="I170" s="5" t="inlineStr">
        <is>
          <t>Hayır</t>
        </is>
      </c>
      <c r="K170" s="5" t="n">
        <v>2</v>
      </c>
      <c r="L170" s="5" t="inlineStr">
        <is>
          <t>Çarşafta kırışık, leke, saç var mı? Yastıklar düzgün mü? Yatak altında eşya/toz var mı? Konaklama kontrolündeysen misafir eşyalarını değerlendirme.</t>
        </is>
      </c>
    </row>
    <row r="171">
      <c r="A171" s="5" t="inlineStr">
        <is>
          <t>VSS</t>
        </is>
      </c>
      <c r="B171" s="5" t="n">
        <v>13</v>
      </c>
      <c r="C171" s="5" t="inlineStr">
        <is>
          <t>Oda</t>
        </is>
      </c>
      <c r="D171" s="5" t="inlineStr">
        <is>
          <t>Genel oda</t>
        </is>
      </c>
      <c r="E171" s="5" t="inlineStr">
        <is>
          <t>Kapı tarafından tüm odayı tek geniş karede çek. Tüm ışıklar açık.</t>
        </is>
      </c>
      <c r="F171" s="5" t="inlineStr">
        <is>
          <t>Klima çalışıyor
Çöp kovaları boş
Zemin temiz
Duvarda iz yok
Tüm aydınlatma yanıyor</t>
        </is>
      </c>
      <c r="G171" s="5" t="inlineStr">
        <is>
          <t>Evet</t>
        </is>
      </c>
      <c r="H171" s="5" t="inlineStr">
        <is>
          <t>Evet</t>
        </is>
      </c>
      <c r="I171" s="5" t="inlineStr">
        <is>
          <t>Hayır</t>
        </is>
      </c>
      <c r="K171" s="5" t="n">
        <v>1</v>
      </c>
      <c r="L171" s="5" t="inlineStr">
        <is>
          <t>Zeminde kir, çöp; yanmayan lamba; dağınıklık var mı? Konaklama kontrolündeysen misafir eşyalarını değerlendirme.</t>
        </is>
      </c>
    </row>
    <row r="172">
      <c r="A172" s="5" t="inlineStr">
        <is>
          <t>VTS</t>
        </is>
      </c>
      <c r="B172" s="5" t="n">
        <v>1</v>
      </c>
      <c r="C172" s="5" t="inlineStr">
        <is>
          <t>Giriş</t>
        </is>
      </c>
      <c r="D172" s="5" t="inlineStr">
        <is>
          <t>Giriş ve kapı</t>
        </is>
      </c>
      <c r="E172" s="5" t="inlineStr">
        <is>
          <t>Kapıdan girip girişi ve koridoru tek karede çek. Tüm ışıklar açık olsun.</t>
        </is>
      </c>
      <c r="F172" s="5" t="inlineStr">
        <is>
          <t>Kapı ve şifreli kilit çalışıyor
Süpürgelik ve duvar dipleri tozsuz
Aplikler yanıyor
Zeminde leke, saç, kum yok</t>
        </is>
      </c>
      <c r="G172" s="5" t="inlineStr">
        <is>
          <t>Evet</t>
        </is>
      </c>
      <c r="H172" s="5" t="inlineStr">
        <is>
          <t>Evet</t>
        </is>
      </c>
      <c r="I172" s="5" t="inlineStr">
        <is>
          <t>Hayır</t>
        </is>
      </c>
      <c r="K172" s="5" t="n">
        <v>1</v>
      </c>
      <c r="L172" s="5" t="inlineStr">
        <is>
          <t>Zeminde görünür kir, saç, çöp var mı? Yanmayan lamba var mı? Konaklama kontrolündeysen misafir eşyalarını değerlendirme.</t>
        </is>
      </c>
    </row>
    <row r="173">
      <c r="A173" s="5" t="inlineStr">
        <is>
          <t>VTS</t>
        </is>
      </c>
      <c r="B173" s="5" t="n">
        <v>2</v>
      </c>
      <c r="C173" s="5" t="inlineStr">
        <is>
          <t>Banyo</t>
        </is>
      </c>
      <c r="D173" s="5" t="inlineStr">
        <is>
          <t>Lavabo ve ayna</t>
        </is>
      </c>
      <c r="E173" s="5" t="inlineStr">
        <is>
          <t>Lavabo, batarya, ayna ve havlu rafı aynı karede olacak şekilde çek.</t>
        </is>
      </c>
      <c r="F173" s="5" t="inlineStr">
        <is>
          <t>Lavabo içi ve gider temiz
Batarya parlak, su lekesi yok
Sıvı sabun dolu
Ayna lekesiz
Havlular katlı ve tam</t>
        </is>
      </c>
      <c r="G173" s="5" t="inlineStr">
        <is>
          <t>Evet</t>
        </is>
      </c>
      <c r="H173" s="5" t="inlineStr">
        <is>
          <t>Evet</t>
        </is>
      </c>
      <c r="I173" s="5" t="inlineStr">
        <is>
          <t>Hayır</t>
        </is>
      </c>
      <c r="K173" s="5" t="n">
        <v>1</v>
      </c>
      <c r="L173" s="5" t="inlineStr">
        <is>
          <t>Lavaboda kıl, sabun kalıntısı, su lekesi var mı? Aynada leke var mı? Havlular düzgün katlı mı? Konaklama kontrolündeysen misafir eşyalarını değerlendirme.</t>
        </is>
      </c>
    </row>
    <row r="174">
      <c r="A174" s="5" t="inlineStr">
        <is>
          <t>VTS</t>
        </is>
      </c>
      <c r="B174" s="5" t="n">
        <v>3</v>
      </c>
      <c r="C174" s="5" t="inlineStr">
        <is>
          <t>Banyo</t>
        </is>
      </c>
      <c r="D174" s="5" t="inlineStr">
        <is>
          <t>WC</t>
        </is>
      </c>
      <c r="E174" s="5" t="inlineStr">
        <is>
          <t>Klozet kapağı açık, tuvalet kağıdı ve yedek rulo görünecek şekilde çek.</t>
        </is>
      </c>
      <c r="F174" s="5" t="inlineStr">
        <is>
          <t>Klozet içi, kapak altı ve dış yüzey temiz
WC fırçası temiz
Tuvalet kağıdı takılı + yedek rulo
Çöp kovası boş, poşet yeni</t>
        </is>
      </c>
      <c r="G174" s="5" t="inlineStr">
        <is>
          <t>Evet</t>
        </is>
      </c>
      <c r="H174" s="5" t="inlineStr">
        <is>
          <t>Evet</t>
        </is>
      </c>
      <c r="I174" s="5" t="inlineStr">
        <is>
          <t>Hayır</t>
        </is>
      </c>
      <c r="K174" s="5" t="n">
        <v>1</v>
      </c>
      <c r="L174" s="5" t="inlineStr">
        <is>
          <t>Klozet içinde veya kapakta leke/kir var mı? Tuvalet kağıdı ve yedek rulo var mı? Çöp kovası boş mu?</t>
        </is>
      </c>
    </row>
    <row r="175">
      <c r="A175" s="5" t="inlineStr">
        <is>
          <t>VTS</t>
        </is>
      </c>
      <c r="B175" s="5" t="n">
        <v>4</v>
      </c>
      <c r="C175" s="5" t="inlineStr">
        <is>
          <t>Banyo</t>
        </is>
      </c>
      <c r="D175" s="5" t="inlineStr">
        <is>
          <t>Duş</t>
        </is>
      </c>
      <c r="E175" s="5" t="inlineStr">
        <is>
          <t>Duş camını ışığa karşı çek (kireç böyle görünür); dispenserler ve gider görünsün.</t>
        </is>
      </c>
      <c r="F175" s="5" t="inlineStr">
        <is>
          <t>Camda kireç ve su lekesi yok
Duş seti askıda
Şampuan/duş jeli dolu
Giderde saç yok</t>
        </is>
      </c>
      <c r="G175" s="5" t="inlineStr">
        <is>
          <t>Evet</t>
        </is>
      </c>
      <c r="H175" s="5" t="inlineStr">
        <is>
          <t>Evet</t>
        </is>
      </c>
      <c r="I175" s="5" t="inlineStr">
        <is>
          <t>Hayır</t>
        </is>
      </c>
      <c r="K175" s="5" t="n">
        <v>1</v>
      </c>
      <c r="L175" s="5" t="inlineStr">
        <is>
          <t>Duş camında kireç/su lekesi, giderde saç, zeminde kir var mı? Konaklama kontrolündeysen misafir eşyalarını değerlendirme.</t>
        </is>
      </c>
    </row>
    <row r="176">
      <c r="A176" s="5" t="inlineStr">
        <is>
          <t>VTS</t>
        </is>
      </c>
      <c r="B176" s="5" t="n">
        <v>5</v>
      </c>
      <c r="C176" s="5" t="inlineStr">
        <is>
          <t>Oda</t>
        </is>
      </c>
      <c r="D176" s="5" t="inlineStr">
        <is>
          <t>Gardırop</t>
        </is>
      </c>
      <c r="E176" s="5" t="inlineStr">
        <is>
          <t>Kapakları aç, askıları ve rafları tek karede çek. İçerisi karanlıksa feneri aç.</t>
        </is>
      </c>
      <c r="F176" s="5" t="inlineStr">
        <is>
          <t>Askılar tam
Yedek battaniye/yastık katlı
Unutulmuş eşya yok</t>
        </is>
      </c>
      <c r="G176" s="5" t="inlineStr">
        <is>
          <t>Evet</t>
        </is>
      </c>
      <c r="H176" s="5" t="inlineStr">
        <is>
          <t>Hayır</t>
        </is>
      </c>
      <c r="I176" s="5" t="inlineStr">
        <is>
          <t>Evet</t>
        </is>
      </c>
      <c r="K176" s="5" t="n">
        <v>1</v>
      </c>
      <c r="L176" s="5" t="inlineStr">
        <is>
          <t>Gardıropta unutulmuş eşya, çöp var mı? Askılar düzenli mi?</t>
        </is>
      </c>
    </row>
    <row r="177">
      <c r="A177" s="5" t="inlineStr">
        <is>
          <t>VTS</t>
        </is>
      </c>
      <c r="B177" s="5" t="n">
        <v>6</v>
      </c>
      <c r="C177" s="5" t="inlineStr">
        <is>
          <t>Mutfak</t>
        </is>
      </c>
      <c r="D177" s="5" t="inlineStr">
        <is>
          <t>Mutfak tezgahı</t>
        </is>
      </c>
      <c r="E177" s="5" t="inlineStr">
        <is>
          <t>Tezgahın karşısından ocak, evye, kettle ve bulaşıklık tek karede olacak şekilde çek.</t>
        </is>
      </c>
      <c r="F177" s="5" t="inlineStr">
        <is>
          <t>Ocak temiz
Evye ve batarya temiz
Sünger ve fırça temiz
Bulaşıklık boş ve kuru
Kettle boş, kablosu toplanmış
Tuz-biber-yağ dolu
Çöp kovası boş</t>
        </is>
      </c>
      <c r="G177" s="5" t="inlineStr">
        <is>
          <t>Evet</t>
        </is>
      </c>
      <c r="H177" s="5" t="inlineStr">
        <is>
          <t>Evet</t>
        </is>
      </c>
      <c r="I177" s="5" t="inlineStr">
        <is>
          <t>Hayır</t>
        </is>
      </c>
      <c r="K177" s="5" t="n">
        <v>1</v>
      </c>
      <c r="L177" s="5" t="inlineStr">
        <is>
          <t>Tezgahta, ocakta, evyede kir, yağ, kırıntı veya bulaşık var mı? Çöp dolu mu? Konaklama kontrolündeysen misafir eşyalarını değerlendirme.</t>
        </is>
      </c>
    </row>
    <row r="178">
      <c r="A178" s="5" t="inlineStr">
        <is>
          <t>VTS</t>
        </is>
      </c>
      <c r="B178" s="5" t="n">
        <v>7</v>
      </c>
      <c r="C178" s="5" t="inlineStr">
        <is>
          <t>Mutfak</t>
        </is>
      </c>
      <c r="D178" s="5" t="inlineStr">
        <is>
          <t>Çekmeceler</t>
        </is>
      </c>
      <c r="E178" s="5" t="inlineStr">
        <is>
          <t>Çekmeceleri sırayla aç, feneri aç ve her birini tam üstten çek.</t>
        </is>
      </c>
      <c r="F178" s="5" t="inlineStr">
        <is>
          <t>Çatal, kaşık, bıçak tam
Servis gereçleri yerinde
Çekmece içleri kırıntısız</t>
        </is>
      </c>
      <c r="G178" s="5" t="inlineStr">
        <is>
          <t>Evet</t>
        </is>
      </c>
      <c r="H178" s="5" t="inlineStr">
        <is>
          <t>Hayır</t>
        </is>
      </c>
      <c r="I178" s="5" t="inlineStr">
        <is>
          <t>Evet</t>
        </is>
      </c>
      <c r="K178" s="5" t="n">
        <v>2</v>
      </c>
      <c r="L178" s="5" t="inlineStr">
        <is>
          <t>Çekmece içinde kırıntı, kir, yerinden oynamış eşya var mı?</t>
        </is>
      </c>
    </row>
    <row r="179">
      <c r="A179" s="5" t="inlineStr">
        <is>
          <t>VTS</t>
        </is>
      </c>
      <c r="B179" s="5" t="n">
        <v>8</v>
      </c>
      <c r="C179" s="5" t="inlineStr">
        <is>
          <t>Mutfak</t>
        </is>
      </c>
      <c r="D179" s="5" t="inlineStr">
        <is>
          <t>Dolaplar: tabak, bardak, tencere</t>
        </is>
      </c>
      <c r="E179" s="5" t="inlineStr">
        <is>
          <t>Üst ve alt dolapların kapaklarını aç, feneri aç; tabak, bardak ve tencereler görünsün.</t>
        </is>
      </c>
      <c r="F179" s="5" t="inlineStr">
        <is>
          <t>Tabak, kase, bardak, kupa sayısı tam
Bardaklarda su lekesi, kupalarda çay/kahve izi yok
Tencere ve tavalar temiz, kapaklı
Evye altında sızıntı yok</t>
        </is>
      </c>
      <c r="G179" s="5" t="inlineStr">
        <is>
          <t>Evet</t>
        </is>
      </c>
      <c r="H179" s="5" t="inlineStr">
        <is>
          <t>Hayır</t>
        </is>
      </c>
      <c r="I179" s="5" t="inlineStr">
        <is>
          <t>Evet</t>
        </is>
      </c>
      <c r="K179" s="5" t="n">
        <v>2</v>
      </c>
      <c r="L179" s="5" t="inlineStr">
        <is>
          <t>Bardaklarda leke, tabaklarda iz/çatlak, tencerelerde yemek kalıntısı var mı?</t>
        </is>
      </c>
    </row>
    <row r="180">
      <c r="A180" s="5" t="inlineStr">
        <is>
          <t>VTS</t>
        </is>
      </c>
      <c r="B180" s="5" t="n">
        <v>9</v>
      </c>
      <c r="C180" s="5" t="inlineStr">
        <is>
          <t>Mutfak</t>
        </is>
      </c>
      <c r="D180" s="5" t="inlineStr">
        <is>
          <t>Buzdolabı</t>
        </is>
      </c>
      <c r="E180" s="5" t="inlineStr">
        <is>
          <t>Kapağı tamamen aç; içi ve kapak rafları görünsün.</t>
        </is>
      </c>
      <c r="F180" s="5" t="inlineStr">
        <is>
          <t>Raflar temiz
Unutulmuş yiyecek yok
Koku ve buzlanma yok</t>
        </is>
      </c>
      <c r="G180" s="5" t="inlineStr">
        <is>
          <t>Evet</t>
        </is>
      </c>
      <c r="H180" s="5" t="inlineStr">
        <is>
          <t>Hayır</t>
        </is>
      </c>
      <c r="I180" s="5" t="inlineStr">
        <is>
          <t>Hayır</t>
        </is>
      </c>
      <c r="K180" s="5" t="n">
        <v>1</v>
      </c>
      <c r="L180" s="5" t="inlineStr">
        <is>
          <t>Buzdolabında yiyecek kalıntısı, leke, buzlanma var mı?</t>
        </is>
      </c>
    </row>
    <row r="181">
      <c r="A181" s="5" t="inlineStr">
        <is>
          <t>VTS</t>
        </is>
      </c>
      <c r="B181" s="5" t="n">
        <v>10</v>
      </c>
      <c r="C181" s="5" t="inlineStr">
        <is>
          <t>Oda</t>
        </is>
      </c>
      <c r="D181" s="5" t="inlineStr">
        <is>
          <t>TV ve ünite</t>
        </is>
      </c>
      <c r="E181" s="5" t="inlineStr">
        <is>
          <t>TV ve ünite raflarını önden çek.</t>
        </is>
      </c>
      <c r="F181" s="5" t="inlineStr">
        <is>
          <t>TV ekranı tozsuz
Ünite rafları tozsuz
Kumandalar yerinde</t>
        </is>
      </c>
      <c r="G181" s="5" t="inlineStr">
        <is>
          <t>Evet</t>
        </is>
      </c>
      <c r="H181" s="5" t="inlineStr">
        <is>
          <t>Evet</t>
        </is>
      </c>
      <c r="I181" s="5" t="inlineStr">
        <is>
          <t>Hayır</t>
        </is>
      </c>
      <c r="K181" s="5" t="n">
        <v>1</v>
      </c>
      <c r="L181" s="5" t="inlineStr">
        <is>
          <t>TV ve raflarda toz, leke var mı? Konaklama kontrolündeysen misafir eşyalarını değerlendirme.</t>
        </is>
      </c>
    </row>
    <row r="182">
      <c r="A182" s="5" t="inlineStr">
        <is>
          <t>VTS</t>
        </is>
      </c>
      <c r="B182" s="5" t="n">
        <v>11</v>
      </c>
      <c r="C182" s="5" t="inlineStr">
        <is>
          <t>Oda</t>
        </is>
      </c>
      <c r="D182" s="5" t="inlineStr">
        <is>
          <t>Oturma alanı ve masa</t>
        </is>
      </c>
      <c r="E182" s="5" t="inlineStr">
        <is>
          <t>Pencereye doğru geniş açıyla çek; masa, koltuklar ve kanepe görünsün.</t>
        </is>
      </c>
      <c r="F182" s="5" t="inlineStr">
        <is>
          <t>Perde ve tül düzgün
Masa temiz
Koltuk/kanepe temiz, minderler düzgün
Sofa yatak toplanmış</t>
        </is>
      </c>
      <c r="G182" s="5" t="inlineStr">
        <is>
          <t>Evet</t>
        </is>
      </c>
      <c r="H182" s="5" t="inlineStr">
        <is>
          <t>Evet</t>
        </is>
      </c>
      <c r="I182" s="5" t="inlineStr">
        <is>
          <t>Hayır</t>
        </is>
      </c>
      <c r="K182" s="5" t="n">
        <v>1</v>
      </c>
      <c r="L182" s="5" t="inlineStr">
        <is>
          <t>Masada, koltuklarda kir, leke, unutulmuş eşya var mı? Konaklama kontrolündeysen misafir eşyalarını değerlendirme.</t>
        </is>
      </c>
    </row>
    <row r="183">
      <c r="A183" s="5" t="inlineStr">
        <is>
          <t>VTS</t>
        </is>
      </c>
      <c r="B183" s="5" t="n">
        <v>12</v>
      </c>
      <c r="C183" s="5" t="inlineStr">
        <is>
          <t>Oda</t>
        </is>
      </c>
      <c r="D183" s="5" t="inlineStr">
        <is>
          <t>Yatak ve komodinler</t>
        </is>
      </c>
      <c r="E183" s="5" t="inlineStr">
        <is>
          <t>Yatağı ayak ucundan tamamı görünecek şekilde çek; ikinci karede yatak altını ve komodinleri çek.</t>
        </is>
      </c>
      <c r="F183" s="5" t="inlineStr">
        <is>
          <t>Çarşaf dört köşeden gergin
Yastıklar tam, kılıflar lekesiz
Yatak altında eşya/toz yok
Komodinler boş ve tozsuz</t>
        </is>
      </c>
      <c r="G183" s="5" t="inlineStr">
        <is>
          <t>Evet</t>
        </is>
      </c>
      <c r="H183" s="5" t="inlineStr">
        <is>
          <t>Evet</t>
        </is>
      </c>
      <c r="I183" s="5" t="inlineStr">
        <is>
          <t>Hayır</t>
        </is>
      </c>
      <c r="K183" s="5" t="n">
        <v>2</v>
      </c>
      <c r="L183" s="5" t="inlineStr">
        <is>
          <t>Çarşafta kırışık, leke, saç var mı? Yastıklar düzgün mü? Yatak altında eşya/toz var mı? Konaklama kontrolündeysen misafir eşyalarını değerlendirme.</t>
        </is>
      </c>
    </row>
    <row r="184">
      <c r="A184" s="5" t="inlineStr">
        <is>
          <t>VTS</t>
        </is>
      </c>
      <c r="B184" s="5" t="n">
        <v>13</v>
      </c>
      <c r="C184" s="5" t="inlineStr">
        <is>
          <t>Dış alan</t>
        </is>
      </c>
      <c r="D184" s="5" t="inlineStr">
        <is>
          <t>Teras</t>
        </is>
      </c>
      <c r="E184" s="5" t="inlineStr">
        <is>
          <t>Terasın tamamını geniş açıyla çek.</t>
        </is>
      </c>
      <c r="F184" s="5" t="inlineStr">
        <is>
          <t>Zemin süpürülmüş
Oturma grubu temiz
Çöp yok</t>
        </is>
      </c>
      <c r="G184" s="5" t="inlineStr">
        <is>
          <t>Evet</t>
        </is>
      </c>
      <c r="H184" s="5" t="inlineStr">
        <is>
          <t>Evet</t>
        </is>
      </c>
      <c r="I184" s="5" t="inlineStr">
        <is>
          <t>Hayır</t>
        </is>
      </c>
      <c r="K184" s="5" t="n">
        <v>1</v>
      </c>
      <c r="L184" s="5" t="inlineStr">
        <is>
          <t>Terasta çöp, yaprak, kir var mı? Konaklama kontrolündeysen misafir eşyalarını değerlendirme.</t>
        </is>
      </c>
    </row>
    <row r="185">
      <c r="A185" s="5" t="inlineStr">
        <is>
          <t>VTS</t>
        </is>
      </c>
      <c r="B185" s="5" t="n">
        <v>14</v>
      </c>
      <c r="C185" s="5" t="inlineStr">
        <is>
          <t>Oda</t>
        </is>
      </c>
      <c r="D185" s="5" t="inlineStr">
        <is>
          <t>Genel oda</t>
        </is>
      </c>
      <c r="E185" s="5" t="inlineStr">
        <is>
          <t>Kapı tarafından tüm odayı tek geniş karede çek. Tüm ışıklar açık.</t>
        </is>
      </c>
      <c r="F185" s="5" t="inlineStr">
        <is>
          <t>Klima çalışıyor
Çöp kovaları boş
Zemin temiz
Duvarda iz yok
Tüm aydınlatma yanıyor</t>
        </is>
      </c>
      <c r="G185" s="5" t="inlineStr">
        <is>
          <t>Evet</t>
        </is>
      </c>
      <c r="H185" s="5" t="inlineStr">
        <is>
          <t>Evet</t>
        </is>
      </c>
      <c r="I185" s="5" t="inlineStr">
        <is>
          <t>Hayır</t>
        </is>
      </c>
      <c r="K185" s="5" t="n">
        <v>1</v>
      </c>
      <c r="L185" s="5" t="inlineStr">
        <is>
          <t>Zeminde kir, çöp; yanmayan lamba; dağınıklık var mı? Konaklama kontrolündeysen misafir eşyalarını değerlendirme.</t>
        </is>
      </c>
    </row>
    <row r="186">
      <c r="A186" s="5" t="inlineStr">
        <is>
          <t>TNY</t>
        </is>
      </c>
      <c r="B186" s="5" t="n">
        <v>1</v>
      </c>
      <c r="C186" s="5" t="inlineStr">
        <is>
          <t>Giriş</t>
        </is>
      </c>
      <c r="D186" s="5" t="inlineStr">
        <is>
          <t>Giriş ve kapı</t>
        </is>
      </c>
      <c r="E186" s="5" t="inlineStr">
        <is>
          <t>Kapıdan girip girişi ve koridoru tek karede çek. Tüm ışıklar açık olsun.</t>
        </is>
      </c>
      <c r="F186" s="5" t="inlineStr">
        <is>
          <t>Kapı ve şifreli kilit çalışıyor
Süpürgelik ve duvar dipleri tozsuz
Aplikler yanıyor
Zeminde leke, saç, kum yok</t>
        </is>
      </c>
      <c r="G186" s="5" t="inlineStr">
        <is>
          <t>Evet</t>
        </is>
      </c>
      <c r="H186" s="5" t="inlineStr">
        <is>
          <t>Evet</t>
        </is>
      </c>
      <c r="I186" s="5" t="inlineStr">
        <is>
          <t>Hayır</t>
        </is>
      </c>
      <c r="K186" s="5" t="n">
        <v>1</v>
      </c>
      <c r="L186" s="5" t="inlineStr">
        <is>
          <t>Zeminde görünür kir, saç, çöp var mı? Yanmayan lamba var mı? Konaklama kontrolündeysen misafir eşyalarını değerlendirme.</t>
        </is>
      </c>
    </row>
    <row r="187">
      <c r="A187" s="5" t="inlineStr">
        <is>
          <t>TNY</t>
        </is>
      </c>
      <c r="B187" s="5" t="n">
        <v>2</v>
      </c>
      <c r="C187" s="5" t="inlineStr">
        <is>
          <t>Banyo</t>
        </is>
      </c>
      <c r="D187" s="5" t="inlineStr">
        <is>
          <t>Lavabo ve ayna</t>
        </is>
      </c>
      <c r="E187" s="5" t="inlineStr">
        <is>
          <t>Lavabo, batarya, ayna ve havlu rafı aynı karede olacak şekilde çek.</t>
        </is>
      </c>
      <c r="F187" s="5" t="inlineStr">
        <is>
          <t>Lavabo içi ve gider temiz
Batarya parlak, su lekesi yok
Sıvı sabun dolu
Ayna lekesiz
Havlular katlı ve tam</t>
        </is>
      </c>
      <c r="G187" s="5" t="inlineStr">
        <is>
          <t>Evet</t>
        </is>
      </c>
      <c r="H187" s="5" t="inlineStr">
        <is>
          <t>Evet</t>
        </is>
      </c>
      <c r="I187" s="5" t="inlineStr">
        <is>
          <t>Hayır</t>
        </is>
      </c>
      <c r="K187" s="5" t="n">
        <v>1</v>
      </c>
      <c r="L187" s="5" t="inlineStr">
        <is>
          <t>Lavaboda kıl, sabun kalıntısı, su lekesi var mı? Aynada leke var mı? Havlular düzgün katlı mı? Konaklama kontrolündeysen misafir eşyalarını değerlendirme.</t>
        </is>
      </c>
    </row>
    <row r="188">
      <c r="A188" s="5" t="inlineStr">
        <is>
          <t>TNY</t>
        </is>
      </c>
      <c r="B188" s="5" t="n">
        <v>3</v>
      </c>
      <c r="C188" s="5" t="inlineStr">
        <is>
          <t>Banyo</t>
        </is>
      </c>
      <c r="D188" s="5" t="inlineStr">
        <is>
          <t>WC</t>
        </is>
      </c>
      <c r="E188" s="5" t="inlineStr">
        <is>
          <t>Klozet kapağı açık, tuvalet kağıdı ve yedek rulo görünecek şekilde çek.</t>
        </is>
      </c>
      <c r="F188" s="5" t="inlineStr">
        <is>
          <t>Klozet içi, kapak altı ve dış yüzey temiz
WC fırçası temiz
Tuvalet kağıdı takılı + yedek rulo
Çöp kovası boş, poşet yeni</t>
        </is>
      </c>
      <c r="G188" s="5" t="inlineStr">
        <is>
          <t>Evet</t>
        </is>
      </c>
      <c r="H188" s="5" t="inlineStr">
        <is>
          <t>Evet</t>
        </is>
      </c>
      <c r="I188" s="5" t="inlineStr">
        <is>
          <t>Hayır</t>
        </is>
      </c>
      <c r="K188" s="5" t="n">
        <v>1</v>
      </c>
      <c r="L188" s="5" t="inlineStr">
        <is>
          <t>Klozet içinde veya kapakta leke/kir var mı? Tuvalet kağıdı ve yedek rulo var mı? Çöp kovası boş mu?</t>
        </is>
      </c>
    </row>
    <row r="189">
      <c r="A189" s="5" t="inlineStr">
        <is>
          <t>TNY</t>
        </is>
      </c>
      <c r="B189" s="5" t="n">
        <v>4</v>
      </c>
      <c r="C189" s="5" t="inlineStr">
        <is>
          <t>Banyo</t>
        </is>
      </c>
      <c r="D189" s="5" t="inlineStr">
        <is>
          <t>Duş</t>
        </is>
      </c>
      <c r="E189" s="5" t="inlineStr">
        <is>
          <t>Duş camını ışığa karşı çek (kireç böyle görünür); dispenserler ve gider görünsün.</t>
        </is>
      </c>
      <c r="F189" s="5" t="inlineStr">
        <is>
          <t>Camda kireç ve su lekesi yok
Duş seti askıda
Şampuan/duş jeli dolu
Giderde saç yok</t>
        </is>
      </c>
      <c r="G189" s="5" t="inlineStr">
        <is>
          <t>Evet</t>
        </is>
      </c>
      <c r="H189" s="5" t="inlineStr">
        <is>
          <t>Evet</t>
        </is>
      </c>
      <c r="I189" s="5" t="inlineStr">
        <is>
          <t>Hayır</t>
        </is>
      </c>
      <c r="K189" s="5" t="n">
        <v>1</v>
      </c>
      <c r="L189" s="5" t="inlineStr">
        <is>
          <t>Duş camında kireç/su lekesi, giderde saç, zeminde kir var mı? Konaklama kontrolündeysen misafir eşyalarını değerlendirme.</t>
        </is>
      </c>
    </row>
    <row r="190">
      <c r="A190" s="5" t="inlineStr">
        <is>
          <t>TNY</t>
        </is>
      </c>
      <c r="B190" s="5" t="n">
        <v>5</v>
      </c>
      <c r="C190" s="5" t="inlineStr">
        <is>
          <t>Oda</t>
        </is>
      </c>
      <c r="D190" s="5" t="inlineStr">
        <is>
          <t>Gardırop</t>
        </is>
      </c>
      <c r="E190" s="5" t="inlineStr">
        <is>
          <t>Kapakları aç, askıları ve rafları tek karede çek. İçerisi karanlıksa feneri aç.</t>
        </is>
      </c>
      <c r="F190" s="5" t="inlineStr">
        <is>
          <t>Askılar tam
Yedek battaniye/yastık katlı
Unutulmuş eşya yok</t>
        </is>
      </c>
      <c r="G190" s="5" t="inlineStr">
        <is>
          <t>Evet</t>
        </is>
      </c>
      <c r="H190" s="5" t="inlineStr">
        <is>
          <t>Hayır</t>
        </is>
      </c>
      <c r="I190" s="5" t="inlineStr">
        <is>
          <t>Evet</t>
        </is>
      </c>
      <c r="K190" s="5" t="n">
        <v>1</v>
      </c>
      <c r="L190" s="5" t="inlineStr">
        <is>
          <t>Gardıropta unutulmuş eşya, çöp var mı? Askılar düzenli mi?</t>
        </is>
      </c>
    </row>
    <row r="191">
      <c r="A191" s="5" t="inlineStr">
        <is>
          <t>TNY</t>
        </is>
      </c>
      <c r="B191" s="5" t="n">
        <v>6</v>
      </c>
      <c r="C191" s="5" t="inlineStr">
        <is>
          <t>Mutfak</t>
        </is>
      </c>
      <c r="D191" s="5" t="inlineStr">
        <is>
          <t>Mutfak tezgahı</t>
        </is>
      </c>
      <c r="E191" s="5" t="inlineStr">
        <is>
          <t>Tezgahın karşısından ocak, evye, kettle ve bulaşıklık tek karede olacak şekilde çek.</t>
        </is>
      </c>
      <c r="F191" s="5" t="inlineStr">
        <is>
          <t>Evye ve batarya temiz
Sünger ve fırça temiz
Bulaşıklık boş ve kuru
Kettle boş, kablosu toplanmış
Tuz-biber-yağ dolu
Çöp kovası boş</t>
        </is>
      </c>
      <c r="G191" s="5" t="inlineStr">
        <is>
          <t>Evet</t>
        </is>
      </c>
      <c r="H191" s="5" t="inlineStr">
        <is>
          <t>Evet</t>
        </is>
      </c>
      <c r="I191" s="5" t="inlineStr">
        <is>
          <t>Hayır</t>
        </is>
      </c>
      <c r="K191" s="5" t="n">
        <v>1</v>
      </c>
      <c r="L191" s="5" t="inlineStr">
        <is>
          <t>Tezgahta, ocakta, evyede kir, yağ, kırıntı veya bulaşık var mı? Çöp dolu mu? Konaklama kontrolündeysen misafir eşyalarını değerlendirme.</t>
        </is>
      </c>
    </row>
    <row r="192">
      <c r="A192" s="5" t="inlineStr">
        <is>
          <t>TNY</t>
        </is>
      </c>
      <c r="B192" s="5" t="n">
        <v>7</v>
      </c>
      <c r="C192" s="5" t="inlineStr">
        <is>
          <t>Mutfak</t>
        </is>
      </c>
      <c r="D192" s="5" t="inlineStr">
        <is>
          <t>Çekmeceler</t>
        </is>
      </c>
      <c r="E192" s="5" t="inlineStr">
        <is>
          <t>Çekmeceleri sırayla aç, feneri aç ve her birini tam üstten çek.</t>
        </is>
      </c>
      <c r="F192" s="5" t="inlineStr">
        <is>
          <t>Çatal, kaşık, bıçak tam
Servis gereçleri yerinde
Çekmece içleri kırıntısız</t>
        </is>
      </c>
      <c r="G192" s="5" t="inlineStr">
        <is>
          <t>Evet</t>
        </is>
      </c>
      <c r="H192" s="5" t="inlineStr">
        <is>
          <t>Hayır</t>
        </is>
      </c>
      <c r="I192" s="5" t="inlineStr">
        <is>
          <t>Evet</t>
        </is>
      </c>
      <c r="K192" s="5" t="n">
        <v>2</v>
      </c>
      <c r="L192" s="5" t="inlineStr">
        <is>
          <t>Çekmece içinde kırıntı, kir, yerinden oynamış eşya var mı?</t>
        </is>
      </c>
    </row>
    <row r="193">
      <c r="A193" s="5" t="inlineStr">
        <is>
          <t>TNY</t>
        </is>
      </c>
      <c r="B193" s="5" t="n">
        <v>8</v>
      </c>
      <c r="C193" s="5" t="inlineStr">
        <is>
          <t>Mutfak</t>
        </is>
      </c>
      <c r="D193" s="5" t="inlineStr">
        <is>
          <t>Dolaplar: tabak, bardak, tencere</t>
        </is>
      </c>
      <c r="E193" s="5" t="inlineStr">
        <is>
          <t>Üst ve alt dolapların kapaklarını aç, feneri aç; tabak, bardak ve tencereler görünsün.</t>
        </is>
      </c>
      <c r="F193" s="5" t="inlineStr">
        <is>
          <t>Tabak, kase, bardak, kupa sayısı tam
Bardaklarda su lekesi, kupalarda çay/kahve izi yok
Tencere ve tavalar temiz, kapaklı
Evye altında sızıntı yok</t>
        </is>
      </c>
      <c r="G193" s="5" t="inlineStr">
        <is>
          <t>Evet</t>
        </is>
      </c>
      <c r="H193" s="5" t="inlineStr">
        <is>
          <t>Hayır</t>
        </is>
      </c>
      <c r="I193" s="5" t="inlineStr">
        <is>
          <t>Evet</t>
        </is>
      </c>
      <c r="K193" s="5" t="n">
        <v>2</v>
      </c>
      <c r="L193" s="5" t="inlineStr">
        <is>
          <t>Bardaklarda leke, tabaklarda iz/çatlak, tencerelerde yemek kalıntısı var mı?</t>
        </is>
      </c>
    </row>
    <row r="194">
      <c r="A194" s="5" t="inlineStr">
        <is>
          <t>TNY</t>
        </is>
      </c>
      <c r="B194" s="5" t="n">
        <v>9</v>
      </c>
      <c r="C194" s="5" t="inlineStr">
        <is>
          <t>Mutfak</t>
        </is>
      </c>
      <c r="D194" s="5" t="inlineStr">
        <is>
          <t>Buzdolabı</t>
        </is>
      </c>
      <c r="E194" s="5" t="inlineStr">
        <is>
          <t>Kapağı tamamen aç; içi ve kapak rafları görünsün.</t>
        </is>
      </c>
      <c r="F194" s="5" t="inlineStr">
        <is>
          <t>Raflar temiz
Unutulmuş yiyecek yok
Koku ve buzlanma yok</t>
        </is>
      </c>
      <c r="G194" s="5" t="inlineStr">
        <is>
          <t>Evet</t>
        </is>
      </c>
      <c r="H194" s="5" t="inlineStr">
        <is>
          <t>Hayır</t>
        </is>
      </c>
      <c r="I194" s="5" t="inlineStr">
        <is>
          <t>Hayır</t>
        </is>
      </c>
      <c r="K194" s="5" t="n">
        <v>1</v>
      </c>
      <c r="L194" s="5" t="inlineStr">
        <is>
          <t>Buzdolabında yiyecek kalıntısı, leke, buzlanma var mı?</t>
        </is>
      </c>
    </row>
    <row r="195">
      <c r="A195" s="5" t="inlineStr">
        <is>
          <t>TNY</t>
        </is>
      </c>
      <c r="B195" s="5" t="n">
        <v>10</v>
      </c>
      <c r="C195" s="5" t="inlineStr">
        <is>
          <t>Oda</t>
        </is>
      </c>
      <c r="D195" s="5" t="inlineStr">
        <is>
          <t>TV ve ünite</t>
        </is>
      </c>
      <c r="E195" s="5" t="inlineStr">
        <is>
          <t>TV ve ünite raflarını önden çek.</t>
        </is>
      </c>
      <c r="F195" s="5" t="inlineStr">
        <is>
          <t>TV ekranı tozsuz
Ünite rafları tozsuz
Kumandalar yerinde</t>
        </is>
      </c>
      <c r="G195" s="5" t="inlineStr">
        <is>
          <t>Evet</t>
        </is>
      </c>
      <c r="H195" s="5" t="inlineStr">
        <is>
          <t>Evet</t>
        </is>
      </c>
      <c r="I195" s="5" t="inlineStr">
        <is>
          <t>Hayır</t>
        </is>
      </c>
      <c r="K195" s="5" t="n">
        <v>1</v>
      </c>
      <c r="L195" s="5" t="inlineStr">
        <is>
          <t>TV ve raflarda toz, leke var mı? Konaklama kontrolündeysen misafir eşyalarını değerlendirme.</t>
        </is>
      </c>
    </row>
    <row r="196">
      <c r="A196" s="5" t="inlineStr">
        <is>
          <t>TNY</t>
        </is>
      </c>
      <c r="B196" s="5" t="n">
        <v>11</v>
      </c>
      <c r="C196" s="5" t="inlineStr">
        <is>
          <t>Oda</t>
        </is>
      </c>
      <c r="D196" s="5" t="inlineStr">
        <is>
          <t>Oturma alanı ve masa</t>
        </is>
      </c>
      <c r="E196" s="5" t="inlineStr">
        <is>
          <t>Pencereye doğru geniş açıyla çek; masa, koltuklar ve kanepe görünsün.</t>
        </is>
      </c>
      <c r="F196" s="5" t="inlineStr">
        <is>
          <t>Perde ve tül düzgün
Masa temiz
Koltuk/kanepe temiz, minderler düzgün</t>
        </is>
      </c>
      <c r="G196" s="5" t="inlineStr">
        <is>
          <t>Evet</t>
        </is>
      </c>
      <c r="H196" s="5" t="inlineStr">
        <is>
          <t>Evet</t>
        </is>
      </c>
      <c r="I196" s="5" t="inlineStr">
        <is>
          <t>Hayır</t>
        </is>
      </c>
      <c r="K196" s="5" t="n">
        <v>1</v>
      </c>
      <c r="L196" s="5" t="inlineStr">
        <is>
          <t>Masada, koltuklarda kir, leke, unutulmuş eşya var mı? Konaklama kontrolündeysen misafir eşyalarını değerlendirme.</t>
        </is>
      </c>
    </row>
    <row r="197">
      <c r="A197" s="5" t="inlineStr">
        <is>
          <t>TNY</t>
        </is>
      </c>
      <c r="B197" s="5" t="n">
        <v>12</v>
      </c>
      <c r="C197" s="5" t="inlineStr">
        <is>
          <t>Oda</t>
        </is>
      </c>
      <c r="D197" s="5" t="inlineStr">
        <is>
          <t>Yatak ve komodinler</t>
        </is>
      </c>
      <c r="E197" s="5" t="inlineStr">
        <is>
          <t>Yatağı ayak ucundan tamamı görünecek şekilde çek; ikinci karede yatak altını ve komodinleri çek.</t>
        </is>
      </c>
      <c r="F197" s="5" t="inlineStr">
        <is>
          <t>Çarşaf dört köşeden gergin
Yastıklar tam, kılıflar lekesiz
Yatak altında eşya/toz yok
Komodinler boş ve tozsuz</t>
        </is>
      </c>
      <c r="G197" s="5" t="inlineStr">
        <is>
          <t>Evet</t>
        </is>
      </c>
      <c r="H197" s="5" t="inlineStr">
        <is>
          <t>Evet</t>
        </is>
      </c>
      <c r="I197" s="5" t="inlineStr">
        <is>
          <t>Hayır</t>
        </is>
      </c>
      <c r="K197" s="5" t="n">
        <v>2</v>
      </c>
      <c r="L197" s="5" t="inlineStr">
        <is>
          <t>Çarşafta kırışık, leke, saç var mı? Yastıklar düzgün mü? Yatak altında eşya/toz var mı? Konaklama kontrolündeysen misafir eşyalarını değerlendirme.</t>
        </is>
      </c>
    </row>
    <row r="198">
      <c r="A198" s="5" t="inlineStr">
        <is>
          <t>TNY</t>
        </is>
      </c>
      <c r="B198" s="5" t="n">
        <v>13</v>
      </c>
      <c r="C198" s="5" t="inlineStr">
        <is>
          <t>Dış alan</t>
        </is>
      </c>
      <c r="D198" s="5" t="inlineStr">
        <is>
          <t>Balkon</t>
        </is>
      </c>
      <c r="E198" s="5" t="inlineStr">
        <is>
          <t>Balkon kapısından balkonun tamamını çek.</t>
        </is>
      </c>
      <c r="F198" s="5" t="inlineStr">
        <is>
          <t>Zemin süpürülmüş
Masa ve sandalyeler temiz
Kül tablası boş</t>
        </is>
      </c>
      <c r="G198" s="5" t="inlineStr">
        <is>
          <t>Evet</t>
        </is>
      </c>
      <c r="H198" s="5" t="inlineStr">
        <is>
          <t>Evet</t>
        </is>
      </c>
      <c r="I198" s="5" t="inlineStr">
        <is>
          <t>Hayır</t>
        </is>
      </c>
      <c r="K198" s="5" t="n">
        <v>1</v>
      </c>
      <c r="L198" s="5" t="inlineStr">
        <is>
          <t>Balkonda çöp, izmarit, kir var mı? Konaklama kontrolündeysen misafir eşyalarını değerlendirme.</t>
        </is>
      </c>
    </row>
    <row r="199">
      <c r="A199" s="5" t="inlineStr">
        <is>
          <t>TNY</t>
        </is>
      </c>
      <c r="B199" s="5" t="n">
        <v>14</v>
      </c>
      <c r="C199" s="5" t="inlineStr">
        <is>
          <t>Dış alan</t>
        </is>
      </c>
      <c r="D199" s="5" t="inlineStr">
        <is>
          <t>Teras</t>
        </is>
      </c>
      <c r="E199" s="5" t="inlineStr">
        <is>
          <t>Terasın tamamını geniş açıyla çek.</t>
        </is>
      </c>
      <c r="F199" s="5" t="inlineStr">
        <is>
          <t>Zemin süpürülmüş
Oturma grubu temiz
Çöp yok</t>
        </is>
      </c>
      <c r="G199" s="5" t="inlineStr">
        <is>
          <t>Evet</t>
        </is>
      </c>
      <c r="H199" s="5" t="inlineStr">
        <is>
          <t>Evet</t>
        </is>
      </c>
      <c r="I199" s="5" t="inlineStr">
        <is>
          <t>Hayır</t>
        </is>
      </c>
      <c r="K199" s="5" t="n">
        <v>1</v>
      </c>
      <c r="L199" s="5" t="inlineStr">
        <is>
          <t>Terasta çöp, yaprak, kir var mı? Konaklama kontrolündeysen misafir eşyalarını değerlendirme.</t>
        </is>
      </c>
    </row>
    <row r="200">
      <c r="A200" s="5" t="inlineStr">
        <is>
          <t>TNY</t>
        </is>
      </c>
      <c r="B200" s="5" t="n">
        <v>15</v>
      </c>
      <c r="C200" s="5" t="inlineStr">
        <is>
          <t>Dış alan</t>
        </is>
      </c>
      <c r="D200" s="5" t="inlineStr">
        <is>
          <t>Barbekü</t>
        </is>
      </c>
      <c r="E200" s="5" t="inlineStr">
        <is>
          <t>Barbeküyü kapağı açık çek.</t>
        </is>
      </c>
      <c r="F200" s="5" t="inlineStr">
        <is>
          <t>Izgara temiz
Kül boşaltılmış</t>
        </is>
      </c>
      <c r="G200" s="5" t="inlineStr">
        <is>
          <t>Evet</t>
        </is>
      </c>
      <c r="H200" s="5" t="inlineStr">
        <is>
          <t>Hayır</t>
        </is>
      </c>
      <c r="I200" s="5" t="inlineStr">
        <is>
          <t>Hayır</t>
        </is>
      </c>
      <c r="K200" s="5" t="n">
        <v>1</v>
      </c>
      <c r="L200" s="5" t="inlineStr">
        <is>
          <t>Izgarada yağ/yemek kalıntısı veya kül var mı?</t>
        </is>
      </c>
    </row>
    <row r="201">
      <c r="A201" s="5" t="inlineStr">
        <is>
          <t>TNY</t>
        </is>
      </c>
      <c r="B201" s="5" t="n">
        <v>16</v>
      </c>
      <c r="C201" s="5" t="inlineStr">
        <is>
          <t>Dış alan</t>
        </is>
      </c>
      <c r="D201" s="5" t="inlineStr">
        <is>
          <t>Bahçe</t>
        </is>
      </c>
      <c r="E201" s="5" t="inlineStr">
        <is>
          <t>Bahçeyi kapıdan geniş açıyla çek.</t>
        </is>
      </c>
      <c r="F201" s="5" t="inlineStr">
        <is>
          <t>Çöp yok
Bahçe mobilyaları düzenli</t>
        </is>
      </c>
      <c r="G201" s="5" t="inlineStr">
        <is>
          <t>Evet</t>
        </is>
      </c>
      <c r="H201" s="5" t="inlineStr">
        <is>
          <t>Hayır</t>
        </is>
      </c>
      <c r="I201" s="5" t="inlineStr">
        <is>
          <t>Hayır</t>
        </is>
      </c>
      <c r="K201" s="5" t="n">
        <v>1</v>
      </c>
      <c r="L201" s="5" t="inlineStr">
        <is>
          <t>Bahçede çöp var mı, mobilyalar dağınık mı?</t>
        </is>
      </c>
    </row>
    <row r="202">
      <c r="A202" s="5" t="inlineStr">
        <is>
          <t>TNY</t>
        </is>
      </c>
      <c r="B202" s="5" t="n">
        <v>17</v>
      </c>
      <c r="C202" s="5" t="inlineStr">
        <is>
          <t>Oda</t>
        </is>
      </c>
      <c r="D202" s="5" t="inlineStr">
        <is>
          <t>Genel oda</t>
        </is>
      </c>
      <c r="E202" s="5" t="inlineStr">
        <is>
          <t>Kapı tarafından tüm odayı tek geniş karede çek. Tüm ışıklar açık.</t>
        </is>
      </c>
      <c r="F202" s="5" t="inlineStr">
        <is>
          <t>Klima çalışıyor
Çöp kovaları boş
Zemin temiz
Duvarda iz yok
Tüm aydınlatma yanıyor</t>
        </is>
      </c>
      <c r="G202" s="5" t="inlineStr">
        <is>
          <t>Evet</t>
        </is>
      </c>
      <c r="H202" s="5" t="inlineStr">
        <is>
          <t>Evet</t>
        </is>
      </c>
      <c r="I202" s="5" t="inlineStr">
        <is>
          <t>Hayır</t>
        </is>
      </c>
      <c r="K202" s="5" t="n">
        <v>1</v>
      </c>
      <c r="L202" s="5" t="inlineStr">
        <is>
          <t>Zeminde kir, çöp; yanmayan lamba; dağınıklık var mı? Konaklama kontrolündeysen misafir eşyalarını değerlendirme.</t>
        </is>
      </c>
    </row>
    <row r="203">
      <c r="A203" s="5" t="inlineStr">
        <is>
          <t>X1</t>
        </is>
      </c>
      <c r="B203" s="5" t="n">
        <v>1</v>
      </c>
      <c r="C203" s="5" t="inlineStr">
        <is>
          <t>Giriş</t>
        </is>
      </c>
      <c r="D203" s="5" t="inlineStr">
        <is>
          <t>Giriş, kapı ve TV duvarı</t>
        </is>
      </c>
      <c r="E203" s="5" t="inlineStr">
        <is>
          <t>Yatak odasında, yatağın yanından giriş kapısına doğru çek: şifreli kilitli kapı, TV ve duvar dipleri görünsün.</t>
        </is>
      </c>
      <c r="F203" s="5" t="inlineStr">
        <is>
          <t>Kapı, şifreli kilit ve kol çalışıyor
TV ekranı tozsuz, kapalı
Süpürgelik ve duvar dipleri tozsuz
Zeminde leke, saç, kum yok</t>
        </is>
      </c>
      <c r="G203" s="5" t="inlineStr">
        <is>
          <t>Evet</t>
        </is>
      </c>
      <c r="H203" s="5" t="inlineStr">
        <is>
          <t>Evet</t>
        </is>
      </c>
      <c r="I203" s="5" t="inlineStr">
        <is>
          <t>Hayır</t>
        </is>
      </c>
      <c r="J203" t="inlineStr">
        <is>
          <t>Evet</t>
        </is>
      </c>
      <c r="K203" s="5" t="n">
        <v>1</v>
      </c>
      <c r="L203" s="5" t="inlineStr">
        <is>
          <t>Zeminde kir, saç, çöp var mı? TV ekranında toz veya parmak izi var mı? (Konaklama kontrolündeysen misafir eşyalarını değerlendirme.)</t>
        </is>
      </c>
    </row>
    <row r="204">
      <c r="A204" s="5" t="inlineStr">
        <is>
          <t>X1</t>
        </is>
      </c>
      <c r="B204" s="5" t="n">
        <v>2</v>
      </c>
      <c r="C204" s="5" t="inlineStr">
        <is>
          <t>Banyo</t>
        </is>
      </c>
      <c r="D204" s="5" t="inlineStr">
        <is>
          <t>Lavabo ve ayna</t>
        </is>
      </c>
      <c r="E204" s="5" t="inlineStr">
        <is>
          <t>Lavabo, batarya, LED ayna ve sıvı sabun aynı karede olacak şekilde çek. Ayna ışığı açık olsun.</t>
        </is>
      </c>
      <c r="F204" s="5" t="inlineStr">
        <is>
          <t>Taş lavabo içi ve gider temiz
Batarya parlak, su lekesi yok
Sıvı sabun dolu
LED ayna lekesiz, ışığı yanıyor
Tezgah kuru
Havlu askısında 1 banyo havlusu, halkalarda el havlusu asılı</t>
        </is>
      </c>
      <c r="G204" s="5" t="inlineStr">
        <is>
          <t>Evet</t>
        </is>
      </c>
      <c r="H204" s="5" t="inlineStr">
        <is>
          <t>Evet</t>
        </is>
      </c>
      <c r="I204" s="5" t="inlineStr">
        <is>
          <t>Hayır</t>
        </is>
      </c>
      <c r="J204" t="inlineStr">
        <is>
          <t>Evet</t>
        </is>
      </c>
      <c r="K204" s="5" t="n">
        <v>1</v>
      </c>
      <c r="L204" s="5" t="inlineStr">
        <is>
          <t>Lavaboda kıl, sabun kalıntısı veya su lekesi var mı? Aynada leke var mı? Sıvı sabun yerinde mi? (Konaklama kontrolündeysen misafir eşyalarını değerlendirme.)</t>
        </is>
      </c>
    </row>
    <row r="205">
      <c r="A205" s="5" t="inlineStr">
        <is>
          <t>X1</t>
        </is>
      </c>
      <c r="B205" s="5" t="n">
        <v>3</v>
      </c>
      <c r="C205" s="5" t="inlineStr">
        <is>
          <t>Banyo</t>
        </is>
      </c>
      <c r="D205" s="5" t="inlineStr">
        <is>
          <t>Lavabo altı raflar</t>
        </is>
      </c>
      <c r="E205" s="5" t="inlineStr">
        <is>
          <t>Lavabo dolabının önünde çömel, iki rafı tam karşıdan çek; havlular, terlikler ve saç kurutma makinesi görünsün.</t>
        </is>
      </c>
      <c r="F205" s="5" t="inlineStr">
        <is>
          <t>2 banyo + 2 el havlusu katlı ve lekesiz
2 çift terlik poşetinde
Yedek tuvalet kağıdı var
Saç kurutma makinesi yerinde, kablosu toplanmış</t>
        </is>
      </c>
      <c r="G205" s="5" t="inlineStr">
        <is>
          <t>Evet</t>
        </is>
      </c>
      <c r="H205" s="5" t="inlineStr">
        <is>
          <t>Evet</t>
        </is>
      </c>
      <c r="I205" s="5" t="inlineStr">
        <is>
          <t>Hayır</t>
        </is>
      </c>
      <c r="J205" t="inlineStr">
        <is>
          <t>Evet</t>
        </is>
      </c>
      <c r="K205" s="5" t="n">
        <v>1</v>
      </c>
      <c r="L205" s="5" t="inlineStr">
        <is>
          <t>Kaç havlu, kaç çift terlik, kaç yedek rulo var? Saç kurutma makinesi rafta mı? Havlularda leke var mı?</t>
        </is>
      </c>
    </row>
    <row r="206">
      <c r="A206" s="5" t="inlineStr">
        <is>
          <t>X1</t>
        </is>
      </c>
      <c r="B206" s="5" t="n">
        <v>4</v>
      </c>
      <c r="C206" s="5" t="inlineStr">
        <is>
          <t>Banyo</t>
        </is>
      </c>
      <c r="D206" s="5" t="inlineStr">
        <is>
          <t>WC</t>
        </is>
      </c>
      <c r="E206" s="5" t="inlineStr">
        <is>
          <t>Klozet kapağı açık; rezervuar paneli, tuvalet kağıtlığı, WC fırçası ve pedallı çöp kovası aynı karede olsun.</t>
        </is>
      </c>
      <c r="F206" s="5" t="inlineStr">
        <is>
          <t>Klozet içi, kapak altı ve dış yüzey temiz
Rezervuar paneli parmak izsiz
Tuvalet kağıdı takılı
WC fırçası temiz
Çöp kovası boş, poşet yeni</t>
        </is>
      </c>
      <c r="G206" s="5" t="inlineStr">
        <is>
          <t>Evet</t>
        </is>
      </c>
      <c r="H206" s="5" t="inlineStr">
        <is>
          <t>Evet</t>
        </is>
      </c>
      <c r="I206" s="5" t="inlineStr">
        <is>
          <t>Hayır</t>
        </is>
      </c>
      <c r="J206" t="inlineStr">
        <is>
          <t>Evet</t>
        </is>
      </c>
      <c r="K206" s="5" t="n">
        <v>1</v>
      </c>
      <c r="L206" s="5" t="inlineStr">
        <is>
          <t>Klozet içinde veya kenarında kir var mı? Tuvalet kağıdı takılı mı? Çöp kovası boş mu? (Konaklama kontrolündeysen misafir eşyalarını değerlendirme.)</t>
        </is>
      </c>
    </row>
    <row r="207">
      <c r="A207" s="5" t="inlineStr">
        <is>
          <t>X1</t>
        </is>
      </c>
      <c r="B207" s="5" t="n">
        <v>5</v>
      </c>
      <c r="C207" s="5" t="inlineStr">
        <is>
          <t>Banyo</t>
        </is>
      </c>
      <c r="D207" s="5" t="inlineStr">
        <is>
          <t>Duş</t>
        </is>
      </c>
      <c r="E207" s="5" t="inlineStr">
        <is>
          <t>Kapısız, cam paravanlı duşu karşıdan çek: tepe duşu, el duşu, 3 dispenser, köşe sepeti ve lineer gider görünsün. İkinci açıda camı ışığa karşı al.</t>
        </is>
      </c>
      <c r="F207" s="5" t="inlineStr">
        <is>
          <t>Cam paravanda kireç ve su lekesi yok
Duvar ve zemin temiz
Lineer giderde saç yok
3 dispenser dolu (şampuan, saç kremi, duş jeli)
El duşu askıda
Köşe sepeti boş</t>
        </is>
      </c>
      <c r="G207" s="5" t="inlineStr">
        <is>
          <t>Evet</t>
        </is>
      </c>
      <c r="H207" s="5" t="inlineStr">
        <is>
          <t>Evet</t>
        </is>
      </c>
      <c r="I207" s="5" t="inlineStr">
        <is>
          <t>Hayır</t>
        </is>
      </c>
      <c r="J207" t="inlineStr">
        <is>
          <t>Evet</t>
        </is>
      </c>
      <c r="K207" s="5" t="n">
        <v>1</v>
      </c>
      <c r="L207" s="5" t="inlineStr">
        <is>
          <t>Duş duvarında veya zeminde kireç, su lekesi var mı? Giderde saç var mı? Kaç dispenser var? (Konaklama kontrolündeysen misafir eşyalarını değerlendirme.)</t>
        </is>
      </c>
    </row>
    <row r="208">
      <c r="A208" s="5" t="inlineStr">
        <is>
          <t>X1</t>
        </is>
      </c>
      <c r="B208" s="5" t="n">
        <v>6</v>
      </c>
      <c r="C208" s="5" t="inlineStr">
        <is>
          <t>Oda</t>
        </is>
      </c>
      <c r="D208" s="5" t="inlineStr">
        <is>
          <t>Yatak</t>
        </is>
      </c>
      <c r="E208" s="5" t="inlineStr">
        <is>
          <t>Yatağı ayak ucundan, iki komodin ve yatak üstündeki tablo görünecek şekilde çek.</t>
        </is>
      </c>
      <c r="F208" s="5" t="inlineStr">
        <is>
          <t>Çarşaf gergin, dört köşe sıkıştırılmış
4 yastık düzgün (2 arka + 2 ön)
Kılıflarda leke, saç yok
Nevresim kenarları eşit sarkıyor</t>
        </is>
      </c>
      <c r="G208" s="5" t="inlineStr">
        <is>
          <t>Evet</t>
        </is>
      </c>
      <c r="H208" s="5" t="inlineStr">
        <is>
          <t>Evet</t>
        </is>
      </c>
      <c r="I208" s="5" t="inlineStr">
        <is>
          <t>Hayır</t>
        </is>
      </c>
      <c r="J208" t="inlineStr">
        <is>
          <t>Evet</t>
        </is>
      </c>
      <c r="K208" s="5" t="n">
        <v>1</v>
      </c>
      <c r="L208" s="5" t="inlineStr">
        <is>
          <t>Yatak düzgün yapılmış mı? Çarşaf buruşuk ya da sarkık mı? Kaç yastık var, kılıflarda leke var mı? (Konaklama kontrolündeysen misafir eşyalarını değerlendirme.)</t>
        </is>
      </c>
    </row>
    <row r="209">
      <c r="A209" s="5" t="inlineStr">
        <is>
          <t>X1</t>
        </is>
      </c>
      <c r="B209" s="5" t="n">
        <v>7</v>
      </c>
      <c r="C209" s="5" t="inlineStr">
        <is>
          <t>Oda</t>
        </is>
      </c>
      <c r="D209" s="5" t="inlineStr">
        <is>
          <t>Komodinler ve başucu</t>
        </is>
      </c>
      <c r="E209" s="5" t="inlineStr">
        <is>
          <t>1. kare: sol komodin ve yatak kenarı. 2. kare: sağ komodin ve yatak kenarı. Çekmeceler açık.</t>
        </is>
      </c>
      <c r="F209" s="5" t="inlineStr">
        <is>
          <t>Komodin üstü tozsuz
Çekmeceler boş
Başucu aplikleri yanıyor
Priz ve anahtarlar sağlam
Yatak kenarı ve altı temiz
Yatak odasındaki LED ayna lekesiz, ışığı yanıyor</t>
        </is>
      </c>
      <c r="G209" s="5" t="inlineStr">
        <is>
          <t>Evet</t>
        </is>
      </c>
      <c r="H209" s="5" t="inlineStr">
        <is>
          <t>Evet</t>
        </is>
      </c>
      <c r="I209" s="5" t="inlineStr">
        <is>
          <t>Hayır</t>
        </is>
      </c>
      <c r="J209" t="inlineStr">
        <is>
          <t>Evet</t>
        </is>
      </c>
      <c r="K209" s="5" t="n">
        <v>2</v>
      </c>
      <c r="L209" s="5" t="inlineStr">
        <is>
          <t>Komodin üstünde toz veya eşya var mı? Çekmecede unutulmuş eşya var mı? Yatak altında eşya var mı? (Konaklama kontrolündeysen misafir eşyalarını değerlendirme.)</t>
        </is>
      </c>
    </row>
    <row r="210">
      <c r="A210" s="5" t="inlineStr">
        <is>
          <t>X1</t>
        </is>
      </c>
      <c r="B210" s="5" t="n">
        <v>8</v>
      </c>
      <c r="C210" s="5" t="inlineStr">
        <is>
          <t>Oda</t>
        </is>
      </c>
      <c r="D210" s="5" t="inlineStr">
        <is>
          <t>Gardırop</t>
        </is>
      </c>
      <c r="E210" s="5" t="inlineStr">
        <is>
          <t>İki kapağı da aç, feneri aç; askılar ve üst raf tek karede olsun.</t>
        </is>
      </c>
      <c r="F210" s="5" t="inlineStr">
        <is>
          <t>6 askı (5 siyah ahşap + 1 şeffaf)
Üst rafta yedek battaniye katlı
Tabanda unutulmuş eşya yok</t>
        </is>
      </c>
      <c r="G210" s="5" t="inlineStr">
        <is>
          <t>Evet</t>
        </is>
      </c>
      <c r="H210" s="5" t="inlineStr">
        <is>
          <t>Hayır</t>
        </is>
      </c>
      <c r="I210" s="5" t="inlineStr">
        <is>
          <t>Evet</t>
        </is>
      </c>
      <c r="J210" t="inlineStr">
        <is>
          <t>Evet</t>
        </is>
      </c>
      <c r="K210" s="5" t="n">
        <v>1</v>
      </c>
      <c r="L210" s="5" t="inlineStr">
        <is>
          <t>Kaç askı var? Üst rafta battaniye var mı? Dolapta misafirden kalmış eşya var mı?</t>
        </is>
      </c>
    </row>
    <row r="211">
      <c r="A211" s="5" t="inlineStr">
        <is>
          <t>X1</t>
        </is>
      </c>
      <c r="B211" s="5" t="n">
        <v>9</v>
      </c>
      <c r="C211" s="5" t="inlineStr">
        <is>
          <t>Oda</t>
        </is>
      </c>
      <c r="D211" s="5" t="inlineStr">
        <is>
          <t>Çalışma masası ve ikram</t>
        </is>
      </c>
      <c r="E211" s="5" t="inlineStr">
        <is>
          <t>Masayı üstten çek: ikram tepsisi ve iki kumanda aynı karede olsun. Paketler yan yana dizili.</t>
        </is>
      </c>
      <c r="F211" s="5" t="inlineStr">
        <is>
          <t>2 fincan + bambu altlık ters kapatılmış
Lokum kasesi dolu
Türk kahvesi 2, yeşil çay 2, Nescafe 2, kahve kreması 2, toz şeker 2
TV ve klima kumandası yerinde
Masa tozsuz, sandalye yerinde</t>
        </is>
      </c>
      <c r="G211" s="5" t="inlineStr">
        <is>
          <t>Evet</t>
        </is>
      </c>
      <c r="H211" s="5" t="inlineStr">
        <is>
          <t>Evet</t>
        </is>
      </c>
      <c r="I211" s="5" t="inlineStr">
        <is>
          <t>Hayır</t>
        </is>
      </c>
      <c r="J211" t="inlineStr">
        <is>
          <t>Evet</t>
        </is>
      </c>
      <c r="K211" s="5" t="n">
        <v>1</v>
      </c>
      <c r="L211" s="5" t="inlineStr">
        <is>
          <t>Tepside kaç fincan var? Türk kahvesi, yeşil çay, Nescafe, kahve kreması ve şeker paketlerini ayrı say. Kaç kumanda var? (Konaklama kontrolündeysen misafir eşyalarını değerlendirme.)</t>
        </is>
      </c>
    </row>
    <row r="212">
      <c r="A212" s="5" t="inlineStr">
        <is>
          <t>X1</t>
        </is>
      </c>
      <c r="B212" s="5" t="n">
        <v>10</v>
      </c>
      <c r="C212" s="5" t="inlineStr">
        <is>
          <t>Oda</t>
        </is>
      </c>
      <c r="D212" s="5" t="inlineStr">
        <is>
          <t>Oturma alanı</t>
        </is>
      </c>
      <c r="E212" s="5" t="inlineStr">
        <is>
          <t>Masa tarafından pencereye doğru geniş açıyla çek: kanepe, cam sehpa, lambader, halı ve perdeler görünsün.</t>
        </is>
      </c>
      <c r="F212" s="5" t="inlineStr">
        <is>
          <t>Kanepe minderleri düzgün, lekesiz
Cam sehpa lekesiz
Halı düz, saçaklar düzgün
Perde ve tül düzgün
Aplikler ve lambader yanıyor
Balkon kapısı kapalı ve kilitli, camı lekesiz</t>
        </is>
      </c>
      <c r="G212" s="5" t="inlineStr">
        <is>
          <t>Evet</t>
        </is>
      </c>
      <c r="H212" s="5" t="inlineStr">
        <is>
          <t>Evet</t>
        </is>
      </c>
      <c r="I212" s="5" t="inlineStr">
        <is>
          <t>Hayır</t>
        </is>
      </c>
      <c r="J212" t="inlineStr">
        <is>
          <t>Evet</t>
        </is>
      </c>
      <c r="K212" s="5" t="n">
        <v>1</v>
      </c>
      <c r="L212" s="5" t="inlineStr">
        <is>
          <t>Kanepede, sehpada kir, leke veya eşya var mı? Perdeler düzgün mü? Yanmayan lamba var mı? (Konaklama kontrolündeysen misafir eşyalarını değerlendirme.)</t>
        </is>
      </c>
    </row>
    <row r="213">
      <c r="A213" s="5" t="inlineStr">
        <is>
          <t>X1</t>
        </is>
      </c>
      <c r="B213" s="5" t="n">
        <v>11</v>
      </c>
      <c r="C213" s="5" t="inlineStr">
        <is>
          <t>Mutfak</t>
        </is>
      </c>
      <c r="D213" s="5" t="inlineStr">
        <is>
          <t>Mutfak tezgahı</t>
        </is>
      </c>
      <c r="E213" s="5" t="inlineStr">
        <is>
          <t>Tezgahın karşısından çek: ocak, evye, batarya, sünger standı, bulaşıklık ve asma çöp kovası tek karede.</t>
        </is>
      </c>
      <c r="F213" s="5" t="inlineStr">
        <is>
          <t>2 gözlü ocak camı temiz
Evye ve batarya temiz
Fırça + sünger temiz
Bulaşıklık boş ve kuru
Asma çöp kovası boş
Buzdolabı kapağı kapalı ve temiz</t>
        </is>
      </c>
      <c r="G213" s="5" t="inlineStr">
        <is>
          <t>Evet</t>
        </is>
      </c>
      <c r="H213" s="5" t="inlineStr">
        <is>
          <t>Evet</t>
        </is>
      </c>
      <c r="I213" s="5" t="inlineStr">
        <is>
          <t>Hayır</t>
        </is>
      </c>
      <c r="J213" t="inlineStr">
        <is>
          <t>Evet</t>
        </is>
      </c>
      <c r="K213" s="5" t="n">
        <v>1</v>
      </c>
      <c r="L213" s="5" t="inlineStr">
        <is>
          <t>Ocakta yanık veya yağ lekesi var mı? Evyede bulaşık var mı? Bulaşıklıkta eşya var mı? Çöp kovası dolu mu? (Konaklama kontrolündeysen misafir eşyalarını değerlendirme.)</t>
        </is>
      </c>
    </row>
    <row r="214">
      <c r="A214" s="5" t="inlineStr">
        <is>
          <t>X1</t>
        </is>
      </c>
      <c r="B214" s="5" t="n">
        <v>12</v>
      </c>
      <c r="C214" s="5" t="inlineStr">
        <is>
          <t>Mutfak</t>
        </is>
      </c>
      <c r="D214" s="5" t="inlineStr">
        <is>
          <t>Çekmece 1: çatal-bıçak</t>
        </is>
      </c>
      <c r="E214" s="5" t="inlineStr">
        <is>
          <t>Çekmeceyi tamamen aç, feneri aç, tam üstten çek. Çatal-bıçaklar üst üste binmesin.</t>
        </is>
      </c>
      <c r="F214" s="5" t="inlineStr">
        <is>
          <t>Çatal, kaşık, bıçak ve çay kaşığı tam
Şarap açacağı yerinde
Setten olmayan parça yok
Kaşıklık altı kırıntısız</t>
        </is>
      </c>
      <c r="G214" s="5" t="inlineStr">
        <is>
          <t>Evet</t>
        </is>
      </c>
      <c r="H214" s="5" t="inlineStr">
        <is>
          <t>Hayır</t>
        </is>
      </c>
      <c r="I214" s="5" t="inlineStr">
        <is>
          <t>Evet</t>
        </is>
      </c>
      <c r="J214" t="inlineStr">
        <is>
          <t>Evet</t>
        </is>
      </c>
      <c r="K214" s="5" t="n">
        <v>1</v>
      </c>
      <c r="L214" s="5" t="inlineStr">
        <is>
          <t>Her bölmedeki yemek kaşığı, çatal, bıçak ve çay kaşığını ayrı say. Setle aynı olmayan parça var mı?</t>
        </is>
      </c>
    </row>
    <row r="215">
      <c r="A215" s="5" t="inlineStr">
        <is>
          <t>X1</t>
        </is>
      </c>
      <c r="B215" s="5" t="n">
        <v>13</v>
      </c>
      <c r="C215" s="5" t="inlineStr">
        <is>
          <t>Mutfak</t>
        </is>
      </c>
      <c r="D215" s="5" t="inlineStr">
        <is>
          <t>Çekmece 2: servis gereçleri</t>
        </is>
      </c>
      <c r="E215" s="5" t="inlineStr">
        <is>
          <t>Çekmeceyi tamamen aç, feneri aç, üstten çek.</t>
        </is>
      </c>
      <c r="F215" s="5" t="inlineStr">
        <is>
          <t>4 silikon servis gereci (kepçe, delikli kepçe, kaşık, spatula)
Çekmece içi kırıntısız</t>
        </is>
      </c>
      <c r="G215" s="5" t="inlineStr">
        <is>
          <t>Evet</t>
        </is>
      </c>
      <c r="H215" s="5" t="inlineStr">
        <is>
          <t>Hayır</t>
        </is>
      </c>
      <c r="I215" s="5" t="inlineStr">
        <is>
          <t>Evet</t>
        </is>
      </c>
      <c r="J215" t="inlineStr">
        <is>
          <t>Evet</t>
        </is>
      </c>
      <c r="K215" s="5" t="n">
        <v>1</v>
      </c>
      <c r="L215" s="5" t="inlineStr">
        <is>
          <t>Kaç silikon servis gereci var? Hangileri eksik?</t>
        </is>
      </c>
    </row>
    <row r="216">
      <c r="A216" s="5" t="inlineStr">
        <is>
          <t>X1</t>
        </is>
      </c>
      <c r="B216" s="5" t="n">
        <v>14</v>
      </c>
      <c r="C216" s="5" t="inlineStr">
        <is>
          <t>Mutfak</t>
        </is>
      </c>
      <c r="D216" s="5" t="inlineStr">
        <is>
          <t>Çekmece 3: bıçak seti</t>
        </is>
      </c>
      <c r="E216" s="5" t="inlineStr">
        <is>
          <t>Çekmeceyi tamamen aç; bıçak seti kutusu açık ve kesme tahtası görünsün.</t>
        </is>
      </c>
      <c r="F216" s="5" t="inlineStr">
        <is>
          <t>Bıçak seti tam (kutuda)
Kesme tahtası temiz</t>
        </is>
      </c>
      <c r="G216" s="5" t="inlineStr">
        <is>
          <t>Evet</t>
        </is>
      </c>
      <c r="H216" s="5" t="inlineStr">
        <is>
          <t>Hayır</t>
        </is>
      </c>
      <c r="I216" s="5" t="inlineStr">
        <is>
          <t>Evet</t>
        </is>
      </c>
      <c r="J216" t="inlineStr">
        <is>
          <t>Evet</t>
        </is>
      </c>
      <c r="K216" s="5" t="n">
        <v>1</v>
      </c>
      <c r="L216" s="5" t="inlineStr">
        <is>
          <t>Bıçak setinde boş yuva var mı? Kesme tahtasında leke veya küf var mı?</t>
        </is>
      </c>
    </row>
    <row r="217">
      <c r="A217" s="5" t="inlineStr">
        <is>
          <t>X1</t>
        </is>
      </c>
      <c r="B217" s="5" t="n">
        <v>15</v>
      </c>
      <c r="C217" s="5" t="inlineStr">
        <is>
          <t>Mutfak</t>
        </is>
      </c>
      <c r="D217" s="5" t="inlineStr">
        <is>
          <t>Üst dolap (sol): tabak, kupa, bardak</t>
        </is>
      </c>
      <c r="E217" s="5" t="inlineStr">
        <is>
          <t>Kapağı aç, feneri aç. Önden çek; tabak yığınları, kupalar, kadehler ve bardaklar ayrı görünsün.</t>
        </is>
      </c>
      <c r="F217" s="5" t="inlineStr">
        <is>
          <t>4 büyük + 4 küçük düz tabak (zeytin yeşili)
4 kupa
2 şarap kadehi, 3 su bardağı
4 küçük kase
Bardaklarda su lekesi, kupalarda iz yok</t>
        </is>
      </c>
      <c r="G217" s="5" t="inlineStr">
        <is>
          <t>Evet</t>
        </is>
      </c>
      <c r="H217" s="5" t="inlineStr">
        <is>
          <t>Hayır</t>
        </is>
      </c>
      <c r="I217" s="5" t="inlineStr">
        <is>
          <t>Evet</t>
        </is>
      </c>
      <c r="J217" t="inlineStr">
        <is>
          <t>Evet</t>
        </is>
      </c>
      <c r="K217" s="5" t="n">
        <v>1</v>
      </c>
      <c r="L217" s="5" t="inlineStr">
        <is>
          <t>Düz tabak, küçük tabak, kupa, şarap kadehi, su bardağı ve küçük kaseyi ayrı say. Bardaklarda leke var mı?</t>
        </is>
      </c>
    </row>
    <row r="218">
      <c r="A218" s="5" t="inlineStr">
        <is>
          <t>X1</t>
        </is>
      </c>
      <c r="B218" s="5" t="n">
        <v>16</v>
      </c>
      <c r="C218" s="5" t="inlineStr">
        <is>
          <t>Mutfak</t>
        </is>
      </c>
      <c r="D218" s="5" t="inlineStr">
        <is>
          <t>Açık raf: kettle ve baharat</t>
        </is>
      </c>
      <c r="E218" s="5" t="inlineStr">
        <is>
          <t>Açık rafı karşıdan çek: kettle, tuz-biber standı ve yağ şişesi görünsün.</t>
        </is>
      </c>
      <c r="F218" s="5" t="inlineStr">
        <is>
          <t>Kettle boş, kablosu toplanmış
Tuz-biber-kürdan dolu
Yağ şişesi dolu ve temiz</t>
        </is>
      </c>
      <c r="G218" s="5" t="inlineStr">
        <is>
          <t>Evet</t>
        </is>
      </c>
      <c r="H218" s="5" t="inlineStr">
        <is>
          <t>Evet</t>
        </is>
      </c>
      <c r="I218" s="5" t="inlineStr">
        <is>
          <t>Hayır</t>
        </is>
      </c>
      <c r="J218" t="inlineStr">
        <is>
          <t>Evet</t>
        </is>
      </c>
      <c r="K218" s="5" t="n">
        <v>1</v>
      </c>
      <c r="L218" s="5" t="inlineStr">
        <is>
          <t>Kettle, tuz-biber standı ve yağ şişesi yerinde mi? Rafta toz veya leke var mı?</t>
        </is>
      </c>
    </row>
    <row r="219">
      <c r="A219" s="5" t="inlineStr">
        <is>
          <t>X1</t>
        </is>
      </c>
      <c r="B219" s="5" t="n">
        <v>17</v>
      </c>
      <c r="C219" s="5" t="inlineStr">
        <is>
          <t>Mutfak</t>
        </is>
      </c>
      <c r="D219" s="5" t="inlineStr">
        <is>
          <t>Üst dolap (sağ): çukur tabak ve servis tabağı</t>
        </is>
      </c>
      <c r="E219" s="5" t="inlineStr">
        <is>
          <t>Kapağı aç, feneri aç; iki raf tek karede.</t>
        </is>
      </c>
      <c r="F219" s="5" t="inlineStr">
        <is>
          <t>2 çukur tabak + 2 kase (zeytin yeşili)
2 büyük + 2 küçük gri servis tabağı
Tabaklarda iz veya çatlak yok</t>
        </is>
      </c>
      <c r="G219" s="5" t="inlineStr">
        <is>
          <t>Evet</t>
        </is>
      </c>
      <c r="H219" s="5" t="inlineStr">
        <is>
          <t>Hayır</t>
        </is>
      </c>
      <c r="I219" s="5" t="inlineStr">
        <is>
          <t>Evet</t>
        </is>
      </c>
      <c r="J219" t="inlineStr">
        <is>
          <t>Evet</t>
        </is>
      </c>
      <c r="K219" s="5" t="n">
        <v>1</v>
      </c>
      <c r="L219" s="5" t="inlineStr">
        <is>
          <t>Çukur tabak, kase, büyük ve küçük gri tabak sayısını ayrı say. Çatlak var mı?</t>
        </is>
      </c>
    </row>
    <row r="220">
      <c r="A220" s="5" t="inlineStr">
        <is>
          <t>X1</t>
        </is>
      </c>
      <c r="B220" s="5" t="n">
        <v>18</v>
      </c>
      <c r="C220" s="5" t="inlineStr">
        <is>
          <t>Mutfak</t>
        </is>
      </c>
      <c r="D220" s="5" t="inlineStr">
        <is>
          <t>Evye altı: tencere-tava</t>
        </is>
      </c>
      <c r="E220" s="5" t="inlineStr">
        <is>
          <t>Kapakları aç, feneri aç; iki rafı da görecek şekilde çek.</t>
        </is>
      </c>
      <c r="F220" s="5" t="inlineStr">
        <is>
          <t>Tencere ve tava kapaklarıyla tam
Tava içi temiz
Kağıt havlu standı ve rulo var
Sifonda sızıntı yok</t>
        </is>
      </c>
      <c r="G220" s="5" t="inlineStr">
        <is>
          <t>Evet</t>
        </is>
      </c>
      <c r="H220" s="5" t="inlineStr">
        <is>
          <t>Hayır</t>
        </is>
      </c>
      <c r="I220" s="5" t="inlineStr">
        <is>
          <t>Evet</t>
        </is>
      </c>
      <c r="J220" t="inlineStr">
        <is>
          <t>Evet</t>
        </is>
      </c>
      <c r="K220" s="5" t="n">
        <v>1</v>
      </c>
      <c r="L220" s="5" t="inlineStr">
        <is>
          <t>Kaç tencere ve tava var, kapakları var mı? Tava içinde yağ kalıntısı var mı? Dolap tabanında su var mı?</t>
        </is>
      </c>
    </row>
    <row r="221">
      <c r="A221" s="5" t="inlineStr">
        <is>
          <t>X1</t>
        </is>
      </c>
      <c r="B221" s="5" t="n">
        <v>19</v>
      </c>
      <c r="C221" s="5" t="inlineStr">
        <is>
          <t>Mutfak</t>
        </is>
      </c>
      <c r="D221" s="5" t="inlineStr">
        <is>
          <t>Mini buzdolabı</t>
        </is>
      </c>
      <c r="E221" s="5" t="inlineStr">
        <is>
          <t>Kapağı tamamen aç; içi ve kapak rafları görünsün.</t>
        </is>
      </c>
      <c r="F221" s="5" t="inlineStr">
        <is>
          <t>Raflar ve kapak rafları temiz
Misafirden kalan yiyecek/içecek yok
Koku ve buzlanma yok</t>
        </is>
      </c>
      <c r="G221" s="5" t="inlineStr">
        <is>
          <t>Evet</t>
        </is>
      </c>
      <c r="H221" s="5" t="inlineStr">
        <is>
          <t>Hayır</t>
        </is>
      </c>
      <c r="I221" s="5" t="inlineStr">
        <is>
          <t>Hayır</t>
        </is>
      </c>
      <c r="J221" t="inlineStr">
        <is>
          <t>Evet</t>
        </is>
      </c>
      <c r="K221" s="5" t="n">
        <v>1</v>
      </c>
      <c r="L221" s="5" t="inlineStr">
        <is>
          <t>Buzdolabında misafirden kalan yiyecek/içecek var mı? Raflarda leke veya buzlanma var mı?</t>
        </is>
      </c>
    </row>
    <row r="222">
      <c r="A222" s="5" t="inlineStr">
        <is>
          <t>X1</t>
        </is>
      </c>
      <c r="B222" s="5" t="n">
        <v>20</v>
      </c>
      <c r="C222" s="5" t="inlineStr">
        <is>
          <t>Oda</t>
        </is>
      </c>
      <c r="D222" s="5" t="inlineStr">
        <is>
          <t>Genel oda</t>
        </is>
      </c>
      <c r="E222" s="5" t="inlineStr">
        <is>
          <t>1. kare: yatak odası, giriş kapısının yanından. 2. kare: oturma + mutfak bölümü, iç kapıdan balkona doğru. Tüm ışıklar açık.</t>
        </is>
      </c>
      <c r="F222" s="5" t="inlineStr">
        <is>
          <t>Klima çalışıyor (oturma bölümü)
Masa altındaki çöp kovası boş
Zemin temiz
Duvarda iz/sıyrık yok
Tüm aydınlatma yanıyor</t>
        </is>
      </c>
      <c r="G222" s="5" t="inlineStr">
        <is>
          <t>Evet</t>
        </is>
      </c>
      <c r="H222" s="5" t="inlineStr">
        <is>
          <t>Evet</t>
        </is>
      </c>
      <c r="I222" s="5" t="inlineStr">
        <is>
          <t>Hayır</t>
        </is>
      </c>
      <c r="J222" t="inlineStr">
        <is>
          <t>Evet</t>
        </is>
      </c>
      <c r="K222" s="5" t="n">
        <v>2</v>
      </c>
      <c r="L222" s="5" t="inlineStr">
        <is>
          <t>Zeminde kir veya çöp var mı? Açıkta kablo var mı? Duvarda iz var mı? Yanmayan lamba var mı? (Konaklama kontrolündeysen misafir eşyalarını değerlendirme.)</t>
        </is>
      </c>
    </row>
    <row r="223">
      <c r="A223" s="5" t="inlineStr">
        <is>
          <t>X2</t>
        </is>
      </c>
      <c r="B223" s="5" t="n">
        <v>1</v>
      </c>
      <c r="C223" s="5" t="inlineStr">
        <is>
          <t>Giriş</t>
        </is>
      </c>
      <c r="D223" s="5" t="inlineStr">
        <is>
          <t>Giriş ve konsol masa</t>
        </is>
      </c>
      <c r="E223" s="5" t="inlineStr">
        <is>
          <t>Giriş kapısının içinden odaya doğru çek: yatak, konsol masa, kanepe ve pencere tarafı aynı karede.</t>
        </is>
      </c>
      <c r="F223" s="5" t="inlineStr">
        <is>
          <t>Kapı, şifreli kilit ve kol çalışıyor
Konsol masa tozsuz, üstü boş
Zeminde leke, saç, kum yok
Tavan ve duvar aplikleri yanıyor</t>
        </is>
      </c>
      <c r="G223" s="5" t="inlineStr">
        <is>
          <t>Evet</t>
        </is>
      </c>
      <c r="H223" s="5" t="inlineStr">
        <is>
          <t>Evet</t>
        </is>
      </c>
      <c r="I223" s="5" t="inlineStr">
        <is>
          <t>Hayır</t>
        </is>
      </c>
      <c r="J223" t="inlineStr">
        <is>
          <t>Evet</t>
        </is>
      </c>
      <c r="K223" s="5" t="n">
        <v>1</v>
      </c>
      <c r="L223" s="5" t="inlineStr">
        <is>
          <t>Zeminde kir, saç, çöp var mı? Masada eşya veya toz var mı? Yanmayan lamba var mı? (Konaklama kontrolündeysen misafir eşyalarını değerlendirme.)</t>
        </is>
      </c>
    </row>
    <row r="224">
      <c r="A224" s="5" t="inlineStr">
        <is>
          <t>X2</t>
        </is>
      </c>
      <c r="B224" s="5" t="n">
        <v>2</v>
      </c>
      <c r="C224" s="5" t="inlineStr">
        <is>
          <t>Banyo</t>
        </is>
      </c>
      <c r="D224" s="5" t="inlineStr">
        <is>
          <t>Lavabo ve ayna</t>
        </is>
      </c>
      <c r="E224" s="5" t="inlineStr">
        <is>
          <t>Lavabo, batarya, LED ayna ve sıvı sabun aynı karede olacak şekilde çek. Ayna ışığı açık olsun.</t>
        </is>
      </c>
      <c r="F224" s="5" t="inlineStr">
        <is>
          <t>Taş lavabo içi ve gider temiz
Batarya parlak, su lekesi yok
Sıvı sabun dolu
LED ayna lekesiz, ışığı yanıyor
Tezgah kuru
Havlu askısında 2 banyo havlusu asılı</t>
        </is>
      </c>
      <c r="G224" s="5" t="inlineStr">
        <is>
          <t>Evet</t>
        </is>
      </c>
      <c r="H224" s="5" t="inlineStr">
        <is>
          <t>Evet</t>
        </is>
      </c>
      <c r="I224" s="5" t="inlineStr">
        <is>
          <t>Hayır</t>
        </is>
      </c>
      <c r="J224" t="inlineStr">
        <is>
          <t>Evet</t>
        </is>
      </c>
      <c r="K224" s="5" t="n">
        <v>1</v>
      </c>
      <c r="L224" s="5" t="inlineStr">
        <is>
          <t>Lavaboda kıl, sabun kalıntısı veya su lekesi var mı? Aynada leke var mı? Sıvı sabun yerinde mi? (Konaklama kontrolündeysen misafir eşyalarını değerlendirme.)</t>
        </is>
      </c>
    </row>
    <row r="225">
      <c r="A225" s="5" t="inlineStr">
        <is>
          <t>X2</t>
        </is>
      </c>
      <c r="B225" s="5" t="n">
        <v>3</v>
      </c>
      <c r="C225" s="5" t="inlineStr">
        <is>
          <t>Banyo</t>
        </is>
      </c>
      <c r="D225" s="5" t="inlineStr">
        <is>
          <t>Lavabo altı raflar</t>
        </is>
      </c>
      <c r="E225" s="5" t="inlineStr">
        <is>
          <t>Lavabo dolabının önünde çömel, iki rafı tam karşıdan çek; havlular, terlikler ve saç kurutma makinesi görünsün.</t>
        </is>
      </c>
      <c r="F225" s="5" t="inlineStr">
        <is>
          <t>2 banyo + 2 el havlusu katlı (askıdakiler hariç)
2 çift terlik poşetinde
Yedek tuvalet kağıdı var
Saç kurutma makinesi yerinde, kablosu toplanmış</t>
        </is>
      </c>
      <c r="G225" s="5" t="inlineStr">
        <is>
          <t>Evet</t>
        </is>
      </c>
      <c r="H225" s="5" t="inlineStr">
        <is>
          <t>Evet</t>
        </is>
      </c>
      <c r="I225" s="5" t="inlineStr">
        <is>
          <t>Hayır</t>
        </is>
      </c>
      <c r="J225" t="inlineStr">
        <is>
          <t>Evet</t>
        </is>
      </c>
      <c r="K225" s="5" t="n">
        <v>1</v>
      </c>
      <c r="L225" s="5" t="inlineStr">
        <is>
          <t>Kaç havlu, kaç çift terlik, kaç yedek rulo var? Saç kurutma makinesi rafta mı? Havlularda leke var mı?</t>
        </is>
      </c>
    </row>
    <row r="226">
      <c r="A226" s="5" t="inlineStr">
        <is>
          <t>X2</t>
        </is>
      </c>
      <c r="B226" s="5" t="n">
        <v>4</v>
      </c>
      <c r="C226" s="5" t="inlineStr">
        <is>
          <t>Banyo</t>
        </is>
      </c>
      <c r="D226" s="5" t="inlineStr">
        <is>
          <t>WC</t>
        </is>
      </c>
      <c r="E226" s="5" t="inlineStr">
        <is>
          <t>Klozet kapağı açık; rezervuar paneli, tuvalet kağıtlığı, WC fırçası ve pedallı çöp kovası aynı karede olsun.</t>
        </is>
      </c>
      <c r="F226" s="5" t="inlineStr">
        <is>
          <t>Klozet içi, kapak altı ve dış yüzey temiz
Rezervuar paneli parmak izsiz
Tuvalet kağıdı takılı
WC fırçası temiz
Çöp kovası boş, poşet yeni</t>
        </is>
      </c>
      <c r="G226" s="5" t="inlineStr">
        <is>
          <t>Evet</t>
        </is>
      </c>
      <c r="H226" s="5" t="inlineStr">
        <is>
          <t>Evet</t>
        </is>
      </c>
      <c r="I226" s="5" t="inlineStr">
        <is>
          <t>Hayır</t>
        </is>
      </c>
      <c r="J226" t="inlineStr">
        <is>
          <t>Evet</t>
        </is>
      </c>
      <c r="K226" s="5" t="n">
        <v>1</v>
      </c>
      <c r="L226" s="5" t="inlineStr">
        <is>
          <t>Klozet içinde veya kenarında kir var mı? Tuvalet kağıdı takılı mı? Çöp kovası boş mu? (Konaklama kontrolündeysen misafir eşyalarını değerlendirme.)</t>
        </is>
      </c>
    </row>
    <row r="227">
      <c r="A227" s="5" t="inlineStr">
        <is>
          <t>X2</t>
        </is>
      </c>
      <c r="B227" s="5" t="n">
        <v>5</v>
      </c>
      <c r="C227" s="5" t="inlineStr">
        <is>
          <t>Banyo</t>
        </is>
      </c>
      <c r="D227" s="5" t="inlineStr">
        <is>
          <t>Duş</t>
        </is>
      </c>
      <c r="E227" s="5" t="inlineStr">
        <is>
          <t>Kapısız, cam paravanlı duşu karşıdan çek: tepe duşu, el duşu, 3 dispenser, köşe sepeti ve lineer gider görünsün. İkinci açıda camı ışığa karşı al.</t>
        </is>
      </c>
      <c r="F227" s="5" t="inlineStr">
        <is>
          <t>Cam paravanda kireç ve su lekesi yok
Duvar ve zemin temiz
Lineer giderde saç yok
3 dispenser dolu (şampuan, saç kremi, duş jeli)
El duşu askıda
Köşe sepeti boş
Banyonun buzlu cam kapısı lekesiz</t>
        </is>
      </c>
      <c r="G227" s="5" t="inlineStr">
        <is>
          <t>Evet</t>
        </is>
      </c>
      <c r="H227" s="5" t="inlineStr">
        <is>
          <t>Evet</t>
        </is>
      </c>
      <c r="I227" s="5" t="inlineStr">
        <is>
          <t>Hayır</t>
        </is>
      </c>
      <c r="J227" t="inlineStr">
        <is>
          <t>Evet</t>
        </is>
      </c>
      <c r="K227" s="5" t="n">
        <v>1</v>
      </c>
      <c r="L227" s="5" t="inlineStr">
        <is>
          <t>Duş duvarında veya zeminde kireç, su lekesi var mı? Giderde saç var mı? Kaç dispenser var? (Konaklama kontrolündeysen misafir eşyalarını değerlendirme.)</t>
        </is>
      </c>
    </row>
    <row r="228">
      <c r="A228" s="5" t="inlineStr">
        <is>
          <t>X2</t>
        </is>
      </c>
      <c r="B228" s="5" t="n">
        <v>6</v>
      </c>
      <c r="C228" s="5" t="inlineStr">
        <is>
          <t>Oda</t>
        </is>
      </c>
      <c r="D228" s="5" t="inlineStr">
        <is>
          <t>Yatak</t>
        </is>
      </c>
      <c r="E228" s="5" t="inlineStr">
        <is>
          <t>Yatağı ayak ucundan, dalgalı ahşap başlık, iki komodin ve tablo görünecek şekilde çek.</t>
        </is>
      </c>
      <c r="F228" s="5" t="inlineStr">
        <is>
          <t>Çarşaf gergin, dört köşe sıkıştırılmış
4 yastık düzgün
Kılıflarda leke, saç yok
Başlık ve baza tozsuz</t>
        </is>
      </c>
      <c r="G228" s="5" t="inlineStr">
        <is>
          <t>Evet</t>
        </is>
      </c>
      <c r="H228" s="5" t="inlineStr">
        <is>
          <t>Evet</t>
        </is>
      </c>
      <c r="I228" s="5" t="inlineStr">
        <is>
          <t>Hayır</t>
        </is>
      </c>
      <c r="J228" t="inlineStr">
        <is>
          <t>Evet</t>
        </is>
      </c>
      <c r="K228" s="5" t="n">
        <v>1</v>
      </c>
      <c r="L228" s="5" t="inlineStr">
        <is>
          <t>Yatak düzgün yapılmış mı? Çarşaf buruşuk ya da sarkık mı? Kaç yastık var, kılıflarda leke var mı? (Konaklama kontrolündeysen misafir eşyalarını değerlendirme.)</t>
        </is>
      </c>
    </row>
    <row r="229">
      <c r="A229" s="5" t="inlineStr">
        <is>
          <t>X2</t>
        </is>
      </c>
      <c r="B229" s="5" t="n">
        <v>7</v>
      </c>
      <c r="C229" s="5" t="inlineStr">
        <is>
          <t>Oda</t>
        </is>
      </c>
      <c r="D229" s="5" t="inlineStr">
        <is>
          <t>Komodinler ve başucu</t>
        </is>
      </c>
      <c r="E229" s="5" t="inlineStr">
        <is>
          <t>1. kare: sol komodin ve yatak kenarı. 2. kare: sağ komodin ve yatak kenarı. Çekmeceler açık.</t>
        </is>
      </c>
      <c r="F229" s="5" t="inlineStr">
        <is>
          <t>Komodin üstü tozsuz
Çekmeceler boş
Başucu aplikleri yanıyor
Priz ve anahtarlar sağlam
Yatak kenarı ve altı temiz</t>
        </is>
      </c>
      <c r="G229" s="5" t="inlineStr">
        <is>
          <t>Evet</t>
        </is>
      </c>
      <c r="H229" s="5" t="inlineStr">
        <is>
          <t>Evet</t>
        </is>
      </c>
      <c r="I229" s="5" t="inlineStr">
        <is>
          <t>Hayır</t>
        </is>
      </c>
      <c r="J229" t="inlineStr">
        <is>
          <t>Evet</t>
        </is>
      </c>
      <c r="K229" s="5" t="n">
        <v>2</v>
      </c>
      <c r="L229" s="5" t="inlineStr">
        <is>
          <t>Komodin üstünde toz veya eşya var mı? Çekmecede unutulmuş eşya var mı? Yatak altında eşya var mı? (Konaklama kontrolündeysen misafir eşyalarını değerlendirme.)</t>
        </is>
      </c>
    </row>
    <row r="230">
      <c r="A230" s="5" t="inlineStr">
        <is>
          <t>X2</t>
        </is>
      </c>
      <c r="B230" s="5" t="n">
        <v>8</v>
      </c>
      <c r="C230" s="5" t="inlineStr">
        <is>
          <t>Oda</t>
        </is>
      </c>
      <c r="D230" s="5" t="inlineStr">
        <is>
          <t>Gardırop</t>
        </is>
      </c>
      <c r="E230" s="5" t="inlineStr">
        <is>
          <t>İki kapağı da aç, feneri aç; askılar ve üst raf tek karede olsun.</t>
        </is>
      </c>
      <c r="F230" s="5" t="inlineStr">
        <is>
          <t>Askılar tam
Üst rafta yedek battaniye katlı
Tabanda unutulmuş eşya yok</t>
        </is>
      </c>
      <c r="G230" s="5" t="inlineStr">
        <is>
          <t>Evet</t>
        </is>
      </c>
      <c r="H230" s="5" t="inlineStr">
        <is>
          <t>Hayır</t>
        </is>
      </c>
      <c r="I230" s="5" t="inlineStr">
        <is>
          <t>Evet</t>
        </is>
      </c>
      <c r="J230" t="inlineStr">
        <is>
          <t>Evet</t>
        </is>
      </c>
      <c r="K230" s="5" t="n">
        <v>1</v>
      </c>
      <c r="L230" s="5" t="inlineStr">
        <is>
          <t>Kaç askı var? Üst rafta battaniye var mı? Dolapta misafirden kalmış eşya var mı?</t>
        </is>
      </c>
    </row>
    <row r="231">
      <c r="A231" s="5" t="inlineStr">
        <is>
          <t>X2</t>
        </is>
      </c>
      <c r="B231" s="5" t="n">
        <v>9</v>
      </c>
      <c r="C231" s="5" t="inlineStr">
        <is>
          <t>Oda</t>
        </is>
      </c>
      <c r="D231" s="5" t="inlineStr">
        <is>
          <t>Yemek masası: ikram ve kumandalar</t>
        </is>
      </c>
      <c r="E231" s="5" t="inlineStr">
        <is>
          <t>Yuvarlak yemek masasının üstünü çek: ikram tepsisi ve iki kumanda aynı karede, paketler yan yana.</t>
        </is>
      </c>
      <c r="F231" s="5" t="inlineStr">
        <is>
          <t>2 fincan + bambu altlık ters kapatılmış
Lokum kasesi dolu
Türk kahvesi 2, yeşil çay 2, Nescafe 2, kahve kreması 2, toz şeker 2
TV ve klima kumandası yerinde
Masa tozsuz</t>
        </is>
      </c>
      <c r="G231" s="5" t="inlineStr">
        <is>
          <t>Evet</t>
        </is>
      </c>
      <c r="H231" s="5" t="inlineStr">
        <is>
          <t>Evet</t>
        </is>
      </c>
      <c r="I231" s="5" t="inlineStr">
        <is>
          <t>Hayır</t>
        </is>
      </c>
      <c r="J231" t="inlineStr">
        <is>
          <t>Evet</t>
        </is>
      </c>
      <c r="K231" s="5" t="n">
        <v>1</v>
      </c>
      <c r="L231" s="5" t="inlineStr">
        <is>
          <t>Tepside kaç fincan var? Türk kahvesi, yeşil çay, Nescafe, kahve kreması ve şeker paketlerini ayrı say. Kaç kumanda var? (Konaklama kontrolündeysen misafir eşyalarını değerlendirme.)</t>
        </is>
      </c>
    </row>
    <row r="232">
      <c r="A232" s="5" t="inlineStr">
        <is>
          <t>X2</t>
        </is>
      </c>
      <c r="B232" s="5" t="n">
        <v>10</v>
      </c>
      <c r="C232" s="5" t="inlineStr">
        <is>
          <t>Oda</t>
        </is>
      </c>
      <c r="D232" s="5" t="inlineStr">
        <is>
          <t>Oturma alanı</t>
        </is>
      </c>
      <c r="E232" s="5" t="inlineStr">
        <is>
          <t>Kanepenin karşısından çek: kanepe, cam sehpa, halı, mutfak nişinin perdesi ve kolon görünsün.</t>
        </is>
      </c>
      <c r="F232" s="5" t="inlineStr">
        <is>
          <t>Sofa yatak toplanmış, minderler düzgün (3. kişi kullandıysa çarşafı alınmış)
Cam sehpa lekesiz
Halı düz, saçaklar düzgün
Mutfak nişinin perdesi düzgün
Aplikler yanıyor
Dekoratif dallar yerinde</t>
        </is>
      </c>
      <c r="G232" s="5" t="inlineStr">
        <is>
          <t>Evet</t>
        </is>
      </c>
      <c r="H232" s="5" t="inlineStr">
        <is>
          <t>Evet</t>
        </is>
      </c>
      <c r="I232" s="5" t="inlineStr">
        <is>
          <t>Hayır</t>
        </is>
      </c>
      <c r="J232" t="inlineStr">
        <is>
          <t>Evet</t>
        </is>
      </c>
      <c r="K232" s="5" t="n">
        <v>1</v>
      </c>
      <c r="L232" s="5" t="inlineStr">
        <is>
          <t>Kanepede, sehpada kir, leke veya eşya var mı? Sofa yatak açık mı? Perdeler düzgün mü? (Konaklama kontrolündeysen misafir eşyalarını değerlendirme.)</t>
        </is>
      </c>
    </row>
    <row r="233">
      <c r="A233" s="5" t="inlineStr">
        <is>
          <t>X2</t>
        </is>
      </c>
      <c r="B233" s="5" t="n">
        <v>11</v>
      </c>
      <c r="C233" s="5" t="inlineStr">
        <is>
          <t>Oda</t>
        </is>
      </c>
      <c r="D233" s="5" t="inlineStr">
        <is>
          <t>Yemek alanı ve TV</t>
        </is>
      </c>
      <c r="E233" s="5" t="inlineStr">
        <is>
          <t>Yatağın ayak ucundan pencereye doğru çek: yuvarlak masa, iki berjer, lambader, perde ve duvardaki TV görünsün.</t>
        </is>
      </c>
      <c r="F233" s="5" t="inlineStr">
        <is>
          <t>Yuvarlak masa temiz
2 berjer düzgün, lekesiz
Lambader yanıyor
Perde ve tül düzgün, pencere kapalı
TV ekranı tozsuz</t>
        </is>
      </c>
      <c r="G233" s="5" t="inlineStr">
        <is>
          <t>Evet</t>
        </is>
      </c>
      <c r="H233" s="5" t="inlineStr">
        <is>
          <t>Evet</t>
        </is>
      </c>
      <c r="I233" s="5" t="inlineStr">
        <is>
          <t>Hayır</t>
        </is>
      </c>
      <c r="J233" t="inlineStr">
        <is>
          <t>Evet</t>
        </is>
      </c>
      <c r="K233" s="5" t="n">
        <v>1</v>
      </c>
      <c r="L233" s="5" t="inlineStr">
        <is>
          <t>Masada, berjerlerde kir, leke veya eşya var mı? Perde düzgün mü? TV ekranında toz var mı? (Konaklama kontrolündeysen misafir eşyalarını değerlendirme.)</t>
        </is>
      </c>
    </row>
    <row r="234">
      <c r="A234" s="5" t="inlineStr">
        <is>
          <t>X2</t>
        </is>
      </c>
      <c r="B234" s="5" t="n">
        <v>12</v>
      </c>
      <c r="C234" s="5" t="inlineStr">
        <is>
          <t>Mutfak</t>
        </is>
      </c>
      <c r="D234" s="5" t="inlineStr">
        <is>
          <t>Mutfak tezgahı</t>
        </is>
      </c>
      <c r="E234" s="5" t="inlineStr">
        <is>
          <t>Perdeyi aç, mutfak nişinin karşısından çek: ocak, evye, sünger standı, bulaşıklık, asma çöp kovası, buzdolabı ve üst raflar tek karede; solda banyo kapısı.</t>
        </is>
      </c>
      <c r="F234" s="5" t="inlineStr">
        <is>
          <t>2 gözlü ocak camı temiz
Evye ve batarya temiz
Fırça + sünger temiz
Bulaşıklık boş ve kuru
Asma çöp kovası boş
Buzdolabı kapağı kapalı ve temiz</t>
        </is>
      </c>
      <c r="G234" s="5" t="inlineStr">
        <is>
          <t>Evet</t>
        </is>
      </c>
      <c r="H234" s="5" t="inlineStr">
        <is>
          <t>Evet</t>
        </is>
      </c>
      <c r="I234" s="5" t="inlineStr">
        <is>
          <t>Hayır</t>
        </is>
      </c>
      <c r="J234" t="inlineStr">
        <is>
          <t>Evet</t>
        </is>
      </c>
      <c r="K234" s="5" t="n">
        <v>1</v>
      </c>
      <c r="L234" s="5" t="inlineStr">
        <is>
          <t>Ocakta yanık veya yağ lekesi var mı? Evyede bulaşık var mı? Bulaşıklıkta eşya var mı? Çöp kovası dolu mu? (Konaklama kontrolündeysen misafir eşyalarını değerlendirme.)</t>
        </is>
      </c>
    </row>
    <row r="235">
      <c r="A235" s="5" t="inlineStr">
        <is>
          <t>X2</t>
        </is>
      </c>
      <c r="B235" s="5" t="n">
        <v>13</v>
      </c>
      <c r="C235" s="5" t="inlineStr">
        <is>
          <t>Mutfak</t>
        </is>
      </c>
      <c r="D235" s="5" t="inlineStr">
        <is>
          <t>Çekmece 1: çatal-bıçak</t>
        </is>
      </c>
      <c r="E235" s="5" t="inlineStr">
        <is>
          <t>Çekmeceyi tamamen aç, feneri aç, tam üstten çek. Çatal-bıçaklar üst üste binmesin.</t>
        </is>
      </c>
      <c r="F235" s="5" t="inlineStr">
        <is>
          <t>Çatal, kaşık, bıçak ve çay kaşığı tam
Şarap açacağı yerinde
Setten olmayan parça yok
Kaşıklık altı kırıntısız</t>
        </is>
      </c>
      <c r="G235" s="5" t="inlineStr">
        <is>
          <t>Evet</t>
        </is>
      </c>
      <c r="H235" s="5" t="inlineStr">
        <is>
          <t>Hayır</t>
        </is>
      </c>
      <c r="I235" s="5" t="inlineStr">
        <is>
          <t>Evet</t>
        </is>
      </c>
      <c r="J235" t="inlineStr">
        <is>
          <t>Evet</t>
        </is>
      </c>
      <c r="K235" s="5" t="n">
        <v>1</v>
      </c>
      <c r="L235" s="5" t="inlineStr">
        <is>
          <t>Her bölmedeki yemek kaşığı, çatal, bıçak ve çay kaşığını ayrı say. Setle aynı olmayan parça var mı?</t>
        </is>
      </c>
    </row>
    <row r="236">
      <c r="A236" s="5" t="inlineStr">
        <is>
          <t>X2</t>
        </is>
      </c>
      <c r="B236" s="5" t="n">
        <v>14</v>
      </c>
      <c r="C236" s="5" t="inlineStr">
        <is>
          <t>Mutfak</t>
        </is>
      </c>
      <c r="D236" s="5" t="inlineStr">
        <is>
          <t>Çekmece 2: servis gereçleri</t>
        </is>
      </c>
      <c r="E236" s="5" t="inlineStr">
        <is>
          <t>Çekmeceyi tamamen aç, feneri aç, üstten çek.</t>
        </is>
      </c>
      <c r="F236" s="5" t="inlineStr">
        <is>
          <t>4 silikon servis gereci (kepçe, delikli kepçe, kaşık, spatula)
Çekmece içi kırıntısız</t>
        </is>
      </c>
      <c r="G236" s="5" t="inlineStr">
        <is>
          <t>Evet</t>
        </is>
      </c>
      <c r="H236" s="5" t="inlineStr">
        <is>
          <t>Hayır</t>
        </is>
      </c>
      <c r="I236" s="5" t="inlineStr">
        <is>
          <t>Evet</t>
        </is>
      </c>
      <c r="J236" t="inlineStr">
        <is>
          <t>Evet</t>
        </is>
      </c>
      <c r="K236" s="5" t="n">
        <v>1</v>
      </c>
      <c r="L236" s="5" t="inlineStr">
        <is>
          <t>Kaç silikon servis gereci var? Hangileri eksik?</t>
        </is>
      </c>
    </row>
    <row r="237">
      <c r="A237" s="5" t="inlineStr">
        <is>
          <t>X2</t>
        </is>
      </c>
      <c r="B237" s="5" t="n">
        <v>15</v>
      </c>
      <c r="C237" s="5" t="inlineStr">
        <is>
          <t>Mutfak</t>
        </is>
      </c>
      <c r="D237" s="5" t="inlineStr">
        <is>
          <t>Çekmece 3: bıçak seti</t>
        </is>
      </c>
      <c r="E237" s="5" t="inlineStr">
        <is>
          <t>Çekmeceyi tamamen aç; bıçak seti kutusu açık ve kesme tahtası görünsün.</t>
        </is>
      </c>
      <c r="F237" s="5" t="inlineStr">
        <is>
          <t>Bıçak seti tam (kutuda)
Kesme tahtası temiz</t>
        </is>
      </c>
      <c r="G237" s="5" t="inlineStr">
        <is>
          <t>Evet</t>
        </is>
      </c>
      <c r="H237" s="5" t="inlineStr">
        <is>
          <t>Hayır</t>
        </is>
      </c>
      <c r="I237" s="5" t="inlineStr">
        <is>
          <t>Evet</t>
        </is>
      </c>
      <c r="J237" t="inlineStr">
        <is>
          <t>Evet</t>
        </is>
      </c>
      <c r="K237" s="5" t="n">
        <v>1</v>
      </c>
      <c r="L237" s="5" t="inlineStr">
        <is>
          <t>Bıçak setinde boş yuva var mı? Kesme tahtasında leke veya küf var mı?</t>
        </is>
      </c>
    </row>
    <row r="238">
      <c r="A238" s="5" t="inlineStr">
        <is>
          <t>X2</t>
        </is>
      </c>
      <c r="B238" s="5" t="n">
        <v>16</v>
      </c>
      <c r="C238" s="5" t="inlineStr">
        <is>
          <t>Mutfak</t>
        </is>
      </c>
      <c r="D238" s="5" t="inlineStr">
        <is>
          <t>Açık raf: tabak ve kase</t>
        </is>
      </c>
      <c r="E238" s="5" t="inlineStr">
        <is>
          <t>Açık raf bölümünü önden çek; tabak ve kase yığınları yandan sayılabilsin.</t>
        </is>
      </c>
      <c r="F238" s="5" t="inlineStr">
        <is>
          <t>6 kase (zeytin yeşili)
4 küçük gri tabak
4 büyük düz tabak (zeytin yeşili)
4 büyük gri servis tabağı
Tabaklarda iz veya çatlak yok</t>
        </is>
      </c>
      <c r="G238" s="5" t="inlineStr">
        <is>
          <t>Evet</t>
        </is>
      </c>
      <c r="H238" s="5" t="inlineStr">
        <is>
          <t>Hayır</t>
        </is>
      </c>
      <c r="I238" s="5" t="inlineStr">
        <is>
          <t>Evet</t>
        </is>
      </c>
      <c r="J238" t="inlineStr">
        <is>
          <t>Evet</t>
        </is>
      </c>
      <c r="K238" s="5" t="n">
        <v>1</v>
      </c>
      <c r="L238" s="5" t="inlineStr">
        <is>
          <t>Kase, küçük tabak, büyük düz tabak ve gri tabak sayısını yığınlardan ayrı say. Çatlak veya leke var mı?</t>
        </is>
      </c>
    </row>
    <row r="239">
      <c r="A239" s="5" t="inlineStr">
        <is>
          <t>X2</t>
        </is>
      </c>
      <c r="B239" s="5" t="n">
        <v>17</v>
      </c>
      <c r="C239" s="5" t="inlineStr">
        <is>
          <t>Mutfak</t>
        </is>
      </c>
      <c r="D239" s="5" t="inlineStr">
        <is>
          <t>Üst dolap: kupa, fincan, bardak</t>
        </is>
      </c>
      <c r="E239" s="5" t="inlineStr">
        <is>
          <t>Kapağı aç, feneri aç; kupalar, fincan tabakları ve bardaklar yan yana görünsün.</t>
        </is>
      </c>
      <c r="F239" s="5" t="inlineStr">
        <is>
          <t>2 kupa + 3 küçük fincan
Fincan tabakları tam
Su bardakları, kısa bardaklar ve kadehler tam
5 küçük kase
Bardaklarda su lekesi yok</t>
        </is>
      </c>
      <c r="G239" s="5" t="inlineStr">
        <is>
          <t>Evet</t>
        </is>
      </c>
      <c r="H239" s="5" t="inlineStr">
        <is>
          <t>Hayır</t>
        </is>
      </c>
      <c r="I239" s="5" t="inlineStr">
        <is>
          <t>Evet</t>
        </is>
      </c>
      <c r="J239" t="inlineStr">
        <is>
          <t>Evet</t>
        </is>
      </c>
      <c r="K239" s="5" t="n">
        <v>1</v>
      </c>
      <c r="L239" s="5" t="inlineStr">
        <is>
          <t>Kupa, küçük fincan, fincan tabağı, su bardağı, kısa bardak, kadeh ve küçük kaseyi ayrı say. Bardaklarda leke var mı?</t>
        </is>
      </c>
    </row>
    <row r="240">
      <c r="A240" s="5" t="inlineStr">
        <is>
          <t>X2</t>
        </is>
      </c>
      <c r="B240" s="5" t="n">
        <v>18</v>
      </c>
      <c r="C240" s="5" t="inlineStr">
        <is>
          <t>Mutfak</t>
        </is>
      </c>
      <c r="D240" s="5" t="inlineStr">
        <is>
          <t>Evye altı: tencere-tava</t>
        </is>
      </c>
      <c r="E240" s="5" t="inlineStr">
        <is>
          <t>Kapakları aç, feneri aç; iki rafı da görecek şekilde çek.</t>
        </is>
      </c>
      <c r="F240" s="5" t="inlineStr">
        <is>
          <t>Tencere ve tava kapaklarıyla tam
Tava içi temiz
Kağıt havlu standı ve rulo var
Sifonda sızıntı yok</t>
        </is>
      </c>
      <c r="G240" s="5" t="inlineStr">
        <is>
          <t>Evet</t>
        </is>
      </c>
      <c r="H240" s="5" t="inlineStr">
        <is>
          <t>Hayır</t>
        </is>
      </c>
      <c r="I240" s="5" t="inlineStr">
        <is>
          <t>Evet</t>
        </is>
      </c>
      <c r="J240" t="inlineStr">
        <is>
          <t>Evet</t>
        </is>
      </c>
      <c r="K240" s="5" t="n">
        <v>1</v>
      </c>
      <c r="L240" s="5" t="inlineStr">
        <is>
          <t>Kaç tencere ve tava var, kapakları var mı? Tava içinde yağ kalıntısı var mı? Dolap tabanında su var mı?</t>
        </is>
      </c>
    </row>
    <row r="241">
      <c r="A241" s="5" t="inlineStr">
        <is>
          <t>X2</t>
        </is>
      </c>
      <c r="B241" s="5" t="n">
        <v>19</v>
      </c>
      <c r="C241" s="5" t="inlineStr">
        <is>
          <t>Mutfak</t>
        </is>
      </c>
      <c r="D241" s="5" t="inlineStr">
        <is>
          <t>Mini buzdolabı</t>
        </is>
      </c>
      <c r="E241" s="5" t="inlineStr">
        <is>
          <t>Kapağı tamamen aç; içi ve kapak rafları görünsün.</t>
        </is>
      </c>
      <c r="F241" s="5" t="inlineStr">
        <is>
          <t>Raflar ve kapak rafları temiz
Misafirden kalan yiyecek/içecek yok
Koku ve buzlanma yok
Kapak rafındaki su şişeleri tam</t>
        </is>
      </c>
      <c r="G241" s="5" t="inlineStr">
        <is>
          <t>Evet</t>
        </is>
      </c>
      <c r="H241" s="5" t="inlineStr">
        <is>
          <t>Hayır</t>
        </is>
      </c>
      <c r="I241" s="5" t="inlineStr">
        <is>
          <t>Hayır</t>
        </is>
      </c>
      <c r="J241" t="inlineStr">
        <is>
          <t>Evet</t>
        </is>
      </c>
      <c r="K241" s="5" t="n">
        <v>1</v>
      </c>
      <c r="L241" s="5" t="inlineStr">
        <is>
          <t>Buzdolabında misafirden kalan yiyecek/içecek var mı? Raflarda leke veya buzlanma var mı?</t>
        </is>
      </c>
    </row>
    <row r="242">
      <c r="A242" s="5" t="inlineStr">
        <is>
          <t>X2</t>
        </is>
      </c>
      <c r="B242" s="5" t="n">
        <v>20</v>
      </c>
      <c r="C242" s="5" t="inlineStr">
        <is>
          <t>Oda</t>
        </is>
      </c>
      <c r="D242" s="5" t="inlineStr">
        <is>
          <t>Genel oda</t>
        </is>
      </c>
      <c r="E242" s="5" t="inlineStr">
        <is>
          <t>Kapı tarafından tüm odayı tek geniş karede çek. Tüm ışıklar açık.</t>
        </is>
      </c>
      <c r="F242" s="5" t="inlineStr">
        <is>
          <t>Klima çalışıyor
Oda çöp kovası boş
Zemin temiz
Duvarda iz/sıyrık yok
Tüm aydınlatma yanıyor
Duman dedektörünün ışığı yanıp sönüyor</t>
        </is>
      </c>
      <c r="G242" s="5" t="inlineStr">
        <is>
          <t>Evet</t>
        </is>
      </c>
      <c r="H242" s="5" t="inlineStr">
        <is>
          <t>Evet</t>
        </is>
      </c>
      <c r="I242" s="5" t="inlineStr">
        <is>
          <t>Hayır</t>
        </is>
      </c>
      <c r="J242" t="inlineStr">
        <is>
          <t>Evet</t>
        </is>
      </c>
      <c r="K242" s="5" t="n">
        <v>1</v>
      </c>
      <c r="L242" s="5" t="inlineStr">
        <is>
          <t>Zeminde kir veya çöp var mı? Açıkta kablo var mı? Duvarda iz var mı? Yanmayan lamba var mı? (Konaklama kontrolündeysen misafir eşyalarını değerlendirme.)</t>
        </is>
      </c>
    </row>
    <row r="243">
      <c r="A243" s="5" t="inlineStr">
        <is>
          <t>X3</t>
        </is>
      </c>
      <c r="B243" s="5" t="n">
        <v>1</v>
      </c>
      <c r="C243" s="5" t="inlineStr">
        <is>
          <t>Giriş</t>
        </is>
      </c>
      <c r="D243" s="5" t="inlineStr">
        <is>
          <t>Giriş ve koridor</t>
        </is>
      </c>
      <c r="E243" s="5" t="inlineStr">
        <is>
          <t>Kapıdan girip koridoru ve kemeri tek karede çek. Aplikler açık olsun.</t>
        </is>
      </c>
      <c r="F243" s="5" t="inlineStr">
        <is>
          <t>Kapı, kilit ve kart okuyucu çalışıyor
Süpürgelik ve duvar dipleri tozsuz
Koridor aplikleri yanıyor
Zeminde leke, saç, kum yok
Koridor tavan armatürü yanıyor</t>
        </is>
      </c>
      <c r="G243" s="5" t="inlineStr">
        <is>
          <t>Evet</t>
        </is>
      </c>
      <c r="H243" s="5" t="inlineStr">
        <is>
          <t>Evet</t>
        </is>
      </c>
      <c r="I243" s="5" t="inlineStr">
        <is>
          <t>Hayır</t>
        </is>
      </c>
      <c r="J243" t="inlineStr">
        <is>
          <t>Evet</t>
        </is>
      </c>
      <c r="K243" s="5" t="n">
        <v>1</v>
      </c>
      <c r="L243" s="5" t="inlineStr">
        <is>
          <t>Zeminde görünür kir, saç, çöp var mı? Yanmayan aplik var mı? (Konaklama kontrolündeysen misafir eşyalarını değerlendirme.)</t>
        </is>
      </c>
    </row>
    <row r="244">
      <c r="A244" s="5" t="inlineStr">
        <is>
          <t>X3</t>
        </is>
      </c>
      <c r="B244" s="5" t="n">
        <v>2</v>
      </c>
      <c r="C244" s="5" t="inlineStr">
        <is>
          <t>Banyo</t>
        </is>
      </c>
      <c r="D244" s="5" t="inlineStr">
        <is>
          <t>Lavabo ve tezgah</t>
        </is>
      </c>
      <c r="E244" s="5" t="inlineStr">
        <is>
          <t>Lavabo, batarya, ayna ve tezgah altı rafı aynı karede olacak şekilde çek.</t>
        </is>
      </c>
      <c r="F244" s="5" t="inlineStr">
        <is>
          <t>Lavabo içi ve gider temiz
Batarya parlak, su lekesi yok
Sıvı sabun dolu
Ayna lekesiz, ışığı yanıyor
Raftaki havlular katlı ve tam
El havlusu halkada
LED ayna yanıyor, ayna yüzeyinde leke yok</t>
        </is>
      </c>
      <c r="G244" s="5" t="inlineStr">
        <is>
          <t>Evet</t>
        </is>
      </c>
      <c r="H244" s="5" t="inlineStr">
        <is>
          <t>Evet</t>
        </is>
      </c>
      <c r="I244" s="5" t="inlineStr">
        <is>
          <t>Hayır</t>
        </is>
      </c>
      <c r="J244" t="inlineStr">
        <is>
          <t>Evet</t>
        </is>
      </c>
      <c r="K244" s="5" t="n">
        <v>1</v>
      </c>
      <c r="L244" s="5" t="inlineStr">
        <is>
          <t>Lavaboda kıl, sabun kalıntısı veya su lekesi var mı? Aynada leke var mı? El havlusu halkada mı? Raftaki havlular düzgün katlı mı? (Konaklama kontrolündeysen misafir eşyalarını değerlendirme.)</t>
        </is>
      </c>
    </row>
    <row r="245">
      <c r="A245" s="5" t="inlineStr">
        <is>
          <t>X3</t>
        </is>
      </c>
      <c r="B245" s="5" t="n">
        <v>3</v>
      </c>
      <c r="C245" s="5" t="inlineStr">
        <is>
          <t>Banyo</t>
        </is>
      </c>
      <c r="D245" s="5" t="inlineStr">
        <is>
          <t>WC</t>
        </is>
      </c>
      <c r="E245" s="5" t="inlineStr">
        <is>
          <t>Klozet kapağı açık, tuvalet kağıdı ve yedek rulo görünecek şekilde çek.</t>
        </is>
      </c>
      <c r="F245" s="5" t="inlineStr">
        <is>
          <t>Klozet içi, kapak altı ve dış yüzey temiz
Rezervuar paneli parmak izsiz
WC fırçası temiz
Tuvalet kağıdı takılı + yedek rulo
Çöp kovası boş, poşet yeni</t>
        </is>
      </c>
      <c r="G245" s="5" t="inlineStr">
        <is>
          <t>Evet</t>
        </is>
      </c>
      <c r="H245" s="5" t="inlineStr">
        <is>
          <t>Evet</t>
        </is>
      </c>
      <c r="I245" s="5" t="inlineStr">
        <is>
          <t>Hayır</t>
        </is>
      </c>
      <c r="J245" t="inlineStr">
        <is>
          <t>Evet</t>
        </is>
      </c>
      <c r="K245" s="5" t="n">
        <v>1</v>
      </c>
      <c r="L245" s="5" t="inlineStr">
        <is>
          <t>Klozet içinde veya kenarında kir var mı? Tuvalet kağıdı takılı mı, yedek rulo var mı? Çöp kovası boş mu? (Konaklama kontrolündeysen misafir eşyalarını değerlendirme.)</t>
        </is>
      </c>
    </row>
    <row r="246">
      <c r="A246" s="5" t="inlineStr">
        <is>
          <t>X3</t>
        </is>
      </c>
      <c r="B246" s="5" t="n">
        <v>4</v>
      </c>
      <c r="C246" s="5" t="inlineStr">
        <is>
          <t>Banyo</t>
        </is>
      </c>
      <c r="D246" s="5" t="inlineStr">
        <is>
          <t>Duş</t>
        </is>
      </c>
      <c r="E246" s="5" t="inlineStr">
        <is>
          <t>Cam kapıyı ışığa karşı çek (kireç böyle görünür), sonra dispenserleri ve gideri göster.</t>
        </is>
      </c>
      <c r="F246" s="5" t="inlineStr">
        <is>
          <t>Cam kapıda kireç ve su lekesi yok
Duş seti askıda
3 dispenser dolu
Duş sepeti boş
Giderde saç yok</t>
        </is>
      </c>
      <c r="G246" s="5" t="inlineStr">
        <is>
          <t>Evet</t>
        </is>
      </c>
      <c r="H246" s="5" t="inlineStr">
        <is>
          <t>Evet</t>
        </is>
      </c>
      <c r="I246" s="5" t="inlineStr">
        <is>
          <t>Hayır</t>
        </is>
      </c>
      <c r="J246" t="inlineStr">
        <is>
          <t>Evet</t>
        </is>
      </c>
      <c r="K246" s="5" t="n">
        <v>1</v>
      </c>
      <c r="L246" s="5" t="inlineStr">
        <is>
          <t>Duş camında kireç veya su lekesi var mı? Giderde saç var mı? Dispenserler yerinde mi? (Konaklama kontrolündeysen misafir eşyalarını değerlendirme.)</t>
        </is>
      </c>
    </row>
    <row r="247">
      <c r="A247" s="5" t="inlineStr">
        <is>
          <t>X3</t>
        </is>
      </c>
      <c r="B247" s="5" t="n">
        <v>5</v>
      </c>
      <c r="C247" s="5" t="inlineStr">
        <is>
          <t>Oda</t>
        </is>
      </c>
      <c r="D247" s="5" t="inlineStr">
        <is>
          <t>Gardırop</t>
        </is>
      </c>
      <c r="E247" s="5" t="inlineStr">
        <is>
          <t>İki kapağı da aç, askıları ve üst rafı tek karede çek.</t>
        </is>
      </c>
      <c r="F247" s="5" t="inlineStr">
        <is>
          <t>Askı sayısı tam
Üst rafta yedek battaniye katlı
Tabanda unutulmuş eşya yok
Alttaki kutu yerinde</t>
        </is>
      </c>
      <c r="G247" s="5" t="inlineStr">
        <is>
          <t>Evet</t>
        </is>
      </c>
      <c r="H247" s="5" t="inlineStr">
        <is>
          <t>Hayır</t>
        </is>
      </c>
      <c r="I247" s="5" t="inlineStr">
        <is>
          <t>Evet</t>
        </is>
      </c>
      <c r="J247" t="inlineStr">
        <is>
          <t>Evet</t>
        </is>
      </c>
      <c r="K247" s="5" t="n">
        <v>1</v>
      </c>
      <c r="L247" s="5" t="inlineStr">
        <is>
          <t>Kaç askı var? Dolapta misafirden kalmış eşya var mı?</t>
        </is>
      </c>
    </row>
    <row r="248">
      <c r="A248" s="5" t="inlineStr">
        <is>
          <t>X3</t>
        </is>
      </c>
      <c r="B248" s="5" t="n">
        <v>6</v>
      </c>
      <c r="C248" s="5" t="inlineStr">
        <is>
          <t>Mutfak</t>
        </is>
      </c>
      <c r="D248" s="5" t="inlineStr">
        <is>
          <t>Mutfak tezgahı</t>
        </is>
      </c>
      <c r="E248" s="5" t="inlineStr">
        <is>
          <t>Ocak, evye, kettle ve bulaşıklık tek karede olacak şekilde tezgahın karşısından çek.</t>
        </is>
      </c>
      <c r="F248" s="5" t="inlineStr">
        <is>
          <t>Ocak camı temiz
Evye ve batarya temiz
Fırça + sünger temiz
Bulaşıklık boş ve kuru
Kettle boş, kablosu toplanmış
Yağ ve tuz-biber-kürdan dolu
Asma çöp kovası boş
Dolap altı spotları ve davlumbaz ışığı yanıyor</t>
        </is>
      </c>
      <c r="G248" s="5" t="inlineStr">
        <is>
          <t>Evet</t>
        </is>
      </c>
      <c r="H248" s="5" t="inlineStr">
        <is>
          <t>Evet</t>
        </is>
      </c>
      <c r="I248" s="5" t="inlineStr">
        <is>
          <t>Hayır</t>
        </is>
      </c>
      <c r="J248" t="inlineStr">
        <is>
          <t>Evet</t>
        </is>
      </c>
      <c r="K248" s="5" t="n">
        <v>1</v>
      </c>
      <c r="L248" s="5" t="inlineStr">
        <is>
          <t>Ocakta yanık veya yağ lekesi var mı? Evyede bulaşık var mı? Bulaşıklıkta eşya var mı? Kettle kablosu veya başka bir kablo açıkta mı? (Konaklama kontrolündeysen misafir eşyalarını değerlendirme.)</t>
        </is>
      </c>
    </row>
    <row r="249">
      <c r="A249" s="5" t="inlineStr">
        <is>
          <t>X3</t>
        </is>
      </c>
      <c r="B249" s="5" t="n">
        <v>7</v>
      </c>
      <c r="C249" s="5" t="inlineStr">
        <is>
          <t>Mutfak</t>
        </is>
      </c>
      <c r="D249" s="5" t="inlineStr">
        <is>
          <t>Çekmece 1: çatal-bıçak</t>
        </is>
      </c>
      <c r="E249" s="5" t="inlineStr">
        <is>
          <t>Çekmeceyi tamamen aç, feneri aç, tam üstten çek. Çatal-bıçaklar üst üste binmesin.</t>
        </is>
      </c>
      <c r="F249" s="5" t="inlineStr">
        <is>
          <t>Çatal, kaşık, bıçak, çay kaşığı tam
Şarap açacağı yerinde
Setten olmayan parça yok
Kaşıklık altı kırıntısız</t>
        </is>
      </c>
      <c r="G249" s="5" t="inlineStr">
        <is>
          <t>Evet</t>
        </is>
      </c>
      <c r="H249" s="5" t="inlineStr">
        <is>
          <t>Hayır</t>
        </is>
      </c>
      <c r="I249" s="5" t="inlineStr">
        <is>
          <t>Evet</t>
        </is>
      </c>
      <c r="J249" t="inlineStr">
        <is>
          <t>Evet</t>
        </is>
      </c>
      <c r="K249" s="5" t="n">
        <v>1</v>
      </c>
      <c r="L249" s="5" t="inlineStr">
        <is>
          <t>Her bölmedeki çatal, kaşık, bıçak ve çay kaşığını ayrı say. Setle aynı olmayan (farklı renk/model) parça var mı?</t>
        </is>
      </c>
    </row>
    <row r="250">
      <c r="A250" s="5" t="inlineStr">
        <is>
          <t>X3</t>
        </is>
      </c>
      <c r="B250" s="5" t="n">
        <v>8</v>
      </c>
      <c r="C250" s="5" t="inlineStr">
        <is>
          <t>Mutfak</t>
        </is>
      </c>
      <c r="D250" s="5" t="inlineStr">
        <is>
          <t>Çekmece 2: servis gereçleri</t>
        </is>
      </c>
      <c r="E250" s="5" t="inlineStr">
        <is>
          <t>Çekmeceyi tamamen aç, feneri aç, üstten çek.</t>
        </is>
      </c>
      <c r="F250" s="5" t="inlineStr">
        <is>
          <t>4 silikon servis gereci
Çekmece içi kırıntısız</t>
        </is>
      </c>
      <c r="G250" s="5" t="inlineStr">
        <is>
          <t>Evet</t>
        </is>
      </c>
      <c r="H250" s="5" t="inlineStr">
        <is>
          <t>Hayır</t>
        </is>
      </c>
      <c r="I250" s="5" t="inlineStr">
        <is>
          <t>Evet</t>
        </is>
      </c>
      <c r="J250" t="inlineStr">
        <is>
          <t>Evet</t>
        </is>
      </c>
      <c r="K250" s="5" t="n">
        <v>1</v>
      </c>
      <c r="L250" s="5" t="inlineStr">
        <is>
          <t>Kaç silikon servis gereci var?</t>
        </is>
      </c>
    </row>
    <row r="251">
      <c r="A251" s="5" t="inlineStr">
        <is>
          <t>X3</t>
        </is>
      </c>
      <c r="B251" s="5" t="n">
        <v>9</v>
      </c>
      <c r="C251" s="5" t="inlineStr">
        <is>
          <t>Mutfak</t>
        </is>
      </c>
      <c r="D251" s="5" t="inlineStr">
        <is>
          <t>Çekmece 3: bıçak seti</t>
        </is>
      </c>
      <c r="E251" s="5" t="inlineStr">
        <is>
          <t>Çekmeceyi tamamen aç, bıçak seti ve kesme tahtası görünsün.</t>
        </is>
      </c>
      <c r="F251" s="5" t="inlineStr">
        <is>
          <t>Bıçak seti tam
Kesme tahtası temiz</t>
        </is>
      </c>
      <c r="G251" s="5" t="inlineStr">
        <is>
          <t>Evet</t>
        </is>
      </c>
      <c r="H251" s="5" t="inlineStr">
        <is>
          <t>Hayır</t>
        </is>
      </c>
      <c r="I251" s="5" t="inlineStr">
        <is>
          <t>Evet</t>
        </is>
      </c>
      <c r="J251" t="inlineStr">
        <is>
          <t>Evet</t>
        </is>
      </c>
      <c r="K251" s="5" t="n">
        <v>1</v>
      </c>
      <c r="L251" s="5" t="inlineStr">
        <is>
          <t>Bıçak seti ve kesme tahtası yerinde mi? Kesme tahtasında leke veya küf var mı?</t>
        </is>
      </c>
    </row>
    <row r="252">
      <c r="A252" s="5" t="inlineStr">
        <is>
          <t>X3</t>
        </is>
      </c>
      <c r="B252" s="5" t="n">
        <v>10</v>
      </c>
      <c r="C252" s="5" t="inlineStr">
        <is>
          <t>Mutfak</t>
        </is>
      </c>
      <c r="D252" s="5" t="inlineStr">
        <is>
          <t>Üst dolap: bardak ve kupa</t>
        </is>
      </c>
      <c r="E252" s="5" t="inlineStr">
        <is>
          <t>Kapağı aç, feneri aç. Bardakları üst üste değil yan yana dizip önden çek.</t>
        </is>
      </c>
      <c r="F252" s="5" t="inlineStr">
        <is>
          <t>Kadeh, bardak, kupa sayısı tam
Bardaklarda su lekesi yok
Kupalarda çay/kahve izi yok</t>
        </is>
      </c>
      <c r="G252" s="5" t="inlineStr">
        <is>
          <t>Evet</t>
        </is>
      </c>
      <c r="H252" s="5" t="inlineStr">
        <is>
          <t>Hayır</t>
        </is>
      </c>
      <c r="I252" s="5" t="inlineStr">
        <is>
          <t>Evet</t>
        </is>
      </c>
      <c r="J252" t="inlineStr">
        <is>
          <t>Evet</t>
        </is>
      </c>
      <c r="K252" s="5" t="n">
        <v>1</v>
      </c>
      <c r="L252" s="5" t="inlineStr">
        <is>
          <t>Şarap kadehi, su bardağı, kupa, küçük tabak, ahşap kase ve sos kasesi say. Bardaklarda leke var mı?</t>
        </is>
      </c>
    </row>
    <row r="253">
      <c r="A253" s="5" t="inlineStr">
        <is>
          <t>X3</t>
        </is>
      </c>
      <c r="B253" s="5" t="n">
        <v>11</v>
      </c>
      <c r="C253" s="5" t="inlineStr">
        <is>
          <t>Mutfak</t>
        </is>
      </c>
      <c r="D253" s="5" t="inlineStr">
        <is>
          <t>Evye altı: tencere-tava</t>
        </is>
      </c>
      <c r="E253" s="5" t="inlineStr">
        <is>
          <t>Kapağı aç, feneri aç, iki rafı da görecek şekilde çek.</t>
        </is>
      </c>
      <c r="F253" s="5" t="inlineStr">
        <is>
          <t>Tava ve tencereler kapaklarıyla tam
Tava içi temiz
Nihale yerinde
Sifonda sızıntı yok</t>
        </is>
      </c>
      <c r="G253" s="5" t="inlineStr">
        <is>
          <t>Evet</t>
        </is>
      </c>
      <c r="H253" s="5" t="inlineStr">
        <is>
          <t>Hayır</t>
        </is>
      </c>
      <c r="I253" s="5" t="inlineStr">
        <is>
          <t>Evet</t>
        </is>
      </c>
      <c r="J253" t="inlineStr">
        <is>
          <t>Evet</t>
        </is>
      </c>
      <c r="K253" s="5" t="n">
        <v>1</v>
      </c>
      <c r="L253" s="5" t="inlineStr">
        <is>
          <t>Kaç tava ve kaç tencere var, kapakları var mı? Tava içinde yağ kalıntısı görünüyor mu? Dolap tabanında su/nem var mı?</t>
        </is>
      </c>
    </row>
    <row r="254">
      <c r="A254" s="5" t="inlineStr">
        <is>
          <t>X3</t>
        </is>
      </c>
      <c r="B254" s="5" t="n">
        <v>12</v>
      </c>
      <c r="C254" s="5" t="inlineStr">
        <is>
          <t>Mutfak</t>
        </is>
      </c>
      <c r="D254" s="5" t="inlineStr">
        <is>
          <t>TV ünitesi alt dolap: tabaklar</t>
        </is>
      </c>
      <c r="E254" s="5" t="inlineStr">
        <is>
          <t>İki kapağı da aç. Tabak yığınlarını önden/yandan çek ki tek tek sayılabilsin.</t>
        </is>
      </c>
      <c r="F254" s="5" t="inlineStr">
        <is>
          <t>4'lü tabak ve kase setleri tam
Kağıt havlu standı ve rulo var
Tabaklarda iz veya çatlak yok</t>
        </is>
      </c>
      <c r="G254" s="5" t="inlineStr">
        <is>
          <t>Evet</t>
        </is>
      </c>
      <c r="H254" s="5" t="inlineStr">
        <is>
          <t>Hayır</t>
        </is>
      </c>
      <c r="I254" s="5" t="inlineStr">
        <is>
          <t>Evet</t>
        </is>
      </c>
      <c r="J254" t="inlineStr">
        <is>
          <t>Evet</t>
        </is>
      </c>
      <c r="K254" s="5" t="n">
        <v>1</v>
      </c>
      <c r="L254" s="5" t="inlineStr">
        <is>
          <t>Yığınlardaki büyük tabak, küçük tabak, çukur tabak ve kase sayısını say. Görünmüyorsa null ver.</t>
        </is>
      </c>
    </row>
    <row r="255">
      <c r="A255" s="5" t="inlineStr">
        <is>
          <t>X3</t>
        </is>
      </c>
      <c r="B255" s="5" t="n">
        <v>13</v>
      </c>
      <c r="C255" s="5" t="inlineStr">
        <is>
          <t>Mutfak</t>
        </is>
      </c>
      <c r="D255" s="5" t="inlineStr">
        <is>
          <t>Mini buzdolabı</t>
        </is>
      </c>
      <c r="E255" s="5" t="inlineStr">
        <is>
          <t>Kapağı tamamen aç, içi ve kapak rafları görünsün.</t>
        </is>
      </c>
      <c r="F255" s="5" t="inlineStr">
        <is>
          <t>Raflar ve kapak rafları temiz
Misafirden kalan yiyecek/içecek yok
Koku ve buzlanma yok</t>
        </is>
      </c>
      <c r="G255" s="5" t="inlineStr">
        <is>
          <t>Evet</t>
        </is>
      </c>
      <c r="H255" s="5" t="inlineStr">
        <is>
          <t>Hayır</t>
        </is>
      </c>
      <c r="I255" s="5" t="inlineStr">
        <is>
          <t>Hayır</t>
        </is>
      </c>
      <c r="J255" t="inlineStr">
        <is>
          <t>Evet</t>
        </is>
      </c>
      <c r="K255" s="5" t="n">
        <v>1</v>
      </c>
      <c r="L255" s="5" t="inlineStr">
        <is>
          <t>Buzdolabında misafirden kalan yiyecek/içecek var mı? Raflarda leke veya buzlanma var mı?</t>
        </is>
      </c>
    </row>
    <row r="256">
      <c r="A256" s="5" t="inlineStr">
        <is>
          <t>X3</t>
        </is>
      </c>
      <c r="B256" s="5" t="n">
        <v>14</v>
      </c>
      <c r="C256" s="5" t="inlineStr">
        <is>
          <t>Oda</t>
        </is>
      </c>
      <c r="D256" s="5" t="inlineStr">
        <is>
          <t>TV ve ünite</t>
        </is>
      </c>
      <c r="E256" s="5" t="inlineStr">
        <is>
          <t>TV ve ünite raflarını önden çek.</t>
        </is>
      </c>
      <c r="F256" s="5" t="inlineStr">
        <is>
          <t>TV ekranı tozsuz
Ünite rafları tozsuz</t>
        </is>
      </c>
      <c r="G256" s="5" t="inlineStr">
        <is>
          <t>Evet</t>
        </is>
      </c>
      <c r="H256" s="5" t="inlineStr">
        <is>
          <t>Evet</t>
        </is>
      </c>
      <c r="I256" s="5" t="inlineStr">
        <is>
          <t>Hayır</t>
        </is>
      </c>
      <c r="J256" t="inlineStr">
        <is>
          <t>Evet</t>
        </is>
      </c>
      <c r="K256" s="5" t="n">
        <v>1</v>
      </c>
      <c r="L256" s="5" t="inlineStr">
        <is>
          <t>Ekranda veya raflarda görünür toz ya da eşya var mı? (Konaklama kontrolündeysen misafir eşyalarını değerlendirme.)</t>
        </is>
      </c>
    </row>
    <row r="257">
      <c r="A257" s="5" t="inlineStr">
        <is>
          <t>X3</t>
        </is>
      </c>
      <c r="B257" s="5" t="n">
        <v>15</v>
      </c>
      <c r="C257" s="5" t="inlineStr">
        <is>
          <t>Oda</t>
        </is>
      </c>
      <c r="D257" s="5" t="inlineStr">
        <is>
          <t>Yatak ve komodinler</t>
        </is>
      </c>
      <c r="E257" s="5" t="inlineStr">
        <is>
          <t>1. kare: yatağı ayak ucundan tam çek. 2. kare: komodin tarafı yan kenar ve yatak altı.</t>
        </is>
      </c>
      <c r="F257" s="5" t="inlineStr">
        <is>
          <t>Çarşaf dört köşeden gergin ve sıkıştırılmış
Yastıklar tam, kılıflar lekesiz
Yatak altında eşya/toz yok
Komodin çekmeceleri boş
Prizler ve aplikler çalışıyor
İki başucu apliği yanıyor; başlıktaki anahtar-priz grupları sağlam</t>
        </is>
      </c>
      <c r="G257" s="5" t="inlineStr">
        <is>
          <t>Evet</t>
        </is>
      </c>
      <c r="H257" s="5" t="inlineStr">
        <is>
          <t>Evet</t>
        </is>
      </c>
      <c r="I257" s="5" t="inlineStr">
        <is>
          <t>Hayır</t>
        </is>
      </c>
      <c r="J257" t="inlineStr">
        <is>
          <t>Evet</t>
        </is>
      </c>
      <c r="K257" s="5" t="n">
        <v>2</v>
      </c>
      <c r="L257" s="5" t="inlineStr">
        <is>
          <t>Yatak düzgün yapılmış mı? Çarşaf veya örtü kenardan sarkıyor ya da buruşuk mu? Kaç yastık var? Yastık kılıflarında leke var mı? Yatak altında eşya var mı? (Konaklama kontrolündeysen misafir eşyalarını değerlendirme.)</t>
        </is>
      </c>
    </row>
    <row r="258">
      <c r="A258" s="5" t="inlineStr">
        <is>
          <t>X3</t>
        </is>
      </c>
      <c r="B258" s="5" t="n">
        <v>16</v>
      </c>
      <c r="C258" s="5" t="inlineStr">
        <is>
          <t>Oda</t>
        </is>
      </c>
      <c r="D258" s="5" t="inlineStr">
        <is>
          <t>Pencere, oturma ve ikram tepsisi</t>
        </is>
      </c>
      <c r="E258" s="5" t="inlineStr">
        <is>
          <t>Pencereye doğru geniş açıyla çek; masa, iki koltuk, tepsi ve kumandalar görünsün.</t>
        </is>
      </c>
      <c r="F258" s="5" t="inlineStr">
        <is>
          <t>Perde ve tül düzgün
Masa temiz
Koltuklar temiz
İkram tepsisi tam
TV ve klima kumandası yerinde</t>
        </is>
      </c>
      <c r="G258" s="5" t="inlineStr">
        <is>
          <t>Evet</t>
        </is>
      </c>
      <c r="H258" s="5" t="inlineStr">
        <is>
          <t>Evet</t>
        </is>
      </c>
      <c r="I258" s="5" t="inlineStr">
        <is>
          <t>Hayır</t>
        </is>
      </c>
      <c r="J258" t="inlineStr">
        <is>
          <t>Evet</t>
        </is>
      </c>
      <c r="K258" s="5" t="n">
        <v>1</v>
      </c>
      <c r="L258" s="5" t="inlineStr">
        <is>
          <t>Perdeler düzgün mü? Masada kir veya eşya var mı? Kaç kumanda var? İkram tepsisi yerinde mi? (Konaklama kontrolündeysen misafir eşyalarını değerlendirme.)</t>
        </is>
      </c>
    </row>
    <row r="259">
      <c r="A259" s="5" t="inlineStr">
        <is>
          <t>X3</t>
        </is>
      </c>
      <c r="B259" s="5" t="n">
        <v>17</v>
      </c>
      <c r="C259" s="5" t="inlineStr">
        <is>
          <t>Oda</t>
        </is>
      </c>
      <c r="D259" s="5" t="inlineStr">
        <is>
          <t>Genel oda</t>
        </is>
      </c>
      <c r="E259" s="5" t="inlineStr">
        <is>
          <t>Kapı tarafından tüm odayı tek geniş karede çek. Tüm ışıklar açık.</t>
        </is>
      </c>
      <c r="F259" s="5" t="inlineStr">
        <is>
          <t>Klima çalışıyor
Oda çöp kovası boş
Zemin temiz
Duvarda iz/sıyrık yok
Tüm aydınlatma yanıyor</t>
        </is>
      </c>
      <c r="G259" s="5" t="inlineStr">
        <is>
          <t>Evet</t>
        </is>
      </c>
      <c r="H259" s="5" t="inlineStr">
        <is>
          <t>Evet</t>
        </is>
      </c>
      <c r="I259" s="5" t="inlineStr">
        <is>
          <t>Hayır</t>
        </is>
      </c>
      <c r="J259" t="inlineStr">
        <is>
          <t>Evet</t>
        </is>
      </c>
      <c r="K259" s="5" t="n">
        <v>1</v>
      </c>
      <c r="L259" s="5" t="inlineStr">
        <is>
          <t>Zeminde kir veya çöp var mı? Açıkta kablo var mı? Duvarda iz veya sıyrık görünüyor mu? Genel düzen nasıl? (Konaklama kontrolündeysen misafir eşyalarını değerlendirme.)</t>
        </is>
      </c>
    </row>
  </sheetData>
  <dataValidations count="2">
    <dataValidation sqref="C2:C400" showDropDown="0" showInputMessage="0" showErrorMessage="0" allowBlank="1" type="list">
      <formula1>"Giriş,Banyo,Mutfak,Oda,Balkon/Teras"</formula1>
    </dataValidation>
    <dataValidation sqref="G2:J400" showDropDown="0" showInputMessage="0" showErrorMessage="0" allowBlank="1" type="list">
      <formula1>"Evet,Hayır"</formula1>
    </dataValidation>
  </dataValidations>
  <pageMargins left="0.75" right="0.75" top="1" bottom="1" header="0.5" footer="0.5"/>
  <headerFooter>
    <oddHeader/>
    <oddFooter>&amp;C&amp;"Aptos"&amp;6 &amp;K626469_x000d_# General</oddFooter>
    <evenHeader/>
    <evenFooter/>
    <firstHeader/>
    <firstFooter/>
  </headerFooter>
  <extLst>
    <ext xmlns:x14="http://schemas.microsoft.com/office/spreadsheetml/2009/9/main" uri="{CCE6A557-97BC-4b89-ADB6-D9C93CAAB3DF}">
      <x14:dataValidations xmlns:xm="http://schemas.microsoft.com/office/excel/2006/main" count="1">
        <x14:dataValidation type="list" allowBlank="1">
          <x14:formula1>
            <xm:f>'Oda Tipleri'!$A$2:$A$40</xm:f>
          </x14:formula1>
          <xm:sqref>A2:A400</xm:sqref>
        </x14:dataValidation>
      </x14:dataValidations>
    </ext>
  </extLst>
</worksheet>
</file>

<file path=xl/worksheets/sheet7.xml><?xml version="1.0" encoding="utf-8"?>
<worksheet xmlns="http://schemas.openxmlformats.org/spreadsheetml/2006/main">
  <sheetPr>
    <outlinePr summaryBelow="1" summaryRight="1"/>
    <pageSetUpPr/>
  </sheetPr>
  <dimension ref="A1:I209"/>
  <sheetViews>
    <sheetView workbookViewId="0">
      <pane ySplit="1" topLeftCell="A2" activePane="bottomLeft" state="frozen"/>
      <selection pane="bottomLeft" activeCell="A1" sqref="A1"/>
    </sheetView>
  </sheetViews>
  <sheetFormatPr baseColWidth="8" defaultRowHeight="14.4"/>
  <cols>
    <col width="20" customWidth="1" min="1" max="2"/>
    <col width="34" customWidth="1" min="3" max="3"/>
    <col width="16" customWidth="1" min="4" max="4"/>
    <col width="30" customWidth="1" min="5" max="5"/>
    <col width="40" customWidth="1" min="6" max="6"/>
    <col width="11" customWidth="1" min="7" max="7"/>
    <col width="26" customWidth="1" min="8" max="8"/>
    <col width="34" customWidth="1" min="9" max="9"/>
  </cols>
  <sheetData>
    <row r="1" ht="30" customHeight="1">
      <c r="A1" s="4" t="inlineStr">
        <is>
          <t>Tesis</t>
        </is>
      </c>
      <c r="B1" s="4" t="inlineStr">
        <is>
          <t>Kalem Kodu</t>
        </is>
      </c>
      <c r="C1" s="4" t="inlineStr">
        <is>
          <t>Kalem Adı</t>
        </is>
      </c>
      <c r="D1" s="4" t="inlineStr">
        <is>
          <t>Tür</t>
        </is>
      </c>
      <c r="E1" s="4" t="inlineStr">
        <is>
          <t>Tarif (ayırt edici)</t>
        </is>
      </c>
      <c r="F1" s="4" t="inlineStr">
        <is>
          <t>Foto Dosyası</t>
        </is>
      </c>
      <c r="G1" s="4" t="inlineStr">
        <is>
          <t>Foto Durumu</t>
        </is>
      </c>
      <c r="H1" s="4" t="inlineStr">
        <is>
          <t>Kaynak</t>
        </is>
      </c>
      <c r="I1" s="4" t="inlineStr">
        <is>
          <t>Not</t>
        </is>
      </c>
    </row>
    <row r="2">
      <c r="A2" s="5" t="inlineStr">
        <is>
          <t>Tare Houses Hotel</t>
        </is>
      </c>
      <c r="B2" s="5" t="inlineStr">
        <is>
          <t>wardrobe_box</t>
        </is>
      </c>
      <c r="C2" s="5" t="inlineStr">
        <is>
          <t>Alt kutu (içeriği doğrulanacak)</t>
        </is>
      </c>
      <c r="D2" s="5" t="inlineStr">
        <is>
          <t>Demirbaş</t>
        </is>
      </c>
      <c r="E2" s="5" t="n"/>
      <c r="F2" s="7" t="n"/>
      <c r="G2" s="5" t="inlineStr">
        <is>
          <t>Çekilecek</t>
        </is>
      </c>
      <c r="H2" s="5" t="inlineStr">
        <is>
          <t>Video 18.10.2026</t>
        </is>
      </c>
      <c r="I2" s="5" t="n"/>
    </row>
    <row r="3" ht="39.6" customHeight="1">
      <c r="A3" s="5" t="inlineStr">
        <is>
          <t>Tare Houses Hotel</t>
        </is>
      </c>
      <c r="B3" s="5" t="inlineStr">
        <is>
          <t>cooktop</t>
        </is>
      </c>
      <c r="C3" s="5" t="inlineStr">
        <is>
          <t>Ankastre 2 gözlü cam seramik ocak, Beko</t>
        </is>
      </c>
      <c r="D3" s="5" t="inlineStr">
        <is>
          <t>Demirbaş</t>
        </is>
      </c>
      <c r="E3" s="5" t="n"/>
      <c r="F3" s="5" t="inlineStr">
        <is>
          <t>item_photos/tare_houses/cooktop.jpg</t>
        </is>
      </c>
      <c r="G3" s="5" t="inlineStr">
        <is>
          <t>Var</t>
        </is>
      </c>
      <c r="H3" s="5" t="inlineStr">
        <is>
          <t>Drive foto 1J3XfhmuP6MEYpl_lG2kgdsk2Z8Rsfo7u</t>
        </is>
      </c>
      <c r="I3" s="5" t="n"/>
    </row>
    <row r="4" ht="39.6" customHeight="1">
      <c r="A4" s="5" t="inlineStr">
        <is>
          <t>Tare Houses Hotel</t>
        </is>
      </c>
      <c r="B4" s="5" t="inlineStr">
        <is>
          <t>wc</t>
        </is>
      </c>
      <c r="C4" s="5" t="inlineStr">
        <is>
          <t>Asma klozet, bej/kum mat renk</t>
        </is>
      </c>
      <c r="D4" s="5" t="inlineStr">
        <is>
          <t>Demirbaş</t>
        </is>
      </c>
      <c r="E4" s="5" t="n"/>
      <c r="F4" s="5" t="inlineStr">
        <is>
          <t>item_photos/tare_houses/wc.jpg</t>
        </is>
      </c>
      <c r="G4" s="5" t="inlineStr">
        <is>
          <t>Var</t>
        </is>
      </c>
      <c r="H4" s="5" t="inlineStr">
        <is>
          <t>Drive foto 176Aiy4gXnqdkXqLiFXPG1py-NxVLLYce</t>
        </is>
      </c>
      <c r="I4" s="5" t="n"/>
    </row>
    <row r="5">
      <c r="A5" s="5" t="inlineStr">
        <is>
          <t>Tare Houses Hotel</t>
        </is>
      </c>
      <c r="B5" s="5" t="inlineStr">
        <is>
          <t>hanging_bin</t>
        </is>
      </c>
      <c r="C5" s="5" t="inlineStr">
        <is>
          <t>Asma çöp kovası</t>
        </is>
      </c>
      <c r="D5" s="5" t="inlineStr">
        <is>
          <t>Demirbaş</t>
        </is>
      </c>
      <c r="E5" s="5" t="n"/>
      <c r="F5" s="5" t="inlineStr">
        <is>
          <t>item_photos/tare_houses/hanging_bin.jpg</t>
        </is>
      </c>
      <c r="G5" s="5" t="inlineStr">
        <is>
          <t>Var</t>
        </is>
      </c>
      <c r="H5" s="5" t="inlineStr">
        <is>
          <t>Video 18.10.2026</t>
        </is>
      </c>
      <c r="I5" s="5" t="n"/>
    </row>
    <row r="6">
      <c r="A6" s="5" t="inlineStr">
        <is>
          <t>Tare Houses Hotel</t>
        </is>
      </c>
      <c r="B6" s="5" t="inlineStr">
        <is>
          <t>bath_towel</t>
        </is>
      </c>
      <c r="C6" s="5" t="inlineStr">
        <is>
          <t>Banyo havlusu</t>
        </is>
      </c>
      <c r="D6" s="5" t="inlineStr">
        <is>
          <t>Demirbaş</t>
        </is>
      </c>
      <c r="E6" s="5" t="n"/>
      <c r="F6" s="7" t="n"/>
      <c r="G6" s="5" t="inlineStr">
        <is>
          <t>Çekilecek</t>
        </is>
      </c>
      <c r="H6" s="5" t="inlineStr">
        <is>
          <t>Video 18.10.2026</t>
        </is>
      </c>
      <c r="I6" s="5" t="n"/>
    </row>
    <row r="7">
      <c r="A7" s="5" t="inlineStr">
        <is>
          <t>Tare Houses Hotel</t>
        </is>
      </c>
      <c r="B7" s="5" t="inlineStr">
        <is>
          <t>bath_bin</t>
        </is>
      </c>
      <c r="C7" s="5" t="inlineStr">
        <is>
          <t>Banyo çöp kovası</t>
        </is>
      </c>
      <c r="D7" s="5" t="inlineStr">
        <is>
          <t>Demirbaş</t>
        </is>
      </c>
      <c r="E7" s="5" t="n"/>
      <c r="F7" s="5" t="inlineStr">
        <is>
          <t>item_photos/tare_houses/pedal_bin.jpg</t>
        </is>
      </c>
      <c r="G7" s="5" t="inlineStr">
        <is>
          <t>Var</t>
        </is>
      </c>
      <c r="H7" s="5" t="inlineStr">
        <is>
          <t>Video 18.10.2026</t>
        </is>
      </c>
      <c r="I7" s="5" t="n"/>
    </row>
    <row r="8" ht="39.6" customHeight="1">
      <c r="A8" s="5" t="inlineStr">
        <is>
          <t>Tare Houses Hotel</t>
        </is>
      </c>
      <c r="B8" s="5" t="inlineStr">
        <is>
          <t>bedside_wall_lamp</t>
        </is>
      </c>
      <c r="C8" s="5" t="inlineStr">
        <is>
          <t>Başucu apliği, dikey oval opal</t>
        </is>
      </c>
      <c r="D8" s="5" t="inlineStr">
        <is>
          <t>Demirbaş</t>
        </is>
      </c>
      <c r="E8" s="5" t="n"/>
      <c r="F8" s="5" t="inlineStr">
        <is>
          <t>item_photos/tare_houses/bedside_wall_lamp.jpg</t>
        </is>
      </c>
      <c r="G8" s="5" t="inlineStr">
        <is>
          <t>Var</t>
        </is>
      </c>
      <c r="H8" s="5" t="inlineStr">
        <is>
          <t>Drive foto 1qqZMbxPxzAY3tiWlJeU5zXJ4FJyKCBzS</t>
        </is>
      </c>
      <c r="I8" s="5" t="n"/>
    </row>
    <row r="9" ht="39.6" customHeight="1">
      <c r="A9" s="5" t="inlineStr">
        <is>
          <t>Tare Houses Hotel</t>
        </is>
      </c>
      <c r="B9" s="5" t="inlineStr">
        <is>
          <t>range_hood</t>
        </is>
      </c>
      <c r="C9" s="5" t="inlineStr">
        <is>
          <t>Davlumbaz/aspiratör (üst dolap altında)</t>
        </is>
      </c>
      <c r="D9" s="5" t="inlineStr">
        <is>
          <t>Demirbaş</t>
        </is>
      </c>
      <c r="E9" s="5" t="n"/>
      <c r="F9" s="7" t="n"/>
      <c r="G9" s="5" t="inlineStr">
        <is>
          <t>Çekilecek</t>
        </is>
      </c>
      <c r="H9" s="5" t="inlineStr">
        <is>
          <t>Drive foto 1FFkoBOtD_TWAwlnOYQPDiPXqnAMV2lbR</t>
        </is>
      </c>
      <c r="I9" s="5" t="n"/>
    </row>
    <row r="10" ht="39.6" customHeight="1">
      <c r="A10" s="5" t="inlineStr">
        <is>
          <t>Tare Houses Hotel</t>
        </is>
      </c>
      <c r="B10" s="5" t="inlineStr">
        <is>
          <t>decor_branches</t>
        </is>
      </c>
      <c r="C10" s="5" t="inlineStr">
        <is>
          <t>Dekoratif kuru dal, cam vazoda</t>
        </is>
      </c>
      <c r="D10" s="5" t="inlineStr">
        <is>
          <t>Demirbaş</t>
        </is>
      </c>
      <c r="E10" s="5" t="n"/>
      <c r="F10" s="5" t="inlineStr">
        <is>
          <t>item_photos/tare_houses/decor_branches.jpg</t>
        </is>
      </c>
      <c r="G10" s="5" t="inlineStr">
        <is>
          <t>Var</t>
        </is>
      </c>
      <c r="H10" s="5" t="inlineStr">
        <is>
          <t>Drive foto 17q0mqTudODHZ96MU-QhDuBn5dZGJSr3p</t>
        </is>
      </c>
      <c r="I10" s="5" t="n"/>
    </row>
    <row r="11" ht="39.6" customHeight="1">
      <c r="A11" s="5" t="inlineStr">
        <is>
          <t>Tare Houses Hotel</t>
        </is>
      </c>
      <c r="B11" s="5" t="inlineStr">
        <is>
          <t>smoke_detector</t>
        </is>
      </c>
      <c r="C11" s="5" t="inlineStr">
        <is>
          <t>Duman dedektörü (tavan)</t>
        </is>
      </c>
      <c r="D11" s="5" t="inlineStr">
        <is>
          <t>Demirbaş</t>
        </is>
      </c>
      <c r="E11" s="5" t="n"/>
      <c r="F11" s="7" t="n"/>
      <c r="G11" s="5" t="inlineStr">
        <is>
          <t>Çekilecek</t>
        </is>
      </c>
      <c r="H11" s="5" t="inlineStr">
        <is>
          <t>Drive foto 1FFkoBOtD_TWAwlnOYQPDiPXqnAMV2lbR</t>
        </is>
      </c>
      <c r="I11" s="5" t="n"/>
    </row>
    <row r="12" ht="26.4" customHeight="1">
      <c r="A12" s="5" t="inlineStr">
        <is>
          <t>Tare Houses Hotel</t>
        </is>
      </c>
      <c r="B12" s="5" t="inlineStr">
        <is>
          <t>dispenser</t>
        </is>
      </c>
      <c r="C12" s="5" t="inlineStr">
        <is>
          <t>Duvar dispenseri (şampuan, saç kremi, duş jeli)</t>
        </is>
      </c>
      <c r="D12" s="5" t="inlineStr">
        <is>
          <t>Demirbaş</t>
        </is>
      </c>
      <c r="E12" s="5" t="n"/>
      <c r="F12" s="5" t="inlineStr">
        <is>
          <t>item_photos/tare_houses/shower_dispenser.jpg</t>
        </is>
      </c>
      <c r="G12" s="5" t="inlineStr">
        <is>
          <t>Var</t>
        </is>
      </c>
      <c r="H12" s="5" t="inlineStr">
        <is>
          <t>Video 18.10.2026</t>
        </is>
      </c>
      <c r="I12" s="5" t="n"/>
    </row>
    <row r="13">
      <c r="A13" s="5" t="inlineStr">
        <is>
          <t>Tare Houses Hotel</t>
        </is>
      </c>
      <c r="B13" s="5" t="inlineStr">
        <is>
          <t>shower_basket</t>
        </is>
      </c>
      <c r="C13" s="5" t="inlineStr">
        <is>
          <t>Duş sepeti</t>
        </is>
      </c>
      <c r="D13" s="5" t="inlineStr">
        <is>
          <t>Demirbaş</t>
        </is>
      </c>
      <c r="E13" s="5" t="n"/>
      <c r="F13" s="7" t="n"/>
      <c r="G13" s="5" t="inlineStr">
        <is>
          <t>Çekilecek</t>
        </is>
      </c>
      <c r="H13" s="5" t="inlineStr">
        <is>
          <t>Video 18.10.2026</t>
        </is>
      </c>
      <c r="I13" s="5" t="n"/>
    </row>
    <row r="14">
      <c r="A14" s="5" t="inlineStr">
        <is>
          <t>Tare Houses Hotel</t>
        </is>
      </c>
      <c r="B14" s="5" t="inlineStr">
        <is>
          <t>hand_towel</t>
        </is>
      </c>
      <c r="C14" s="5" t="inlineStr">
        <is>
          <t>El havlusu</t>
        </is>
      </c>
      <c r="D14" s="5" t="inlineStr">
        <is>
          <t>Demirbaş</t>
        </is>
      </c>
      <c r="E14" s="5" t="n"/>
      <c r="F14" s="7" t="n"/>
      <c r="G14" s="5" t="inlineStr">
        <is>
          <t>Çekilecek</t>
        </is>
      </c>
      <c r="H14" s="5" t="inlineStr">
        <is>
          <t>Video 18.10.2026</t>
        </is>
      </c>
      <c r="I14" s="5" t="n"/>
    </row>
    <row r="15">
      <c r="A15" s="5" t="inlineStr">
        <is>
          <t>Tare Houses Hotel</t>
        </is>
      </c>
      <c r="B15" s="5" t="inlineStr">
        <is>
          <t>hanger</t>
        </is>
      </c>
      <c r="C15" s="5" t="inlineStr">
        <is>
          <t>Elbise askısı</t>
        </is>
      </c>
      <c r="D15" s="5" t="inlineStr">
        <is>
          <t>Demirbaş</t>
        </is>
      </c>
      <c r="E15" s="5" t="n"/>
      <c r="F15" s="7" t="n"/>
      <c r="G15" s="5" t="inlineStr">
        <is>
          <t>Çekilecek</t>
        </is>
      </c>
      <c r="H15" s="5" t="inlineStr">
        <is>
          <t>Video 18.10.2026</t>
        </is>
      </c>
      <c r="I15" s="5" t="n"/>
    </row>
    <row r="16" ht="39.6" customHeight="1">
      <c r="A16" s="5" t="inlineStr">
        <is>
          <t>Tare Houses Hotel</t>
        </is>
      </c>
      <c r="B16" s="5" t="inlineStr">
        <is>
          <t>wardrobe</t>
        </is>
      </c>
      <c r="C16" s="5" t="inlineStr">
        <is>
          <t>Gardırop, ahşap, çıtalı kapaklı (TV ünitesiyle birleşik)</t>
        </is>
      </c>
      <c r="D16" s="5" t="inlineStr">
        <is>
          <t>Demirbaş</t>
        </is>
      </c>
      <c r="E16" s="5" t="n"/>
      <c r="F16" s="7" t="n"/>
      <c r="G16" s="5" t="inlineStr">
        <is>
          <t>Çekilecek</t>
        </is>
      </c>
      <c r="H16" s="5" t="inlineStr">
        <is>
          <t>Drive foto 11rd4F0TCuwx9hu3hZWi60hOjhCx_ZmZJ</t>
        </is>
      </c>
      <c r="I16" s="5" t="n"/>
    </row>
    <row r="17" ht="39.6" customHeight="1">
      <c r="A17" s="5" t="inlineStr">
        <is>
          <t>Tare Houses Hotel</t>
        </is>
      </c>
      <c r="B17" s="5" t="inlineStr">
        <is>
          <t>flush_plate</t>
        </is>
      </c>
      <c r="C17" s="5" t="inlineStr">
        <is>
          <t>Gömme rezervuar kumanda paneli, mat siyah çift tuş</t>
        </is>
      </c>
      <c r="D17" s="5" t="inlineStr">
        <is>
          <t>Demirbaş</t>
        </is>
      </c>
      <c r="E17" s="5" t="n"/>
      <c r="F17" s="5" t="inlineStr">
        <is>
          <t>item_photos/tare_houses/flush_plate.jpg</t>
        </is>
      </c>
      <c r="G17" s="5" t="inlineStr">
        <is>
          <t>Var</t>
        </is>
      </c>
      <c r="H17" s="5" t="inlineStr">
        <is>
          <t>Drive foto 176Aiy4gXnqdkXqLiFXPG1py-NxVLLYce</t>
        </is>
      </c>
      <c r="I17" s="5" t="n"/>
    </row>
    <row r="18" ht="39.6" customHeight="1">
      <c r="A18" s="5" t="inlineStr">
        <is>
          <t>Tare Houses Hotel</t>
        </is>
      </c>
      <c r="B18" s="5" t="inlineStr">
        <is>
          <t>rug_striped</t>
        </is>
      </c>
      <c r="C18" s="5" t="inlineStr">
        <is>
          <t>Halı, krem çizgili + kiremit yuvarlak desenli</t>
        </is>
      </c>
      <c r="D18" s="5" t="inlineStr">
        <is>
          <t>Demirbaş</t>
        </is>
      </c>
      <c r="E18" s="5" t="n"/>
      <c r="F18" s="5" t="inlineStr">
        <is>
          <t>item_photos/tare_houses/rug_striped.jpg</t>
        </is>
      </c>
      <c r="G18" s="5" t="inlineStr">
        <is>
          <t>Var</t>
        </is>
      </c>
      <c r="H18" s="5" t="inlineStr">
        <is>
          <t>Drive foto 16QwrP4dnzdun3aDldvqDTQdKeKNFWyfn</t>
        </is>
      </c>
      <c r="I18" s="5" t="n"/>
    </row>
    <row r="19" ht="39.6" customHeight="1">
      <c r="A19" s="5" t="inlineStr">
        <is>
          <t>Tare Houses Hotel</t>
        </is>
      </c>
      <c r="B19" s="5" t="inlineStr">
        <is>
          <t>towel_bar</t>
        </is>
      </c>
      <c r="C19" s="5" t="inlineStr">
        <is>
          <t>Havlu askısı (çubuk), mat siyah</t>
        </is>
      </c>
      <c r="D19" s="5" t="inlineStr">
        <is>
          <t>Demirbaş</t>
        </is>
      </c>
      <c r="E19" s="5" t="n"/>
      <c r="F19" s="5" t="inlineStr">
        <is>
          <t>item_photos/tare_houses/towel_bar.jpg</t>
        </is>
      </c>
      <c r="G19" s="5" t="inlineStr">
        <is>
          <t>Var</t>
        </is>
      </c>
      <c r="H19" s="5" t="inlineStr">
        <is>
          <t>Drive foto 1CWO16nd8G3iNKOmA8b9EgwJjXPrJnCHm</t>
        </is>
      </c>
      <c r="I19" s="5" t="n"/>
    </row>
    <row r="20" ht="39.6" customHeight="1">
      <c r="A20" s="5" t="inlineStr">
        <is>
          <t>Tare Houses Hotel</t>
        </is>
      </c>
      <c r="B20" s="5" t="inlineStr">
        <is>
          <t>towel_ring</t>
        </is>
      </c>
      <c r="C20" s="5" t="inlineStr">
        <is>
          <t>Havlu halkası, mat siyah</t>
        </is>
      </c>
      <c r="D20" s="5" t="inlineStr">
        <is>
          <t>Demirbaş</t>
        </is>
      </c>
      <c r="E20" s="5" t="n"/>
      <c r="F20" s="5" t="inlineStr">
        <is>
          <t>item_photos/tare_houses/towel_ring.jpg</t>
        </is>
      </c>
      <c r="G20" s="5" t="inlineStr">
        <is>
          <t>Var</t>
        </is>
      </c>
      <c r="H20" s="5" t="inlineStr">
        <is>
          <t>Drive foto 176Aiy4gXnqdkXqLiFXPG1py-NxVLLYce</t>
        </is>
      </c>
      <c r="I20" s="5" t="n"/>
    </row>
    <row r="21" ht="39.6" customHeight="1">
      <c r="A21" s="5" t="inlineStr">
        <is>
          <t>Tare Houses Hotel</t>
        </is>
      </c>
      <c r="B21" s="5" t="inlineStr">
        <is>
          <t>sofa_gray</t>
        </is>
      </c>
      <c r="C21" s="5" t="inlineStr">
        <is>
          <t>Kanepe (açılır sofa yatak olabilir), gri kadife</t>
        </is>
      </c>
      <c r="D21" s="5" t="inlineStr">
        <is>
          <t>Demirbaş</t>
        </is>
      </c>
      <c r="E21" s="5" t="n"/>
      <c r="F21" s="5" t="inlineStr">
        <is>
          <t>item_photos/tare_houses/sofa_gray.jpg</t>
        </is>
      </c>
      <c r="G21" s="5" t="inlineStr">
        <is>
          <t>Var</t>
        </is>
      </c>
      <c r="H21" s="5" t="inlineStr">
        <is>
          <t>Drive foto 16QwrP4dnzdun3aDldvqDTQdKeKNFWyfn</t>
        </is>
      </c>
      <c r="I21" s="5" t="n"/>
    </row>
    <row r="22">
      <c r="A22" s="5" t="inlineStr">
        <is>
          <t>Tare Houses Hotel</t>
        </is>
      </c>
      <c r="B22" s="5" t="inlineStr">
        <is>
          <t>kettle</t>
        </is>
      </c>
      <c r="C22" s="5" t="inlineStr">
        <is>
          <t>Kettle</t>
        </is>
      </c>
      <c r="D22" s="5" t="inlineStr">
        <is>
          <t>Demirbaş</t>
        </is>
      </c>
      <c r="E22" s="5" t="n"/>
      <c r="F22" s="5" t="inlineStr">
        <is>
          <t>item_photos/tare_houses/kettle.jpg</t>
        </is>
      </c>
      <c r="G22" s="5" t="inlineStr">
        <is>
          <t>Var</t>
        </is>
      </c>
      <c r="H22" s="5" t="inlineStr">
        <is>
          <t>Video 18.10.2026</t>
        </is>
      </c>
      <c r="I22" s="5" t="n"/>
    </row>
    <row r="23" ht="39.6" customHeight="1">
      <c r="A23" s="5" t="inlineStr">
        <is>
          <t>Tare Houses Hotel</t>
        </is>
      </c>
      <c r="B23" s="5" t="inlineStr">
        <is>
          <t>air_conditioner</t>
        </is>
      </c>
      <c r="C23" s="5" t="inlineStr">
        <is>
          <t>Klima iç ünitesi, siyah duvar tipi</t>
        </is>
      </c>
      <c r="D23" s="5" t="inlineStr">
        <is>
          <t>Demirbaş</t>
        </is>
      </c>
      <c r="E23" s="5" t="n"/>
      <c r="F23" s="5" t="inlineStr">
        <is>
          <t>item_photos/tare_houses/air_conditioner.jpg</t>
        </is>
      </c>
      <c r="G23" s="5" t="inlineStr">
        <is>
          <t>Var</t>
        </is>
      </c>
      <c r="H23" s="5" t="inlineStr">
        <is>
          <t>Drive foto 14VC92YctQ5syDFseOCS7bOidn1pAtrxE</t>
        </is>
      </c>
      <c r="I23" s="5" t="n"/>
    </row>
    <row r="24">
      <c r="A24" s="5" t="inlineStr">
        <is>
          <t>Tare Houses Hotel</t>
        </is>
      </c>
      <c r="B24" s="5" t="inlineStr">
        <is>
          <t>armchair</t>
        </is>
      </c>
      <c r="C24" s="5" t="inlineStr">
        <is>
          <t>Koltuk</t>
        </is>
      </c>
      <c r="D24" s="5" t="inlineStr">
        <is>
          <t>Demirbaş</t>
        </is>
      </c>
      <c r="E24" s="5" t="n"/>
      <c r="F24" s="5" t="inlineStr">
        <is>
          <t>item_photos/tare_houses/armchair.jpg</t>
        </is>
      </c>
      <c r="G24" s="5" t="inlineStr">
        <is>
          <t>Var</t>
        </is>
      </c>
      <c r="H24" s="5" t="inlineStr">
        <is>
          <t>Video 18.10.2026</t>
        </is>
      </c>
      <c r="I24" s="5" t="n"/>
    </row>
    <row r="25">
      <c r="A25" s="5" t="inlineStr">
        <is>
          <t>Tare Houses Hotel</t>
        </is>
      </c>
      <c r="B25" s="5" t="inlineStr">
        <is>
          <t>nightstand</t>
        </is>
      </c>
      <c r="C25" s="5" t="inlineStr">
        <is>
          <t>Komodin</t>
        </is>
      </c>
      <c r="D25" s="5" t="inlineStr">
        <is>
          <t>Demirbaş</t>
        </is>
      </c>
      <c r="E25" s="5" t="n"/>
      <c r="F25" s="5" t="inlineStr">
        <is>
          <t>item_photos/tare_houses/nightstand.jpg</t>
        </is>
      </c>
      <c r="G25" s="5" t="inlineStr">
        <is>
          <t>Var</t>
        </is>
      </c>
      <c r="H25" s="5" t="inlineStr">
        <is>
          <t>Video 18.10.2026</t>
        </is>
      </c>
      <c r="I25" s="5" t="n"/>
    </row>
    <row r="26">
      <c r="A26" s="5" t="inlineStr">
        <is>
          <t>Tare Houses Hotel</t>
        </is>
      </c>
      <c r="B26" s="5" t="inlineStr">
        <is>
          <t>remote</t>
        </is>
      </c>
      <c r="C26" s="5" t="inlineStr">
        <is>
          <t>Kumanda (TV + klima)</t>
        </is>
      </c>
      <c r="D26" s="5" t="inlineStr">
        <is>
          <t>Demirbaş</t>
        </is>
      </c>
      <c r="E26" s="5" t="n"/>
      <c r="F26" s="7" t="n"/>
      <c r="G26" s="5" t="inlineStr">
        <is>
          <t>Çekilecek</t>
        </is>
      </c>
      <c r="H26" s="5" t="inlineStr">
        <is>
          <t>Video 18.10.2026</t>
        </is>
      </c>
      <c r="I26" s="5" t="n"/>
    </row>
    <row r="27" ht="39.6" customHeight="1">
      <c r="A27" s="5" t="inlineStr">
        <is>
          <t>Tare Houses Hotel</t>
        </is>
      </c>
      <c r="B27" s="5" t="inlineStr">
        <is>
          <t>floor_lamp</t>
        </is>
      </c>
      <c r="C27" s="5" t="inlineStr">
        <is>
          <t>Lambader, pirinç ayaklı beyaz abajurlu, yan tablalı</t>
        </is>
      </c>
      <c r="D27" s="5" t="inlineStr">
        <is>
          <t>Demirbaş</t>
        </is>
      </c>
      <c r="E27" s="5" t="n"/>
      <c r="F27" s="5" t="inlineStr">
        <is>
          <t>item_photos/tare_houses/floor_lamp.jpg</t>
        </is>
      </c>
      <c r="G27" s="5" t="inlineStr">
        <is>
          <t>Var</t>
        </is>
      </c>
      <c r="H27" s="5" t="inlineStr">
        <is>
          <t>Drive foto 16QwrP4dnzdun3aDldvqDTQdKeKNFWyfn</t>
        </is>
      </c>
      <c r="I27" s="5" t="n"/>
    </row>
    <row r="28" ht="39.6" customHeight="1">
      <c r="A28" s="5" t="inlineStr">
        <is>
          <t>Tare Houses Hotel</t>
        </is>
      </c>
      <c r="B28" s="5" t="inlineStr">
        <is>
          <t>vanity_unit</t>
        </is>
      </c>
      <c r="C28" s="5" t="inlineStr">
        <is>
          <t>Lavabo altı açık raflı ahşap ünite</t>
        </is>
      </c>
      <c r="D28" s="5" t="inlineStr">
        <is>
          <t>Demirbaş</t>
        </is>
      </c>
      <c r="E28" s="5" t="n"/>
      <c r="F28" s="5" t="inlineStr">
        <is>
          <t>item_photos/tare_houses/vanity_unit.jpg</t>
        </is>
      </c>
      <c r="G28" s="5" t="inlineStr">
        <is>
          <t>Var</t>
        </is>
      </c>
      <c r="H28" s="5" t="inlineStr">
        <is>
          <t>Drive foto 176Aiy4gXnqdkXqLiFXPG1py-NxVLLYce</t>
        </is>
      </c>
      <c r="I28" s="5" t="n"/>
    </row>
    <row r="29" ht="39.6" customHeight="1">
      <c r="A29" s="5" t="inlineStr">
        <is>
          <t>Tare Houses Hotel</t>
        </is>
      </c>
      <c r="B29" s="5" t="inlineStr">
        <is>
          <t>basin_faucet</t>
        </is>
      </c>
      <c r="C29" s="5" t="inlineStr">
        <is>
          <t>Lavabo bataryası, mat siyah kuğu boyun</t>
        </is>
      </c>
      <c r="D29" s="5" t="inlineStr">
        <is>
          <t>Demirbaş</t>
        </is>
      </c>
      <c r="E29" s="5" t="n"/>
      <c r="F29" s="5" t="inlineStr">
        <is>
          <t>item_photos/tare_houses/basin_faucet.jpg</t>
        </is>
      </c>
      <c r="G29" s="5" t="inlineStr">
        <is>
          <t>Var</t>
        </is>
      </c>
      <c r="H29" s="5" t="inlineStr">
        <is>
          <t>Drive foto 1rS9OAXDtSWqHfMKIU_QdvLSU1WPLW-2j</t>
        </is>
      </c>
      <c r="I29" s="5" t="n"/>
    </row>
    <row r="30" ht="39.6" customHeight="1">
      <c r="A30" s="5" t="inlineStr">
        <is>
          <t>Tare Houses Hotel</t>
        </is>
      </c>
      <c r="B30" s="5" t="inlineStr">
        <is>
          <t>globe_table_lamp</t>
        </is>
      </c>
      <c r="C30" s="5" t="inlineStr">
        <is>
          <t>Masa/başucu lambası, opal küre + pirinç gövde</t>
        </is>
      </c>
      <c r="D30" s="5" t="inlineStr">
        <is>
          <t>Demirbaş</t>
        </is>
      </c>
      <c r="E30" s="5" t="n"/>
      <c r="F30" s="5" t="inlineStr">
        <is>
          <t>item_photos/tare_houses/globe_table_lamp.jpg</t>
        </is>
      </c>
      <c r="G30" s="5" t="inlineStr">
        <is>
          <t>Var</t>
        </is>
      </c>
      <c r="H30" s="5" t="inlineStr">
        <is>
          <t>Drive foto 1WEP_jDIwucwzg6uxwakrZL5JQ3wq34tk</t>
        </is>
      </c>
      <c r="I30" s="5" t="n"/>
    </row>
    <row r="31" ht="39.6" customHeight="1">
      <c r="A31" s="5" t="inlineStr">
        <is>
          <t>Tare Houses Hotel</t>
        </is>
      </c>
      <c r="B31" s="5" t="inlineStr">
        <is>
          <t>mini_fridge</t>
        </is>
      </c>
      <c r="C31" s="5" t="inlineStr">
        <is>
          <t>Mini buzdolabı, beyaz, tezgah altı</t>
        </is>
      </c>
      <c r="D31" s="5" t="inlineStr">
        <is>
          <t>Demirbaş</t>
        </is>
      </c>
      <c r="E31" s="5" t="n"/>
      <c r="F31" s="5" t="inlineStr">
        <is>
          <t>item_photos/tare_houses/mini_fridge.jpg</t>
        </is>
      </c>
      <c r="G31" s="5" t="inlineStr">
        <is>
          <t>Var</t>
        </is>
      </c>
      <c r="H31" s="5" t="inlineStr">
        <is>
          <t>Drive foto 1FFkoBOtD_TWAwlnOYQPDiPXqnAMV2lbR</t>
        </is>
      </c>
      <c r="I31" s="5" t="n"/>
    </row>
    <row r="32">
      <c r="A32" s="5" t="inlineStr">
        <is>
          <t>Tare Houses Hotel</t>
        </is>
      </c>
      <c r="B32" s="5" t="inlineStr">
        <is>
          <t>room_bin</t>
        </is>
      </c>
      <c r="C32" s="5" t="inlineStr">
        <is>
          <t>Oda çöp kovası</t>
        </is>
      </c>
      <c r="D32" s="5" t="inlineStr">
        <is>
          <t>Demirbaş</t>
        </is>
      </c>
      <c r="E32" s="5" t="n"/>
      <c r="F32" s="7" t="n"/>
      <c r="G32" s="5" t="inlineStr">
        <is>
          <t>Çekilecek</t>
        </is>
      </c>
      <c r="H32" s="5" t="inlineStr">
        <is>
          <t>Video 18.10.2026</t>
        </is>
      </c>
      <c r="I32" s="5" t="n"/>
    </row>
    <row r="33" ht="39.6" customHeight="1">
      <c r="A33" s="5" t="inlineStr">
        <is>
          <t>Tare Houses Hotel</t>
        </is>
      </c>
      <c r="B33" s="5" t="inlineStr">
        <is>
          <t>coffee_table_glass</t>
        </is>
      </c>
      <c r="C33" s="5" t="inlineStr">
        <is>
          <t>Orta sehpa, yuvarlak cam tablalı siyah metal</t>
        </is>
      </c>
      <c r="D33" s="5" t="inlineStr">
        <is>
          <t>Demirbaş</t>
        </is>
      </c>
      <c r="E33" s="5" t="n"/>
      <c r="F33" s="5" t="inlineStr">
        <is>
          <t>item_photos/tare_houses/coffee_table_glass.jpg</t>
        </is>
      </c>
      <c r="G33" s="5" t="inlineStr">
        <is>
          <t>Var</t>
        </is>
      </c>
      <c r="H33" s="5" t="inlineStr">
        <is>
          <t>Drive foto 16QwrP4dnzdun3aDldvqDTQdKeKNFWyfn</t>
        </is>
      </c>
      <c r="I33" s="5" t="n"/>
    </row>
    <row r="34" ht="39.6" customHeight="1">
      <c r="A34" s="5" t="inlineStr">
        <is>
          <t>Tare Houses Hotel</t>
        </is>
      </c>
      <c r="B34" s="5" t="inlineStr">
        <is>
          <t>pendant_lamp</t>
        </is>
      </c>
      <c r="C34" s="5" t="inlineStr">
        <is>
          <t>Sarkıt avize, siyah metal disk</t>
        </is>
      </c>
      <c r="D34" s="5" t="inlineStr">
        <is>
          <t>Demirbaş</t>
        </is>
      </c>
      <c r="E34" s="5" t="n"/>
      <c r="F34" s="5" t="inlineStr">
        <is>
          <t>item_photos/tare_houses/pendant_lamp.jpg</t>
        </is>
      </c>
      <c r="G34" s="5" t="inlineStr">
        <is>
          <t>Var</t>
        </is>
      </c>
      <c r="H34" s="5" t="inlineStr">
        <is>
          <t>Drive foto 14qRyaeW762Tt7lrP6OYjJLumQDBFxCAt</t>
        </is>
      </c>
      <c r="I34" s="5" t="n"/>
    </row>
    <row r="35">
      <c r="A35" s="5" t="inlineStr">
        <is>
          <t>Tare Houses Hotel</t>
        </is>
      </c>
      <c r="B35" s="5" t="inlineStr">
        <is>
          <t>tv</t>
        </is>
      </c>
      <c r="C35" s="5" t="inlineStr">
        <is>
          <t>TV</t>
        </is>
      </c>
      <c r="D35" s="5" t="inlineStr">
        <is>
          <t>Demirbaş</t>
        </is>
      </c>
      <c r="E35" s="5" t="n"/>
      <c r="F35" s="5" t="inlineStr">
        <is>
          <t>item_photos/tare_houses/tv.jpg</t>
        </is>
      </c>
      <c r="G35" s="5" t="inlineStr">
        <is>
          <t>Var</t>
        </is>
      </c>
      <c r="H35" s="5" t="inlineStr">
        <is>
          <t>Video 18.10.2026</t>
        </is>
      </c>
      <c r="I35" s="5" t="n"/>
    </row>
    <row r="36" ht="39.6" customHeight="1">
      <c r="A36" s="5" t="inlineStr">
        <is>
          <t>Tare Houses Hotel</t>
        </is>
      </c>
      <c r="B36" s="5" t="inlineStr">
        <is>
          <t>wall_art</t>
        </is>
      </c>
      <c r="C36" s="5" t="inlineStr">
        <is>
          <t>Tablo, siyah çerçeveli portre baskı (her odada farklı figür)</t>
        </is>
      </c>
      <c r="D36" s="5" t="inlineStr">
        <is>
          <t>Demirbaş</t>
        </is>
      </c>
      <c r="E36" s="5" t="n"/>
      <c r="F36" s="5" t="inlineStr">
        <is>
          <t>item_photos/tare_houses/wall_art.jpg</t>
        </is>
      </c>
      <c r="G36" s="5" t="inlineStr">
        <is>
          <t>Var</t>
        </is>
      </c>
      <c r="H36" s="5" t="inlineStr">
        <is>
          <t>Drive foto 1qqZMbxPxzAY3tiWlJeU5zXJ4FJyKCBzS</t>
        </is>
      </c>
      <c r="I36" s="5" t="n"/>
    </row>
    <row r="37" ht="39.6" customHeight="1">
      <c r="A37" s="5" t="inlineStr">
        <is>
          <t>Tare Houses Hotel</t>
        </is>
      </c>
      <c r="B37" s="5" t="inlineStr">
        <is>
          <t>shower_set</t>
        </is>
      </c>
      <c r="C37" s="5" t="inlineStr">
        <is>
          <t>Tepe duşlu termostatik duş seti + el duşu, mat siyah</t>
        </is>
      </c>
      <c r="D37" s="5" t="inlineStr">
        <is>
          <t>Demirbaş</t>
        </is>
      </c>
      <c r="E37" s="5" t="n"/>
      <c r="F37" s="5" t="inlineStr">
        <is>
          <t>item_photos/tare_houses/shower_set.jpg</t>
        </is>
      </c>
      <c r="G37" s="5" t="inlineStr">
        <is>
          <t>Var</t>
        </is>
      </c>
      <c r="H37" s="5" t="inlineStr">
        <is>
          <t>Drive foto 176Aiy4gXnqdkXqLiFXPG1py-NxVLLYce</t>
        </is>
      </c>
      <c r="I37" s="5" t="n"/>
    </row>
    <row r="38" ht="39.6" customHeight="1">
      <c r="A38" s="5" t="inlineStr">
        <is>
          <t>Tare Houses Hotel</t>
        </is>
      </c>
      <c r="B38" s="5" t="inlineStr">
        <is>
          <t>vessel_sink</t>
        </is>
      </c>
      <c r="C38" s="5" t="inlineStr">
        <is>
          <t>Tezgah üstü lavabo, traverten taş görünümlü</t>
        </is>
      </c>
      <c r="D38" s="5" t="inlineStr">
        <is>
          <t>Demirbaş</t>
        </is>
      </c>
      <c r="E38" s="5" t="n"/>
      <c r="F38" s="5" t="inlineStr">
        <is>
          <t>item_photos/tare_houses/vessel_sink.jpg</t>
        </is>
      </c>
      <c r="G38" s="5" t="inlineStr">
        <is>
          <t>Var</t>
        </is>
      </c>
      <c r="H38" s="5" t="inlineStr">
        <is>
          <t>Drive foto 1rS9OAXDtSWqHfMKIU_QdvLSU1WPLW-2j</t>
        </is>
      </c>
      <c r="I38" s="5" t="n"/>
    </row>
    <row r="39" ht="39.6" customHeight="1">
      <c r="A39" s="5" t="inlineStr">
        <is>
          <t>Tare Houses Hotel</t>
        </is>
      </c>
      <c r="B39" s="5" t="inlineStr">
        <is>
          <t>toilet_paper_holder</t>
        </is>
      </c>
      <c r="C39" s="5" t="inlineStr">
        <is>
          <t>Tuvalet kağıtlığı, kapaklı mat siyah</t>
        </is>
      </c>
      <c r="D39" s="5" t="inlineStr">
        <is>
          <t>Demirbaş</t>
        </is>
      </c>
      <c r="E39" s="5" t="n"/>
      <c r="F39" s="5" t="inlineStr">
        <is>
          <t>item_photos/tare_houses/toilet_paper_holder.jpg</t>
        </is>
      </c>
      <c r="G39" s="5" t="inlineStr">
        <is>
          <t>Var</t>
        </is>
      </c>
      <c r="H39" s="5" t="inlineStr">
        <is>
          <t>Drive foto 1J_9i45zMZRnEq7xGQCd53p9mfgJAQ6kF</t>
        </is>
      </c>
      <c r="I39" s="5" t="n"/>
    </row>
    <row r="40">
      <c r="A40" s="5" t="inlineStr">
        <is>
          <t>Tare Houses Hotel</t>
        </is>
      </c>
      <c r="B40" s="5" t="inlineStr">
        <is>
          <t>toilet_brush</t>
        </is>
      </c>
      <c r="C40" s="5" t="inlineStr">
        <is>
          <t>WC fırçası</t>
        </is>
      </c>
      <c r="D40" s="5" t="inlineStr">
        <is>
          <t>Demirbaş</t>
        </is>
      </c>
      <c r="E40" s="5" t="n"/>
      <c r="F40" s="7" t="n"/>
      <c r="G40" s="5" t="inlineStr">
        <is>
          <t>Çekilecek</t>
        </is>
      </c>
      <c r="H40" s="5" t="inlineStr">
        <is>
          <t>Video 18.10.2026</t>
        </is>
      </c>
      <c r="I40" s="5" t="n"/>
    </row>
    <row r="41">
      <c r="A41" s="5" t="inlineStr">
        <is>
          <t>Tare Houses Hotel</t>
        </is>
      </c>
      <c r="B41" s="5" t="inlineStr">
        <is>
          <t>pillow</t>
        </is>
      </c>
      <c r="C41" s="5" t="inlineStr">
        <is>
          <t>Yastık</t>
        </is>
      </c>
      <c r="D41" s="5" t="inlineStr">
        <is>
          <t>Demirbaş</t>
        </is>
      </c>
      <c r="E41" s="5" t="n"/>
      <c r="F41" s="5" t="inlineStr">
        <is>
          <t>item_photos/tare_houses/pillow.jpg</t>
        </is>
      </c>
      <c r="G41" s="5" t="inlineStr">
        <is>
          <t>Var</t>
        </is>
      </c>
      <c r="H41" s="5" t="inlineStr">
        <is>
          <t>Video 18.10.2026</t>
        </is>
      </c>
      <c r="I41" s="5" t="n"/>
    </row>
    <row r="42">
      <c r="A42" s="5" t="inlineStr">
        <is>
          <t>Tare Houses Hotel</t>
        </is>
      </c>
      <c r="B42" s="5" t="inlineStr">
        <is>
          <t>spare_blanket</t>
        </is>
      </c>
      <c r="C42" s="5" t="inlineStr">
        <is>
          <t>Yedek battaniye</t>
        </is>
      </c>
      <c r="D42" s="5" t="inlineStr">
        <is>
          <t>Demirbaş</t>
        </is>
      </c>
      <c r="E42" s="5" t="n"/>
      <c r="F42" s="7" t="n"/>
      <c r="G42" s="5" t="inlineStr">
        <is>
          <t>Çekilecek</t>
        </is>
      </c>
      <c r="H42" s="5" t="inlineStr">
        <is>
          <t>Video 18.10.2026</t>
        </is>
      </c>
      <c r="I42" s="5" t="n"/>
    </row>
    <row r="43" ht="39.6" customHeight="1">
      <c r="A43" s="5" t="inlineStr">
        <is>
          <t>Tare Houses Hotel</t>
        </is>
      </c>
      <c r="B43" s="5" t="inlineStr">
        <is>
          <t>led_mirror</t>
        </is>
      </c>
      <c r="C43" s="5" t="inlineStr">
        <is>
          <t>Yuvarlak LED arkadan aydınlatmalı ayna</t>
        </is>
      </c>
      <c r="D43" s="5" t="inlineStr">
        <is>
          <t>Demirbaş</t>
        </is>
      </c>
      <c r="E43" s="5" t="n"/>
      <c r="F43" s="5" t="inlineStr">
        <is>
          <t>item_photos/tare_houses/led_mirror.jpg</t>
        </is>
      </c>
      <c r="G43" s="5" t="inlineStr">
        <is>
          <t>Var</t>
        </is>
      </c>
      <c r="H43" s="5" t="inlineStr">
        <is>
          <t>Drive foto 176Aiy4gXnqdkXqLiFXPG1py-NxVLLYce</t>
        </is>
      </c>
      <c r="I43" s="5" t="n"/>
    </row>
    <row r="44" ht="39.6" customHeight="1">
      <c r="A44" s="5" t="inlineStr">
        <is>
          <t>Tare Houses Hotel</t>
        </is>
      </c>
      <c r="B44" s="5" t="inlineStr">
        <is>
          <t>round_wall_lamp</t>
        </is>
      </c>
      <c r="C44" s="5" t="inlineStr">
        <is>
          <t>Yuvarlak duvar apliği (sarı iç yüzey)</t>
        </is>
      </c>
      <c r="D44" s="5" t="inlineStr">
        <is>
          <t>Demirbaş</t>
        </is>
      </c>
      <c r="E44" s="5" t="n"/>
      <c r="F44" s="5" t="inlineStr">
        <is>
          <t>item_photos/tare_houses/round_wall_lamp.jpg</t>
        </is>
      </c>
      <c r="G44" s="5" t="inlineStr">
        <is>
          <t>Var</t>
        </is>
      </c>
      <c r="H44" s="5" t="inlineStr">
        <is>
          <t>Drive foto 17q0mqTudODHZ96MU-QhDuBn5dZGJSr3p</t>
        </is>
      </c>
      <c r="I44" s="5" t="n"/>
    </row>
    <row r="45" ht="39.6" customHeight="1">
      <c r="A45" s="5" t="inlineStr">
        <is>
          <t>Tare Houses Hotel</t>
        </is>
      </c>
      <c r="B45" s="5" t="inlineStr">
        <is>
          <t>round_rug_woven</t>
        </is>
      </c>
      <c r="C45" s="5" t="inlineStr">
        <is>
          <t>Yuvarlak hasır/örgü halı, lacivert-gri</t>
        </is>
      </c>
      <c r="D45" s="5" t="inlineStr">
        <is>
          <t>Demirbaş</t>
        </is>
      </c>
      <c r="E45" s="5" t="n"/>
      <c r="F45" s="5" t="inlineStr">
        <is>
          <t>item_photos/tare_houses/round_rug_woven.jpg</t>
        </is>
      </c>
      <c r="G45" s="5" t="inlineStr">
        <is>
          <t>Var</t>
        </is>
      </c>
      <c r="H45" s="5" t="inlineStr">
        <is>
          <t>Drive foto 14qRyaeW762Tt7lrP6OYjJLumQDBFxCAt</t>
        </is>
      </c>
      <c r="I45" s="5" t="n"/>
    </row>
    <row r="46" ht="39.6" customHeight="1">
      <c r="A46" s="5" t="inlineStr">
        <is>
          <t>Tare Houses Hotel</t>
        </is>
      </c>
      <c r="B46" s="5" t="inlineStr">
        <is>
          <t>round_table</t>
        </is>
      </c>
      <c r="C46" s="5" t="inlineStr">
        <is>
          <t>Yuvarlak masa, ahşap tek ayaklı</t>
        </is>
      </c>
      <c r="D46" s="5" t="inlineStr">
        <is>
          <t>Demirbaş</t>
        </is>
      </c>
      <c r="E46" s="5" t="n"/>
      <c r="F46" s="5" t="inlineStr">
        <is>
          <t>item_photos/tare_houses/round_table.jpg</t>
        </is>
      </c>
      <c r="G46" s="5" t="inlineStr">
        <is>
          <t>Var</t>
        </is>
      </c>
      <c r="H46" s="5" t="inlineStr">
        <is>
          <t>Drive foto 1qqZMbxPxzAY3tiWlJeU5zXJ4FJyKCBzS</t>
        </is>
      </c>
      <c r="I46" s="5" t="n"/>
    </row>
    <row r="47" ht="39.6" customHeight="1">
      <c r="A47" s="5" t="inlineStr">
        <is>
          <t>Tare Houses Hotel</t>
        </is>
      </c>
      <c r="B47" s="5" t="inlineStr">
        <is>
          <t>round_bed</t>
        </is>
      </c>
      <c r="C47" s="5" t="inlineStr">
        <is>
          <t>Yuvarlak yatak, kavisli ahşap başlık/arkalık</t>
        </is>
      </c>
      <c r="D47" s="5" t="inlineStr">
        <is>
          <t>Demirbaş</t>
        </is>
      </c>
      <c r="E47" s="5" t="n"/>
      <c r="F47" s="5" t="inlineStr">
        <is>
          <t>item_photos/tare_houses/round_bed.jpg</t>
        </is>
      </c>
      <c r="G47" s="5" t="inlineStr">
        <is>
          <t>Var</t>
        </is>
      </c>
      <c r="H47" s="5" t="inlineStr">
        <is>
          <t>Drive foto 14qRyaeW762Tt7lrP6OYjJLumQDBFxCAt</t>
        </is>
      </c>
      <c r="I47" s="5" t="n"/>
    </row>
    <row r="48" ht="39.6" customHeight="1">
      <c r="A48" s="5" t="inlineStr">
        <is>
          <t>Tare Houses Hotel</t>
        </is>
      </c>
      <c r="B48" s="5" t="inlineStr">
        <is>
          <t>desk_with_chair</t>
        </is>
      </c>
      <c r="C48" s="5" t="inlineStr">
        <is>
          <t>Çalışma/konsol masası, ahşap</t>
        </is>
      </c>
      <c r="D48" s="5" t="inlineStr">
        <is>
          <t>Demirbaş</t>
        </is>
      </c>
      <c r="E48" s="5" t="n"/>
      <c r="F48" s="5" t="inlineStr">
        <is>
          <t>item_photos/tare_houses/desk_with_chair.jpg</t>
        </is>
      </c>
      <c r="G48" s="5" t="inlineStr">
        <is>
          <t>Var</t>
        </is>
      </c>
      <c r="H48" s="5" t="inlineStr">
        <is>
          <t>Drive foto 1g33AxJn7o6rMzP3P8xLRLZ0LghBuqYLy</t>
        </is>
      </c>
      <c r="I48" s="5" t="n"/>
    </row>
    <row r="49" ht="39.6" customHeight="1">
      <c r="A49" s="5" t="inlineStr">
        <is>
          <t>Tare Houses Hotel</t>
        </is>
      </c>
      <c r="B49" s="5" t="inlineStr">
        <is>
          <t>bed</t>
        </is>
      </c>
      <c r="C49" s="5" t="inlineStr">
        <is>
          <t>Çift kişilik yatak, ahşap platform baza + dalgalı ahşap başlık</t>
        </is>
      </c>
      <c r="D49" s="5" t="inlineStr">
        <is>
          <t>Demirbaş</t>
        </is>
      </c>
      <c r="E49" s="5" t="n"/>
      <c r="F49" s="5" t="inlineStr">
        <is>
          <t>item_photos/tare_houses/bed.jpg</t>
        </is>
      </c>
      <c r="G49" s="5" t="inlineStr">
        <is>
          <t>Var</t>
        </is>
      </c>
      <c r="H49" s="5" t="inlineStr">
        <is>
          <t>Drive foto 1LcC8KwgiEYRpYcW1xVOTBI30H2b-odfS</t>
        </is>
      </c>
      <c r="I49" s="5" t="n"/>
    </row>
    <row r="50">
      <c r="A50" s="5" t="inlineStr">
        <is>
          <t>Tare Houses Hotel</t>
        </is>
      </c>
      <c r="B50" s="5" t="inlineStr">
        <is>
          <t>paper_towel</t>
        </is>
      </c>
      <c r="C50" s="5" t="inlineStr">
        <is>
          <t>Kağıt havlu standı + rulo</t>
        </is>
      </c>
      <c r="D50" s="5" t="inlineStr">
        <is>
          <t>Sarf</t>
        </is>
      </c>
      <c r="E50" s="5" t="n"/>
      <c r="F50" s="7" t="n"/>
      <c r="G50" s="5" t="inlineStr">
        <is>
          <t>Çekilecek</t>
        </is>
      </c>
      <c r="H50" s="5" t="inlineStr">
        <is>
          <t>Video 18.10.2026</t>
        </is>
      </c>
      <c r="I50" s="5" t="n"/>
    </row>
    <row r="51">
      <c r="A51" s="5" t="inlineStr">
        <is>
          <t>Tare Houses Hotel</t>
        </is>
      </c>
      <c r="B51" s="5" t="inlineStr">
        <is>
          <t>liquid_soap</t>
        </is>
      </c>
      <c r="C51" s="5" t="inlineStr">
        <is>
          <t>Sıvı el sabunu</t>
        </is>
      </c>
      <c r="D51" s="5" t="inlineStr">
        <is>
          <t>Sarf</t>
        </is>
      </c>
      <c r="E51" s="5" t="n"/>
      <c r="F51" s="7" t="n"/>
      <c r="G51" s="5" t="inlineStr">
        <is>
          <t>Çekilecek</t>
        </is>
      </c>
      <c r="H51" s="5" t="inlineStr">
        <is>
          <t>Video 18.10.2026</t>
        </is>
      </c>
      <c r="I51" s="5" t="n"/>
    </row>
    <row r="52">
      <c r="A52" s="5" t="inlineStr">
        <is>
          <t>Tare Houses Hotel</t>
        </is>
      </c>
      <c r="B52" s="5" t="inlineStr">
        <is>
          <t>toilet_paper</t>
        </is>
      </c>
      <c r="C52" s="5" t="inlineStr">
        <is>
          <t>Tuvalet kağıdı (takılı)</t>
        </is>
      </c>
      <c r="D52" s="5" t="inlineStr">
        <is>
          <t>Sarf</t>
        </is>
      </c>
      <c r="E52" s="5" t="n"/>
      <c r="F52" s="7" t="n"/>
      <c r="G52" s="5" t="inlineStr">
        <is>
          <t>Çekilecek</t>
        </is>
      </c>
      <c r="H52" s="5" t="inlineStr">
        <is>
          <t>Video 18.10.2026</t>
        </is>
      </c>
      <c r="I52" s="5" t="n"/>
    </row>
    <row r="53">
      <c r="A53" s="5" t="inlineStr">
        <is>
          <t>Tare Houses Hotel</t>
        </is>
      </c>
      <c r="B53" s="5" t="inlineStr">
        <is>
          <t>toilet_paper_spare</t>
        </is>
      </c>
      <c r="C53" s="5" t="inlineStr">
        <is>
          <t>Yedek tuvalet kağıdı</t>
        </is>
      </c>
      <c r="D53" s="5" t="inlineStr">
        <is>
          <t>Sarf</t>
        </is>
      </c>
      <c r="E53" s="5" t="n"/>
      <c r="F53" s="7" t="n"/>
      <c r="G53" s="5" t="inlineStr">
        <is>
          <t>Çekilecek</t>
        </is>
      </c>
      <c r="H53" s="5" t="inlineStr">
        <is>
          <t>Video 18.10.2026</t>
        </is>
      </c>
      <c r="I53" s="5" t="n"/>
    </row>
    <row r="54">
      <c r="A54" s="5" t="inlineStr">
        <is>
          <t>Tare Houses Hotel</t>
        </is>
      </c>
      <c r="B54" s="5" t="inlineStr">
        <is>
          <t>wooden_bowl</t>
        </is>
      </c>
      <c r="C54" s="5" t="inlineStr">
        <is>
          <t>Ahşap kase</t>
        </is>
      </c>
      <c r="D54" s="5" t="inlineStr">
        <is>
          <t>Mutfak Malzemesi</t>
        </is>
      </c>
      <c r="E54" s="5" t="n"/>
      <c r="F54" s="7" t="n"/>
      <c r="G54" s="5" t="inlineStr">
        <is>
          <t>Çekilecek</t>
        </is>
      </c>
      <c r="H54" s="5" t="inlineStr">
        <is>
          <t>Video 18.10.2026</t>
        </is>
      </c>
      <c r="I54" s="5" t="n"/>
    </row>
    <row r="55">
      <c r="A55" s="5" t="inlineStr">
        <is>
          <t>Tare Houses Hotel</t>
        </is>
      </c>
      <c r="B55" s="5" t="inlineStr">
        <is>
          <t>dish_rack</t>
        </is>
      </c>
      <c r="C55" s="5" t="inlineStr">
        <is>
          <t>Bulaşıklık</t>
        </is>
      </c>
      <c r="D55" s="5" t="inlineStr">
        <is>
          <t>Mutfak Malzemesi</t>
        </is>
      </c>
      <c r="E55" s="5" t="n"/>
      <c r="F55" s="5" t="inlineStr">
        <is>
          <t>item_photos/tare_houses/dish_rack.jpg</t>
        </is>
      </c>
      <c r="G55" s="5" t="inlineStr">
        <is>
          <t>Var</t>
        </is>
      </c>
      <c r="H55" s="5" t="inlineStr">
        <is>
          <t>Video 18.10.2026</t>
        </is>
      </c>
      <c r="I55" s="5" t="n"/>
    </row>
    <row r="56">
      <c r="A56" s="5" t="inlineStr">
        <is>
          <t>Tare Houses Hotel</t>
        </is>
      </c>
      <c r="B56" s="5" t="inlineStr">
        <is>
          <t>dinner_plate</t>
        </is>
      </c>
      <c r="C56" s="5" t="inlineStr">
        <is>
          <t>Büyük tabak (gri)</t>
        </is>
      </c>
      <c r="D56" s="5" t="inlineStr">
        <is>
          <t>Mutfak Malzemesi</t>
        </is>
      </c>
      <c r="E56" s="5" t="n"/>
      <c r="F56" s="5" t="inlineStr">
        <is>
          <t>item_photos/tare_houses/dinner_plate_gray.jpg</t>
        </is>
      </c>
      <c r="G56" s="5" t="inlineStr">
        <is>
          <t>Var</t>
        </is>
      </c>
      <c r="H56" s="5" t="inlineStr">
        <is>
          <t>Video 18.10.2026</t>
        </is>
      </c>
      <c r="I56" s="5" t="n"/>
    </row>
    <row r="57">
      <c r="A57" s="5" t="inlineStr">
        <is>
          <t>Tare Houses Hotel</t>
        </is>
      </c>
      <c r="B57" s="5" t="inlineStr">
        <is>
          <t>sponge_caddy</t>
        </is>
      </c>
      <c r="C57" s="5" t="inlineStr">
        <is>
          <t>Fırça + sünger + deterjan standı</t>
        </is>
      </c>
      <c r="D57" s="5" t="inlineStr">
        <is>
          <t>Mutfak Malzemesi</t>
        </is>
      </c>
      <c r="E57" s="5" t="n"/>
      <c r="F57" s="5" t="inlineStr">
        <is>
          <t>item_photos/tare_houses/sink_caddy.jpg</t>
        </is>
      </c>
      <c r="G57" s="5" t="inlineStr">
        <is>
          <t>Var</t>
        </is>
      </c>
      <c r="H57" s="5" t="inlineStr">
        <is>
          <t>Video 18.10.2026</t>
        </is>
      </c>
      <c r="I57" s="5" t="n"/>
    </row>
    <row r="58">
      <c r="A58" s="5" t="inlineStr">
        <is>
          <t>Tare Houses Hotel</t>
        </is>
      </c>
      <c r="B58" s="5" t="inlineStr">
        <is>
          <t>bowl</t>
        </is>
      </c>
      <c r="C58" s="5" t="inlineStr">
        <is>
          <t>Kase (yeşil)</t>
        </is>
      </c>
      <c r="D58" s="5" t="inlineStr">
        <is>
          <t>Mutfak Malzemesi</t>
        </is>
      </c>
      <c r="E58" s="5" t="n"/>
      <c r="F58" s="5" t="inlineStr">
        <is>
          <t>item_photos/tare_houses/bowl.jpg</t>
        </is>
      </c>
      <c r="G58" s="5" t="inlineStr">
        <is>
          <t>Var</t>
        </is>
      </c>
      <c r="H58" s="5" t="inlineStr">
        <is>
          <t>Video 18.10.2026</t>
        </is>
      </c>
      <c r="I58" s="5" t="n"/>
    </row>
    <row r="59" ht="26.4" customHeight="1">
      <c r="A59" s="5" t="inlineStr">
        <is>
          <t>Tare Houses Hotel</t>
        </is>
      </c>
      <c r="B59" s="5" t="inlineStr">
        <is>
          <t>cutting_board</t>
        </is>
      </c>
      <c r="C59" s="5" t="inlineStr">
        <is>
          <t>Kesme tahtası</t>
        </is>
      </c>
      <c r="D59" s="5" t="inlineStr">
        <is>
          <t>Mutfak Malzemesi</t>
        </is>
      </c>
      <c r="E59" s="5" t="n"/>
      <c r="F59" s="5" t="inlineStr">
        <is>
          <t>item_photos/tare_houses/cutting_board_glass.jpg</t>
        </is>
      </c>
      <c r="G59" s="5" t="inlineStr">
        <is>
          <t>Var</t>
        </is>
      </c>
      <c r="H59" s="5" t="inlineStr">
        <is>
          <t>Video 18.10.2026</t>
        </is>
      </c>
      <c r="I59" s="5" t="n"/>
    </row>
    <row r="60">
      <c r="A60" s="5" t="inlineStr">
        <is>
          <t>Tare Houses Hotel</t>
        </is>
      </c>
      <c r="B60" s="5" t="inlineStr">
        <is>
          <t>knife_set</t>
        </is>
      </c>
      <c r="C60" s="5" t="inlineStr">
        <is>
          <t>Kiyomi bıçak seti</t>
        </is>
      </c>
      <c r="D60" s="5" t="inlineStr">
        <is>
          <t>Mutfak Malzemesi</t>
        </is>
      </c>
      <c r="E60" s="5" t="n"/>
      <c r="F60" s="5" t="inlineStr">
        <is>
          <t>item_photos/tare_houses/knife_set_box.jpg</t>
        </is>
      </c>
      <c r="G60" s="5" t="inlineStr">
        <is>
          <t>Var</t>
        </is>
      </c>
      <c r="H60" s="5" t="inlineStr">
        <is>
          <t>Video 18.10.2026</t>
        </is>
      </c>
      <c r="I60" s="5" t="n"/>
    </row>
    <row r="61">
      <c r="A61" s="5" t="inlineStr">
        <is>
          <t>Tare Houses Hotel</t>
        </is>
      </c>
      <c r="B61" s="5" t="inlineStr">
        <is>
          <t>saucepan</t>
        </is>
      </c>
      <c r="C61" s="5" t="inlineStr">
        <is>
          <t>Kulplu küçük tencere + kapak</t>
        </is>
      </c>
      <c r="D61" s="5" t="inlineStr">
        <is>
          <t>Mutfak Malzemesi</t>
        </is>
      </c>
      <c r="E61" s="5" t="n"/>
      <c r="F61" s="7" t="n"/>
      <c r="G61" s="5" t="inlineStr">
        <is>
          <t>Çekilecek</t>
        </is>
      </c>
      <c r="H61" s="5" t="inlineStr">
        <is>
          <t>Video 18.10.2026</t>
        </is>
      </c>
      <c r="I61" s="5" t="n"/>
    </row>
    <row r="62">
      <c r="A62" s="5" t="inlineStr">
        <is>
          <t>Tare Houses Hotel</t>
        </is>
      </c>
      <c r="B62" s="5" t="inlineStr">
        <is>
          <t>mug</t>
        </is>
      </c>
      <c r="C62" s="5" t="inlineStr">
        <is>
          <t>Kupa</t>
        </is>
      </c>
      <c r="D62" s="5" t="inlineStr">
        <is>
          <t>Mutfak Malzemesi</t>
        </is>
      </c>
      <c r="E62" s="5" t="n"/>
      <c r="F62" s="5" t="inlineStr">
        <is>
          <t>item_photos/tare_houses/cup.jpg</t>
        </is>
      </c>
      <c r="G62" s="5" t="inlineStr">
        <is>
          <t>Var</t>
        </is>
      </c>
      <c r="H62" s="5" t="inlineStr">
        <is>
          <t>Video 18.10.2026</t>
        </is>
      </c>
      <c r="I62" s="5" t="n"/>
    </row>
    <row r="63">
      <c r="A63" s="5" t="inlineStr">
        <is>
          <t>Tare Houses Hotel</t>
        </is>
      </c>
      <c r="B63" s="5" t="inlineStr">
        <is>
          <t>side_plate</t>
        </is>
      </c>
      <c r="C63" s="5" t="inlineStr">
        <is>
          <t>Küçük tabak (gri)</t>
        </is>
      </c>
      <c r="D63" s="5" t="inlineStr">
        <is>
          <t>Mutfak Malzemesi</t>
        </is>
      </c>
      <c r="E63" s="5" t="n"/>
      <c r="F63" s="5" t="inlineStr">
        <is>
          <t>item_photos/tare_houses/small_plate_gray.jpg</t>
        </is>
      </c>
      <c r="G63" s="5" t="inlineStr">
        <is>
          <t>Var</t>
        </is>
      </c>
      <c r="H63" s="5" t="inlineStr">
        <is>
          <t>Video 18.10.2026</t>
        </is>
      </c>
      <c r="I63" s="5" t="n"/>
    </row>
    <row r="64" ht="26.4" customHeight="1">
      <c r="A64" s="5" t="inlineStr">
        <is>
          <t>Tare Houses Hotel</t>
        </is>
      </c>
      <c r="B64" s="5" t="inlineStr">
        <is>
          <t>small_plate_green</t>
        </is>
      </c>
      <c r="C64" s="5" t="inlineStr">
        <is>
          <t>Küçük tabak (yeşil)</t>
        </is>
      </c>
      <c r="D64" s="5" t="inlineStr">
        <is>
          <t>Mutfak Malzemesi</t>
        </is>
      </c>
      <c r="E64" s="5" t="n"/>
      <c r="F64" s="5" t="inlineStr">
        <is>
          <t>item_photos/tare_houses/saucer_plate_olive.jpg</t>
        </is>
      </c>
      <c r="G64" s="5" t="inlineStr">
        <is>
          <t>Var</t>
        </is>
      </c>
      <c r="H64" s="5" t="inlineStr">
        <is>
          <t>Video 18.10.2026</t>
        </is>
      </c>
      <c r="I64" s="5" t="n"/>
    </row>
    <row r="65">
      <c r="A65" s="5" t="inlineStr">
        <is>
          <t>Tare Houses Hotel</t>
        </is>
      </c>
      <c r="B65" s="5" t="inlineStr">
        <is>
          <t>trivet</t>
        </is>
      </c>
      <c r="C65" s="5" t="inlineStr">
        <is>
          <t>Mantar nihale</t>
        </is>
      </c>
      <c r="D65" s="5" t="inlineStr">
        <is>
          <t>Mutfak Malzemesi</t>
        </is>
      </c>
      <c r="E65" s="5" t="n"/>
      <c r="F65" s="7" t="n"/>
      <c r="G65" s="5" t="inlineStr">
        <is>
          <t>Çekilecek</t>
        </is>
      </c>
      <c r="H65" s="5" t="inlineStr">
        <is>
          <t>Video 18.10.2026</t>
        </is>
      </c>
      <c r="I65" s="5" t="n"/>
    </row>
    <row r="66">
      <c r="A66" s="5" t="inlineStr">
        <is>
          <t>Tare Houses Hotel</t>
        </is>
      </c>
      <c r="B66" s="5" t="inlineStr">
        <is>
          <t>silicone_slotted</t>
        </is>
      </c>
      <c r="C66" s="5" t="inlineStr">
        <is>
          <t>Silikon delikli kepçe</t>
        </is>
      </c>
      <c r="D66" s="5" t="inlineStr">
        <is>
          <t>Mutfak Malzemesi</t>
        </is>
      </c>
      <c r="E66" s="5" t="n"/>
      <c r="F66" s="5" t="inlineStr">
        <is>
          <t>item_photos/tare_houses/silicone_skimmer.jpg</t>
        </is>
      </c>
      <c r="G66" s="5" t="inlineStr">
        <is>
          <t>Var</t>
        </is>
      </c>
      <c r="H66" s="5" t="inlineStr">
        <is>
          <t>Video 18.10.2026</t>
        </is>
      </c>
      <c r="I66" s="5" t="n"/>
    </row>
    <row r="67" ht="26.4" customHeight="1">
      <c r="A67" s="5" t="inlineStr">
        <is>
          <t>Tare Houses Hotel</t>
        </is>
      </c>
      <c r="B67" s="5" t="inlineStr">
        <is>
          <t>silicone_spoon</t>
        </is>
      </c>
      <c r="C67" s="5" t="inlineStr">
        <is>
          <t>Silikon servis kaşığı</t>
        </is>
      </c>
      <c r="D67" s="5" t="inlineStr">
        <is>
          <t>Mutfak Malzemesi</t>
        </is>
      </c>
      <c r="E67" s="5" t="n"/>
      <c r="F67" s="5" t="inlineStr">
        <is>
          <t>item_photos/tare_houses/silicone_serving_spoon.jpg</t>
        </is>
      </c>
      <c r="G67" s="5" t="inlineStr">
        <is>
          <t>Var</t>
        </is>
      </c>
      <c r="H67" s="5" t="inlineStr">
        <is>
          <t>Video 18.10.2026</t>
        </is>
      </c>
      <c r="I67" s="5" t="n"/>
    </row>
    <row r="68">
      <c r="A68" s="5" t="inlineStr">
        <is>
          <t>Tare Houses Hotel</t>
        </is>
      </c>
      <c r="B68" s="5" t="inlineStr">
        <is>
          <t>sauce_bowl</t>
        </is>
      </c>
      <c r="C68" s="5" t="inlineStr">
        <is>
          <t>Sos kasesi (krem)</t>
        </is>
      </c>
      <c r="D68" s="5" t="inlineStr">
        <is>
          <t>Mutfak Malzemesi</t>
        </is>
      </c>
      <c r="E68" s="5" t="n"/>
      <c r="F68" s="5" t="inlineStr">
        <is>
          <t>item_photos/tare_houses/sauce_bowl.jpg</t>
        </is>
      </c>
      <c r="G68" s="5" t="inlineStr">
        <is>
          <t>Var</t>
        </is>
      </c>
      <c r="H68" s="5" t="inlineStr">
        <is>
          <t>Video 18.10.2026</t>
        </is>
      </c>
      <c r="I68" s="5" t="n"/>
    </row>
    <row r="69">
      <c r="A69" s="5" t="inlineStr">
        <is>
          <t>Tare Houses Hotel</t>
        </is>
      </c>
      <c r="B69" s="5" t="inlineStr">
        <is>
          <t>water_glass</t>
        </is>
      </c>
      <c r="C69" s="5" t="inlineStr">
        <is>
          <t>Su bardağı</t>
        </is>
      </c>
      <c r="D69" s="5" t="inlineStr">
        <is>
          <t>Mutfak Malzemesi</t>
        </is>
      </c>
      <c r="E69" s="5" t="n"/>
      <c r="F69" s="5" t="inlineStr">
        <is>
          <t>item_photos/tare_houses/water_glass.jpg</t>
        </is>
      </c>
      <c r="G69" s="5" t="inlineStr">
        <is>
          <t>Var</t>
        </is>
      </c>
      <c r="H69" s="5" t="inlineStr">
        <is>
          <t>Video 18.10.2026</t>
        </is>
      </c>
      <c r="I69" s="5" t="n"/>
    </row>
    <row r="70">
      <c r="A70" s="5" t="inlineStr">
        <is>
          <t>Tare Houses Hotel</t>
        </is>
      </c>
      <c r="B70" s="5" t="inlineStr">
        <is>
          <t>frying_pan</t>
        </is>
      </c>
      <c r="C70" s="5" t="inlineStr">
        <is>
          <t>Tava</t>
        </is>
      </c>
      <c r="D70" s="5" t="inlineStr">
        <is>
          <t>Mutfak Malzemesi</t>
        </is>
      </c>
      <c r="E70" s="5" t="n"/>
      <c r="F70" s="7" t="n"/>
      <c r="G70" s="5" t="inlineStr">
        <is>
          <t>Çekilecek</t>
        </is>
      </c>
      <c r="H70" s="5" t="inlineStr">
        <is>
          <t>Video 18.10.2026</t>
        </is>
      </c>
      <c r="I70" s="5" t="n"/>
    </row>
    <row r="71">
      <c r="A71" s="5" t="inlineStr">
        <is>
          <t>Tare Houses Hotel</t>
        </is>
      </c>
      <c r="B71" s="5" t="inlineStr">
        <is>
          <t>pot</t>
        </is>
      </c>
      <c r="C71" s="5" t="inlineStr">
        <is>
          <t>Tencere + kapak</t>
        </is>
      </c>
      <c r="D71" s="5" t="inlineStr">
        <is>
          <t>Mutfak Malzemesi</t>
        </is>
      </c>
      <c r="E71" s="5" t="n"/>
      <c r="F71" s="7" t="n"/>
      <c r="G71" s="5" t="inlineStr">
        <is>
          <t>Çekilecek</t>
        </is>
      </c>
      <c r="H71" s="5" t="inlineStr">
        <is>
          <t>Video 18.10.2026</t>
        </is>
      </c>
      <c r="I71" s="5" t="n"/>
    </row>
    <row r="72">
      <c r="A72" s="5" t="inlineStr">
        <is>
          <t>Tare Houses Hotel</t>
        </is>
      </c>
      <c r="B72" s="5" t="inlineStr">
        <is>
          <t>salt_pepper_set</t>
        </is>
      </c>
      <c r="C72" s="5" t="inlineStr">
        <is>
          <t>Tuz-biber-kürdan standı</t>
        </is>
      </c>
      <c r="D72" s="5" t="inlineStr">
        <is>
          <t>Mutfak Malzemesi</t>
        </is>
      </c>
      <c r="E72" s="5" t="n"/>
      <c r="F72" s="5" t="inlineStr">
        <is>
          <t>item_photos/tare_houses/salt_pepper_stand.jpg</t>
        </is>
      </c>
      <c r="G72" s="5" t="inlineStr">
        <is>
          <t>Var</t>
        </is>
      </c>
      <c r="H72" s="5" t="inlineStr">
        <is>
          <t>Video 18.10.2026</t>
        </is>
      </c>
      <c r="I72" s="5" t="n"/>
    </row>
    <row r="73">
      <c r="A73" s="5" t="inlineStr">
        <is>
          <t>Tare Houses Hotel</t>
        </is>
      </c>
      <c r="B73" s="5" t="inlineStr">
        <is>
          <t>oil_bottle</t>
        </is>
      </c>
      <c r="C73" s="5" t="inlineStr">
        <is>
          <t>Yağ şişesi</t>
        </is>
      </c>
      <c r="D73" s="5" t="inlineStr">
        <is>
          <t>Mutfak Malzemesi</t>
        </is>
      </c>
      <c r="E73" s="5" t="n"/>
      <c r="F73" s="7" t="n"/>
      <c r="G73" s="5" t="inlineStr">
        <is>
          <t>Çekilecek</t>
        </is>
      </c>
      <c r="H73" s="5" t="inlineStr">
        <is>
          <t>Video 18.10.2026</t>
        </is>
      </c>
      <c r="I73" s="5" t="n"/>
    </row>
    <row r="74">
      <c r="A74" s="5" t="inlineStr">
        <is>
          <t>Tare Houses Hotel</t>
        </is>
      </c>
      <c r="B74" s="5" t="inlineStr">
        <is>
          <t>knife</t>
        </is>
      </c>
      <c r="C74" s="5" t="inlineStr">
        <is>
          <t>Yemek bıçağı</t>
        </is>
      </c>
      <c r="D74" s="5" t="inlineStr">
        <is>
          <t>Mutfak Malzemesi</t>
        </is>
      </c>
      <c r="E74" s="5" t="n"/>
      <c r="F74" s="5" t="inlineStr">
        <is>
          <t>item_photos/tare_houses/knife_spoon.jpg</t>
        </is>
      </c>
      <c r="G74" s="5" t="inlineStr">
        <is>
          <t>Var</t>
        </is>
      </c>
      <c r="H74" s="5" t="inlineStr">
        <is>
          <t>Video 18.10.2026</t>
        </is>
      </c>
      <c r="I74" s="5" t="n"/>
    </row>
    <row r="75">
      <c r="A75" s="5" t="inlineStr">
        <is>
          <t>Tare Houses Hotel</t>
        </is>
      </c>
      <c r="B75" s="5" t="inlineStr">
        <is>
          <t>spoon</t>
        </is>
      </c>
      <c r="C75" s="5" t="inlineStr">
        <is>
          <t>Yemek kaşığı</t>
        </is>
      </c>
      <c r="D75" s="5" t="inlineStr">
        <is>
          <t>Mutfak Malzemesi</t>
        </is>
      </c>
      <c r="E75" s="5" t="n"/>
      <c r="F75" s="5" t="inlineStr">
        <is>
          <t>item_photos/tare_houses/knife_spoon.jpg</t>
        </is>
      </c>
      <c r="G75" s="5" t="inlineStr">
        <is>
          <t>Var</t>
        </is>
      </c>
      <c r="H75" s="5" t="inlineStr">
        <is>
          <t>Video 18.10.2026</t>
        </is>
      </c>
      <c r="I75" s="5" t="n"/>
    </row>
    <row r="76">
      <c r="A76" s="5" t="inlineStr">
        <is>
          <t>Tare Houses Hotel</t>
        </is>
      </c>
      <c r="B76" s="5" t="inlineStr">
        <is>
          <t>fork</t>
        </is>
      </c>
      <c r="C76" s="5" t="inlineStr">
        <is>
          <t>Yemek çatalı</t>
        </is>
      </c>
      <c r="D76" s="5" t="inlineStr">
        <is>
          <t>Mutfak Malzemesi</t>
        </is>
      </c>
      <c r="E76" s="5" t="n"/>
      <c r="F76" s="5" t="inlineStr">
        <is>
          <t>item_photos/tare_houses/fork.jpg</t>
        </is>
      </c>
      <c r="G76" s="5" t="inlineStr">
        <is>
          <t>Var</t>
        </is>
      </c>
      <c r="H76" s="5" t="inlineStr">
        <is>
          <t>Video 18.10.2026</t>
        </is>
      </c>
      <c r="I76" s="5" t="n"/>
    </row>
    <row r="77" ht="39.6" customHeight="1">
      <c r="A77" s="5" t="inlineStr">
        <is>
          <t>Tare Houses Hotel</t>
        </is>
      </c>
      <c r="B77" s="5" t="inlineStr">
        <is>
          <t>cutlery_tray</t>
        </is>
      </c>
      <c r="C77" s="5" t="inlineStr">
        <is>
          <t>Çatal-bıçak kaşıklığı (gri plastik, 5 bölmeli) – çatal, kaşık, bıçak, çay kaşığı</t>
        </is>
      </c>
      <c r="D77" s="5" t="inlineStr">
        <is>
          <t>Mutfak Malzemesi</t>
        </is>
      </c>
      <c r="E77" s="5" t="n"/>
      <c r="F77" s="5" t="inlineStr">
        <is>
          <t>item_photos/tare_houses/cutlery_tray.jpg</t>
        </is>
      </c>
      <c r="G77" s="5" t="inlineStr">
        <is>
          <t>Var</t>
        </is>
      </c>
      <c r="H77" s="5" t="inlineStr">
        <is>
          <t>Drive foto 1gBhQHIi6bzk6tGomCZtnNvQvkrdWcUKS</t>
        </is>
      </c>
      <c r="I77" s="5" t="n"/>
    </row>
    <row r="78" ht="39.6" customHeight="1">
      <c r="A78" s="5" t="inlineStr">
        <is>
          <t>Tare Houses Hotel</t>
        </is>
      </c>
      <c r="B78" s="5" t="inlineStr">
        <is>
          <t>tea_glass</t>
        </is>
      </c>
      <c r="C78" s="5" t="inlineStr">
        <is>
          <t>Çay bardağı, ince belli şeffaf cam</t>
        </is>
      </c>
      <c r="D78" s="5" t="inlineStr">
        <is>
          <t>Mutfak Malzemesi</t>
        </is>
      </c>
      <c r="E78" s="5" t="n"/>
      <c r="F78" s="5" t="inlineStr">
        <is>
          <t>item_photos/tare_houses/tea_glass.jpg</t>
        </is>
      </c>
      <c r="G78" s="5" t="inlineStr">
        <is>
          <t>Var</t>
        </is>
      </c>
      <c r="H78" s="5" t="inlineStr">
        <is>
          <t>Drive foto 1awZJAU5Wpc9nJPY0E1_3Br2lAtjrUbBV</t>
        </is>
      </c>
      <c r="I78" s="5" t="n"/>
    </row>
    <row r="79">
      <c r="A79" s="5" t="inlineStr">
        <is>
          <t>Tare Houses Hotel</t>
        </is>
      </c>
      <c r="B79" s="5" t="inlineStr">
        <is>
          <t>teaspoon</t>
        </is>
      </c>
      <c r="C79" s="5" t="inlineStr">
        <is>
          <t>Çay kaşığı</t>
        </is>
      </c>
      <c r="D79" s="5" t="inlineStr">
        <is>
          <t>Mutfak Malzemesi</t>
        </is>
      </c>
      <c r="E79" s="5" t="n"/>
      <c r="F79" s="7" t="n"/>
      <c r="G79" s="5" t="inlineStr">
        <is>
          <t>Çekilecek</t>
        </is>
      </c>
      <c r="H79" s="5" t="inlineStr">
        <is>
          <t>Video 18.10.2026</t>
        </is>
      </c>
      <c r="I79" s="5" t="n"/>
    </row>
    <row r="80">
      <c r="A80" s="5" t="inlineStr">
        <is>
          <t>Tare Houses Hotel</t>
        </is>
      </c>
      <c r="B80" s="5" t="inlineStr">
        <is>
          <t>deep_plate</t>
        </is>
      </c>
      <c r="C80" s="5" t="inlineStr">
        <is>
          <t>Çukur tabak (yeşil)</t>
        </is>
      </c>
      <c r="D80" s="5" t="inlineStr">
        <is>
          <t>Mutfak Malzemesi</t>
        </is>
      </c>
      <c r="E80" s="5" t="n"/>
      <c r="F80" s="5" t="inlineStr">
        <is>
          <t>item_photos/tare_houses/deep_plate.jpg</t>
        </is>
      </c>
      <c r="G80" s="5" t="inlineStr">
        <is>
          <t>Var</t>
        </is>
      </c>
      <c r="H80" s="5" t="inlineStr">
        <is>
          <t>Video 18.10.2026</t>
        </is>
      </c>
      <c r="I80" s="5" t="n"/>
    </row>
    <row r="81">
      <c r="A81" s="5" t="inlineStr">
        <is>
          <t>Tare Houses Hotel</t>
        </is>
      </c>
      <c r="B81" s="5" t="inlineStr">
        <is>
          <t>corkscrew</t>
        </is>
      </c>
      <c r="C81" s="5" t="inlineStr">
        <is>
          <t>Şarap açacağı</t>
        </is>
      </c>
      <c r="D81" s="5" t="inlineStr">
        <is>
          <t>Mutfak Malzemesi</t>
        </is>
      </c>
      <c r="E81" s="5" t="n"/>
      <c r="F81" s="5" t="inlineStr">
        <is>
          <t>item_photos/tare_houses/corkscrew.jpg</t>
        </is>
      </c>
      <c r="G81" s="5" t="inlineStr">
        <is>
          <t>Var</t>
        </is>
      </c>
      <c r="H81" s="5" t="inlineStr">
        <is>
          <t>Video 18.10.2026</t>
        </is>
      </c>
      <c r="I81" s="5" t="n"/>
    </row>
    <row r="82">
      <c r="A82" s="5" t="inlineStr">
        <is>
          <t>Tare Houses Hotel</t>
        </is>
      </c>
      <c r="B82" s="5" t="inlineStr">
        <is>
          <t>wine_glass</t>
        </is>
      </c>
      <c r="C82" s="5" t="inlineStr">
        <is>
          <t>Şarap kadehi</t>
        </is>
      </c>
      <c r="D82" s="5" t="inlineStr">
        <is>
          <t>Mutfak Malzemesi</t>
        </is>
      </c>
      <c r="E82" s="5" t="n"/>
      <c r="F82" s="5" t="inlineStr">
        <is>
          <t>item_photos/tare_houses/wine_glass.jpg</t>
        </is>
      </c>
      <c r="G82" s="5" t="inlineStr">
        <is>
          <t>Var</t>
        </is>
      </c>
      <c r="H82" s="5" t="inlineStr">
        <is>
          <t>Video 18.10.2026</t>
        </is>
      </c>
      <c r="I82" s="5" t="n"/>
    </row>
    <row r="83">
      <c r="A83" s="5" t="inlineStr">
        <is>
          <t>Tare Houses Hotel</t>
        </is>
      </c>
      <c r="B83" s="5" t="inlineStr">
        <is>
          <t>water</t>
        </is>
      </c>
      <c r="C83" s="5" t="inlineStr">
        <is>
          <t>Su (şişe)</t>
        </is>
      </c>
      <c r="D83" s="5" t="inlineStr">
        <is>
          <t>İçecek</t>
        </is>
      </c>
      <c r="E83" s="5" t="n"/>
      <c r="F83" s="7" t="inlineStr">
        <is>
          <t>item_photos/suites_urla/wc_set.jpg</t>
        </is>
      </c>
      <c r="G83" s="5" t="inlineStr">
        <is>
          <t>Çekilecek</t>
        </is>
      </c>
      <c r="H83" s="5" t="inlineStr">
        <is>
          <t>Video 18.10.2026</t>
        </is>
      </c>
      <c r="I83" s="5" t="n"/>
    </row>
    <row r="84">
      <c r="A84" s="5" t="inlineStr">
        <is>
          <t>Tare Houses Hotel</t>
        </is>
      </c>
      <c r="B84" s="5" t="inlineStr">
        <is>
          <t>coffee</t>
        </is>
      </c>
      <c r="C84" s="5" t="inlineStr">
        <is>
          <t>Kahve (stick/kapsül)</t>
        </is>
      </c>
      <c r="D84" s="5" t="inlineStr">
        <is>
          <t>İkram</t>
        </is>
      </c>
      <c r="E84" s="5" t="n"/>
      <c r="F84" s="7" t="n"/>
      <c r="G84" s="5" t="inlineStr">
        <is>
          <t>Çekilecek</t>
        </is>
      </c>
      <c r="H84" s="5" t="inlineStr">
        <is>
          <t>Video 18.10.2026</t>
        </is>
      </c>
      <c r="I84" s="5" t="n"/>
    </row>
    <row r="85">
      <c r="A85" s="5" t="inlineStr">
        <is>
          <t>Tare Houses Hotel</t>
        </is>
      </c>
      <c r="B85" s="5" t="inlineStr">
        <is>
          <t>tea</t>
        </is>
      </c>
      <c r="C85" s="5" t="inlineStr">
        <is>
          <t>Çay (poşet)</t>
        </is>
      </c>
      <c r="D85" s="5" t="inlineStr">
        <is>
          <t>İkram</t>
        </is>
      </c>
      <c r="E85" s="5" t="n"/>
      <c r="F85" s="7" t="n"/>
      <c r="G85" s="5" t="inlineStr">
        <is>
          <t>Çekilecek</t>
        </is>
      </c>
      <c r="H85" s="5" t="inlineStr">
        <is>
          <t>Video 18.10.2026</t>
        </is>
      </c>
      <c r="I85" s="5" t="n"/>
    </row>
    <row r="86">
      <c r="A86" s="5" t="inlineStr">
        <is>
          <t>Tare Houses Hotel</t>
        </is>
      </c>
      <c r="B86" s="5" t="inlineStr">
        <is>
          <t>sugar</t>
        </is>
      </c>
      <c r="C86" s="5" t="inlineStr">
        <is>
          <t>Şeker (stick)</t>
        </is>
      </c>
      <c r="D86" s="5" t="inlineStr">
        <is>
          <t>İkram</t>
        </is>
      </c>
      <c r="E86" s="5" t="n"/>
      <c r="F86" s="7" t="n"/>
      <c r="G86" s="5" t="inlineStr">
        <is>
          <t>Çekilecek</t>
        </is>
      </c>
      <c r="H86" s="5" t="inlineStr">
        <is>
          <t>Video 18.10.2026</t>
        </is>
      </c>
      <c r="I86" s="5" t="n"/>
    </row>
    <row r="87" ht="66" customHeight="1">
      <c r="A87" s="5" t="inlineStr">
        <is>
          <t>Tare Suites Urla</t>
        </is>
      </c>
      <c r="B87" s="5" t="inlineStr">
        <is>
          <t>asma_klozet</t>
        </is>
      </c>
      <c r="C87" s="5" t="inlineStr">
        <is>
          <t>Asma klozet + gömme rezervuar</t>
        </is>
      </c>
      <c r="D87" s="5" t="inlineStr">
        <is>
          <t>Demirbaş</t>
        </is>
      </c>
      <c r="E87" s="5" t="n"/>
      <c r="F87" s="7" t="inlineStr">
        <is>
          <t>item_photos/suites_urla/wc_set.jpg</t>
        </is>
      </c>
      <c r="G87" s="5" t="inlineStr">
        <is>
          <t>Var</t>
        </is>
      </c>
      <c r="H87" s="5" t="inlineStr">
        <is>
          <t>Drive foto EDR_IMG_1221 / DSSW_IMG_1216 / EXSB_IMG_1222 / DS_IMG_1541 / DFS_IMG_1159</t>
        </is>
      </c>
      <c r="I87" s="5" t="n"/>
    </row>
    <row r="88" ht="26.4" customHeight="1">
      <c r="A88" s="5" t="inlineStr">
        <is>
          <t>Tare Suites Urla</t>
        </is>
      </c>
      <c r="B88" s="5" t="inlineStr">
        <is>
          <t>ikram_tepsisi</t>
        </is>
      </c>
      <c r="C88" s="5" t="inlineStr">
        <is>
          <t>Bambu ikram tepsisi</t>
        </is>
      </c>
      <c r="D88" s="5" t="inlineStr">
        <is>
          <t>Demirbaş</t>
        </is>
      </c>
      <c r="E88" s="5" t="n"/>
      <c r="F88" s="5" t="inlineStr">
        <is>
          <t>item_photos/suites_urla/ikram_tepsisi.jpg</t>
        </is>
      </c>
      <c r="G88" s="5" t="inlineStr">
        <is>
          <t>Var</t>
        </is>
      </c>
      <c r="H88" s="5" t="inlineStr">
        <is>
          <t>Drive foto EDR_IMG_1218 / DFS_IMG_1152</t>
        </is>
      </c>
      <c r="I88" s="5" t="n"/>
    </row>
    <row r="89" ht="52.8" customHeight="1">
      <c r="A89" s="5" t="inlineStr">
        <is>
          <t>Tare Suites Urla</t>
        </is>
      </c>
      <c r="B89" s="5" t="inlineStr">
        <is>
          <t>banyo_aynasi</t>
        </is>
      </c>
      <c r="C89" s="5" t="inlineStr">
        <is>
          <t>Banyo aynası</t>
        </is>
      </c>
      <c r="D89" s="5" t="inlineStr">
        <is>
          <t>Demirbaş</t>
        </is>
      </c>
      <c r="E89" s="5" t="n"/>
      <c r="F89" s="7" t="inlineStr">
        <is>
          <t>item_photos/suites_urla/yuvarlak_ayna.jpg</t>
        </is>
      </c>
      <c r="G89" s="5" t="inlineStr">
        <is>
          <t>Var</t>
        </is>
      </c>
      <c r="H89" s="5" t="inlineStr">
        <is>
          <t>Drive foto EDR_IMG_1220 / DSSW_IMG_1215 / EXSB_IMG_1222 / DS_IMG_1542</t>
        </is>
      </c>
      <c r="I89" s="5" t="n"/>
    </row>
    <row r="90" ht="26.4" customHeight="1">
      <c r="A90" s="5" t="inlineStr">
        <is>
          <t>Tare Suites Urla</t>
        </is>
      </c>
      <c r="B90" s="5" t="inlineStr">
        <is>
          <t>duman_dedektoru</t>
        </is>
      </c>
      <c r="C90" s="5" t="inlineStr">
        <is>
          <t>Duman dedektörü</t>
        </is>
      </c>
      <c r="D90" s="5" t="inlineStr">
        <is>
          <t>Demirbaş</t>
        </is>
      </c>
      <c r="E90" s="5" t="n"/>
      <c r="F90" s="7" t="inlineStr">
        <is>
          <t>item_photos/suites_urla/duvar_tv.jpg</t>
        </is>
      </c>
      <c r="G90" s="5" t="inlineStr">
        <is>
          <t>Çekilecek</t>
        </is>
      </c>
      <c r="H90" s="5" t="inlineStr">
        <is>
          <t>Drive foto EDR_IMG_1218 / DSSW_IMG_1211</t>
        </is>
      </c>
      <c r="I90" s="5" t="n"/>
    </row>
    <row r="91" ht="66" customHeight="1">
      <c r="A91" s="5" t="inlineStr">
        <is>
          <t>Tare Suites Urla</t>
        </is>
      </c>
      <c r="B91" s="5" t="inlineStr">
        <is>
          <t>aplik</t>
        </is>
      </c>
      <c r="C91" s="5" t="inlineStr">
        <is>
          <t>Duvar apliği</t>
        </is>
      </c>
      <c r="D91" s="5" t="inlineStr">
        <is>
          <t>Demirbaş</t>
        </is>
      </c>
      <c r="E91" s="5" t="n"/>
      <c r="F91" s="7" t="n"/>
      <c r="G91" s="5" t="inlineStr">
        <is>
          <t>Çekilecek</t>
        </is>
      </c>
      <c r="H91" s="5" t="inlineStr">
        <is>
          <t>Drive foto EDR_IMG_1545 / DSSW_IMG_1214 / EXSB_IMG_1225 / DS_IMG_1539 / DFS_IMG_1161</t>
        </is>
      </c>
      <c r="I91" s="5" t="n"/>
    </row>
    <row r="92" ht="66" customHeight="1">
      <c r="A92" s="5" t="inlineStr">
        <is>
          <t>Tare Suites Urla</t>
        </is>
      </c>
      <c r="B92" s="5" t="inlineStr">
        <is>
          <t>havlu_rafi</t>
        </is>
      </c>
      <c r="C92" s="5" t="inlineStr">
        <is>
          <t>Duvar havlu rafı (krom, 2 katlı)</t>
        </is>
      </c>
      <c r="D92" s="5" t="inlineStr">
        <is>
          <t>Demirbaş</t>
        </is>
      </c>
      <c r="E92" s="5" t="n"/>
      <c r="F92" s="5" t="inlineStr">
        <is>
          <t>item_photos/suites_urla/havlu_rafi.jpg</t>
        </is>
      </c>
      <c r="G92" s="5" t="inlineStr">
        <is>
          <t>Var</t>
        </is>
      </c>
      <c r="H92" s="5" t="inlineStr">
        <is>
          <t>Drive foto EDR_IMG_1221 / DSSW_IMG_1216 / EXSB_IMG_1222 / DS_IMG_1541 / DFS_IMG_1158</t>
        </is>
      </c>
      <c r="I92" s="5" t="n"/>
    </row>
    <row r="93" ht="66" customHeight="1">
      <c r="A93" s="5" t="inlineStr">
        <is>
          <t>Tare Suites Urla</t>
        </is>
      </c>
      <c r="B93" s="5" t="inlineStr">
        <is>
          <t>tablo</t>
        </is>
      </c>
      <c r="C93" s="5" t="inlineStr">
        <is>
          <t>Duvar tablosu</t>
        </is>
      </c>
      <c r="D93" s="5" t="inlineStr">
        <is>
          <t>Demirbaş</t>
        </is>
      </c>
      <c r="E93" s="5" t="n"/>
      <c r="F93" s="7" t="inlineStr">
        <is>
          <t>item_photos/suites_urla/gardirop.jpg</t>
        </is>
      </c>
      <c r="G93" s="5" t="inlineStr">
        <is>
          <t>Çekilecek</t>
        </is>
      </c>
      <c r="H93" s="5" t="inlineStr">
        <is>
          <t>Drive foto EDR_IMG_1543 / DSSW_IMG_1214 / EXSB_IMG_1223 / DS_IMG_1539 / DFS_IMG_1160</t>
        </is>
      </c>
      <c r="I93" s="5" t="n"/>
    </row>
    <row r="94" ht="66" customHeight="1">
      <c r="A94" s="5" t="inlineStr">
        <is>
          <t>Tare Suites Urla</t>
        </is>
      </c>
      <c r="B94" s="5" t="inlineStr">
        <is>
          <t>duvar_tv</t>
        </is>
      </c>
      <c r="C94" s="5" t="inlineStr">
        <is>
          <t>Duvar tipi TV</t>
        </is>
      </c>
      <c r="D94" s="5" t="inlineStr">
        <is>
          <t>Demirbaş</t>
        </is>
      </c>
      <c r="E94" s="5" t="n"/>
      <c r="F94" s="5" t="inlineStr">
        <is>
          <t>item_photos/suites_urla/duvar_tv.jpg</t>
        </is>
      </c>
      <c r="G94" s="5" t="inlineStr">
        <is>
          <t>Var</t>
        </is>
      </c>
      <c r="H94" s="5" t="inlineStr">
        <is>
          <t>Drive foto EDR_IMG_1219 / DSSW_IMG_1213 / EXSB_IMG_1226 / DS_IMG_1537 / DFS_IMG_1153</t>
        </is>
      </c>
      <c r="I94" s="5" t="n"/>
    </row>
    <row r="95" ht="26.4" customHeight="1">
      <c r="A95" s="5" t="inlineStr">
        <is>
          <t>Tare Suites Urla</t>
        </is>
      </c>
      <c r="B95" s="5" t="inlineStr">
        <is>
          <t>dus_rafi</t>
        </is>
      </c>
      <c r="C95" s="5" t="inlineStr">
        <is>
          <t>Duş içi tel raf/sepet</t>
        </is>
      </c>
      <c r="D95" s="5" t="inlineStr">
        <is>
          <t>Demirbaş</t>
        </is>
      </c>
      <c r="E95" s="5" t="n"/>
      <c r="F95" s="7" t="inlineStr">
        <is>
          <t>item_photos/suites_urla/calisma_masasi_ayna.jpg</t>
        </is>
      </c>
      <c r="G95" s="5" t="inlineStr">
        <is>
          <t>Çekilecek</t>
        </is>
      </c>
      <c r="H95" s="5" t="inlineStr">
        <is>
          <t>Drive foto EDR_IMG_1220 / DSSW_IMG_1215</t>
        </is>
      </c>
      <c r="I95" s="5" t="n"/>
    </row>
    <row r="96" ht="66" customHeight="1">
      <c r="A96" s="5" t="inlineStr">
        <is>
          <t>Tare Suites Urla</t>
        </is>
      </c>
      <c r="B96" s="5" t="inlineStr">
        <is>
          <t>dus_kabini</t>
        </is>
      </c>
      <c r="C96" s="5" t="inlineStr">
        <is>
          <t>Duş kabini (cam, köşe)</t>
        </is>
      </c>
      <c r="D96" s="5" t="inlineStr">
        <is>
          <t>Demirbaş</t>
        </is>
      </c>
      <c r="E96" s="5" t="n"/>
      <c r="F96" s="7" t="inlineStr">
        <is>
          <t>item_photos/suites_urla/dus_kabini.jpg</t>
        </is>
      </c>
      <c r="G96" s="5" t="inlineStr">
        <is>
          <t>Var</t>
        </is>
      </c>
      <c r="H96" s="5" t="inlineStr">
        <is>
          <t>Drive foto EDR_IMG_1220 / DSSW_IMG_1215 / EXSB_IMG_1222 / DS_IMG_1541 / DFS_IMG_1158</t>
        </is>
      </c>
      <c r="I96" s="5" t="n"/>
    </row>
    <row r="97">
      <c r="A97" s="5" t="inlineStr">
        <is>
          <t>Tare Suites Urla</t>
        </is>
      </c>
      <c r="B97" s="5" t="inlineStr">
        <is>
          <t>gardirop</t>
        </is>
      </c>
      <c r="C97" s="5" t="inlineStr">
        <is>
          <t>Gardırop (2 kapaklı)</t>
        </is>
      </c>
      <c r="D97" s="5" t="inlineStr">
        <is>
          <t>Demirbaş</t>
        </is>
      </c>
      <c r="E97" s="5" t="n"/>
      <c r="F97" s="7" t="inlineStr">
        <is>
          <t>item_photos/suites_urla/gardirop.jpg</t>
        </is>
      </c>
      <c r="G97" s="5" t="inlineStr">
        <is>
          <t>Var</t>
        </is>
      </c>
      <c r="H97" s="5" t="inlineStr">
        <is>
          <t>Drive foto EXSB_IMG_1226</t>
        </is>
      </c>
      <c r="I97" s="5" t="n"/>
    </row>
    <row r="98" ht="66" customHeight="1">
      <c r="A98" s="5" t="inlineStr">
        <is>
          <t>Tare Suites Urla</t>
        </is>
      </c>
      <c r="B98" s="5" t="inlineStr">
        <is>
          <t>komodin</t>
        </is>
      </c>
      <c r="C98" s="5" t="inlineStr">
        <is>
          <t>Komodin (çekmeceli, açık raflı)</t>
        </is>
      </c>
      <c r="D98" s="5" t="inlineStr">
        <is>
          <t>Demirbaş</t>
        </is>
      </c>
      <c r="E98" s="5" t="n"/>
      <c r="F98" s="5" t="inlineStr">
        <is>
          <t>item_photos/suites_urla/komodin.jpg</t>
        </is>
      </c>
      <c r="G98" s="5" t="inlineStr">
        <is>
          <t>Var</t>
        </is>
      </c>
      <c r="H98" s="5" t="inlineStr">
        <is>
          <t>Drive foto EDR_IMG_1543 / DSSW_IMG_1214 / EXSB_IMG_1225 / DS_IMG_1539 / DFS_IMG_1161</t>
        </is>
      </c>
      <c r="I98" s="5" t="n"/>
    </row>
    <row r="99" ht="52.8" customHeight="1">
      <c r="A99" s="5" t="inlineStr">
        <is>
          <t>Tare Suites Urla</t>
        </is>
      </c>
      <c r="B99" s="5" t="inlineStr">
        <is>
          <t>calisma_masasi_ayna</t>
        </is>
      </c>
      <c r="C99" s="5" t="inlineStr">
        <is>
          <t>Konsol/çalışma masası + duvar aynası</t>
        </is>
      </c>
      <c r="D99" s="5" t="inlineStr">
        <is>
          <t>Demirbaş</t>
        </is>
      </c>
      <c r="E99" s="5" t="n"/>
      <c r="F99" s="5" t="inlineStr">
        <is>
          <t>item_photos/suites_urla/calisma_masasi_ayna.jpg</t>
        </is>
      </c>
      <c r="G99" s="5" t="inlineStr">
        <is>
          <t>Var</t>
        </is>
      </c>
      <c r="H99" s="5" t="inlineStr">
        <is>
          <t>Drive foto EDR_IMG_1219 / DSSW_IMG_1211 / EXSB_IMG_1226 / DS_IMG_1537</t>
        </is>
      </c>
      <c r="I99" s="5" t="n"/>
    </row>
    <row r="100">
      <c r="A100" s="5" t="inlineStr">
        <is>
          <t>Tare Suites Urla</t>
        </is>
      </c>
      <c r="B100" s="5" t="inlineStr">
        <is>
          <t>kumanda</t>
        </is>
      </c>
      <c r="C100" s="5" t="inlineStr">
        <is>
          <t>Kumanda (TV + klima)</t>
        </is>
      </c>
      <c r="D100" s="5" t="inlineStr">
        <is>
          <t>Demirbaş</t>
        </is>
      </c>
      <c r="E100" s="5" t="n"/>
      <c r="F100" s="7" t="n"/>
      <c r="G100" s="5" t="inlineStr">
        <is>
          <t>Çekilecek</t>
        </is>
      </c>
      <c r="H100" s="5" t="inlineStr">
        <is>
          <t>Drive foto</t>
        </is>
      </c>
      <c r="I100" s="5" t="n"/>
    </row>
    <row r="101" ht="66" customHeight="1">
      <c r="A101" s="5" t="inlineStr">
        <is>
          <t>Tare Suites Urla</t>
        </is>
      </c>
      <c r="B101" s="5" t="inlineStr">
        <is>
          <t>lavabo_dolabi</t>
        </is>
      </c>
      <c r="C101" s="5" t="inlineStr">
        <is>
          <t>Lavabo + alt dolap</t>
        </is>
      </c>
      <c r="D101" s="5" t="inlineStr">
        <is>
          <t>Demirbaş</t>
        </is>
      </c>
      <c r="E101" s="5" t="n"/>
      <c r="F101" s="7" t="inlineStr">
        <is>
          <t>item_photos/suites_urla/masa_sandalye_seti.jpg</t>
        </is>
      </c>
      <c r="G101" s="5" t="inlineStr">
        <is>
          <t>Çekilecek</t>
        </is>
      </c>
      <c r="H101" s="5" t="inlineStr">
        <is>
          <t>Drive foto EDR_IMG_1220 / DSSW_IMG_1215 / EXSB_IMG_1222 / DS_IMG_1542 / DFS_IMG_1158</t>
        </is>
      </c>
      <c r="I101" s="5" t="n"/>
    </row>
    <row r="102" ht="52.8" customHeight="1">
      <c r="A102" s="5" t="inlineStr">
        <is>
          <t>Tare Suites Urla</t>
        </is>
      </c>
      <c r="B102" s="5" t="inlineStr">
        <is>
          <t>mini_buzdolabi</t>
        </is>
      </c>
      <c r="C102" s="5" t="inlineStr">
        <is>
          <t>Mini buzdolabı (masa altı)</t>
        </is>
      </c>
      <c r="D102" s="5" t="inlineStr">
        <is>
          <t>Demirbaş</t>
        </is>
      </c>
      <c r="E102" s="5" t="n"/>
      <c r="F102" s="5" t="inlineStr">
        <is>
          <t>item_photos/suites_urla/mini_buzdolabi.jpg</t>
        </is>
      </c>
      <c r="G102" s="5" t="inlineStr">
        <is>
          <t>Var</t>
        </is>
      </c>
      <c r="H102" s="5" t="inlineStr">
        <is>
          <t>Drive foto EDR_IMG_1219 / DSSW_IMG_1211 / EXSB_IMG_1226 / DS_IMG_1537</t>
        </is>
      </c>
      <c r="I102" s="5" t="n"/>
    </row>
    <row r="103" ht="26.4" customHeight="1">
      <c r="A103" s="5" t="inlineStr">
        <is>
          <t>Tare Suites Urla</t>
        </is>
      </c>
      <c r="B103" s="5" t="inlineStr">
        <is>
          <t>banyo_cop_kovasi</t>
        </is>
      </c>
      <c r="C103" s="5" t="inlineStr">
        <is>
          <t>Pedallı çöp kovası (siyah)</t>
        </is>
      </c>
      <c r="D103" s="5" t="inlineStr">
        <is>
          <t>Demirbaş</t>
        </is>
      </c>
      <c r="E103" s="5" t="n"/>
      <c r="F103" s="5" t="inlineStr">
        <is>
          <t>item_photos/suites_urla/wc_set.jpg</t>
        </is>
      </c>
      <c r="G103" s="5" t="inlineStr">
        <is>
          <t>Var</t>
        </is>
      </c>
      <c r="H103" s="5" t="inlineStr">
        <is>
          <t>Drive foto EDR_IMG_1221 / DS_IMG_1541</t>
        </is>
      </c>
      <c r="I103" s="5" t="n"/>
    </row>
    <row r="104" ht="26.4" customHeight="1">
      <c r="A104" s="5" t="inlineStr">
        <is>
          <t>Tare Suites Urla</t>
        </is>
      </c>
      <c r="B104" s="5" t="inlineStr">
        <is>
          <t>perde_tul</t>
        </is>
      </c>
      <c r="C104" s="5" t="inlineStr">
        <is>
          <t>Perde + tül takımı</t>
        </is>
      </c>
      <c r="D104" s="5" t="inlineStr">
        <is>
          <t>Demirbaş</t>
        </is>
      </c>
      <c r="E104" s="5" t="n"/>
      <c r="F104" s="7" t="inlineStr">
        <is>
          <t>item_photos/suites_urla/kettle.jpg</t>
        </is>
      </c>
      <c r="G104" s="5" t="inlineStr">
        <is>
          <t>Çekilecek</t>
        </is>
      </c>
      <c r="H104" s="5" t="inlineStr">
        <is>
          <t>Drive foto EDR_IMG_1218 / DSSW_IMG_1212</t>
        </is>
      </c>
      <c r="I104" s="5" t="n"/>
    </row>
    <row r="105" ht="52.8" customHeight="1">
      <c r="A105" s="5" t="inlineStr">
        <is>
          <t>Tare Suites Urla</t>
        </is>
      </c>
      <c r="B105" s="5" t="inlineStr">
        <is>
          <t>sandalye</t>
        </is>
      </c>
      <c r="C105" s="5" t="inlineStr">
        <is>
          <t>Sandalye (hasır sırtlı, beyaz minder)</t>
        </is>
      </c>
      <c r="D105" s="5" t="inlineStr">
        <is>
          <t>Demirbaş</t>
        </is>
      </c>
      <c r="E105" s="5" t="n"/>
      <c r="F105" s="5" t="inlineStr">
        <is>
          <t>item_photos/suites_urla/masa_sandalye_seti.jpg</t>
        </is>
      </c>
      <c r="G105" s="5" t="inlineStr">
        <is>
          <t>Var</t>
        </is>
      </c>
      <c r="H105" s="5" t="inlineStr">
        <is>
          <t>Drive foto DSSW_IMG_1212 / EXSB_IMG_1223 / DS_IMG_1537 / DFS_IMG_1154</t>
        </is>
      </c>
      <c r="I105" s="5" t="n"/>
    </row>
    <row r="106">
      <c r="A106" s="5" t="inlineStr">
        <is>
          <t>Tare Suites Urla</t>
        </is>
      </c>
      <c r="B106" s="5" t="inlineStr">
        <is>
          <t>sac_kurutma</t>
        </is>
      </c>
      <c r="C106" s="5" t="inlineStr">
        <is>
          <t>Saç kurutma makinesi (beyaz)</t>
        </is>
      </c>
      <c r="D106" s="5" t="inlineStr">
        <is>
          <t>Demirbaş</t>
        </is>
      </c>
      <c r="E106" s="5" t="n"/>
      <c r="F106" s="5" t="inlineStr">
        <is>
          <t>item_photos/suites_urla/sac_kurutma.jpg</t>
        </is>
      </c>
      <c r="G106" s="5" t="inlineStr">
        <is>
          <t>Var</t>
        </is>
      </c>
      <c r="H106" s="5" t="inlineStr">
        <is>
          <t>Drive foto EDR_IMG_1220</t>
        </is>
      </c>
      <c r="I106" s="5" t="n"/>
    </row>
    <row r="107" ht="66" customHeight="1">
      <c r="A107" s="5" t="inlineStr">
        <is>
          <t>Tare Suites Urla</t>
        </is>
      </c>
      <c r="B107" s="5" t="inlineStr">
        <is>
          <t>klima</t>
        </is>
      </c>
      <c r="C107" s="5" t="inlineStr">
        <is>
          <t>Split klima</t>
        </is>
      </c>
      <c r="D107" s="5" t="inlineStr">
        <is>
          <t>Demirbaş</t>
        </is>
      </c>
      <c r="E107" s="5" t="n"/>
      <c r="F107" s="7" t="inlineStr">
        <is>
          <t>item_photos/suites_urla/klima.jpg</t>
        </is>
      </c>
      <c r="G107" s="5" t="inlineStr">
        <is>
          <t>Var</t>
        </is>
      </c>
      <c r="H107" s="5" t="inlineStr">
        <is>
          <t>Drive foto EDR_IMG_1219 / DSSW_IMG_1214 / EXSB_IMG_1226 / DS_IMG_1537 / DFS_IMG_1153</t>
        </is>
      </c>
      <c r="I107" s="5" t="n"/>
    </row>
    <row r="108" ht="66" customHeight="1">
      <c r="A108" s="5" t="inlineStr">
        <is>
          <t>Tare Suites Urla</t>
        </is>
      </c>
      <c r="B108" s="5" t="inlineStr">
        <is>
          <t>kettle</t>
        </is>
      </c>
      <c r="C108" s="5" t="inlineStr">
        <is>
          <t>Su ısıtıcısı (beyaz kettle)</t>
        </is>
      </c>
      <c r="D108" s="5" t="inlineStr">
        <is>
          <t>Demirbaş</t>
        </is>
      </c>
      <c r="E108" s="5" t="n"/>
      <c r="F108" s="5" t="inlineStr">
        <is>
          <t>item_photos/suites_urla/kettle.jpg</t>
        </is>
      </c>
      <c r="G108" s="5" t="inlineStr">
        <is>
          <t>Var</t>
        </is>
      </c>
      <c r="H108" s="5" t="inlineStr">
        <is>
          <t>Drive foto EDR_IMG_1218 / DSSW_IMG_1211 / EXSB_IMG_1223 / DS_IMG_1537 / DFS_IMG_1152</t>
        </is>
      </c>
      <c r="I108" s="5" t="n"/>
    </row>
    <row r="109" ht="39.6" customHeight="1">
      <c r="A109" s="5" t="inlineStr">
        <is>
          <t>Tare Suites Urla</t>
        </is>
      </c>
      <c r="B109" s="5" t="inlineStr">
        <is>
          <t>tuvalet_kagidi_aparati</t>
        </is>
      </c>
      <c r="C109" s="5" t="inlineStr">
        <is>
          <t>Tuvalet kâğıdı aparatı</t>
        </is>
      </c>
      <c r="D109" s="5" t="inlineStr">
        <is>
          <t>Demirbaş</t>
        </is>
      </c>
      <c r="E109" s="5" t="n"/>
      <c r="F109" s="7" t="inlineStr">
        <is>
          <t>item_photos/suites_urla/wc_set.jpg</t>
        </is>
      </c>
      <c r="G109" s="5" t="inlineStr">
        <is>
          <t>Var</t>
        </is>
      </c>
      <c r="H109" s="5" t="inlineStr">
        <is>
          <t>Drive foto EDR_IMG_1221 / DS_IMG_1541 / DFS_IMG_1159</t>
        </is>
      </c>
      <c r="I109" s="5" t="n"/>
    </row>
    <row r="110" ht="39.6" customHeight="1">
      <c r="A110" s="5" t="inlineStr">
        <is>
          <t>Tare Suites Urla</t>
        </is>
      </c>
      <c r="B110" s="5" t="inlineStr">
        <is>
          <t>wc_fircasi</t>
        </is>
      </c>
      <c r="C110" s="5" t="inlineStr">
        <is>
          <t>WC fırçası (siyah)</t>
        </is>
      </c>
      <c r="D110" s="5" t="inlineStr">
        <is>
          <t>Demirbaş</t>
        </is>
      </c>
      <c r="E110" s="5" t="n"/>
      <c r="F110" s="5" t="inlineStr">
        <is>
          <t>item_photos/suites_urla/wc_set.jpg</t>
        </is>
      </c>
      <c r="G110" s="5" t="inlineStr">
        <is>
          <t>Var</t>
        </is>
      </c>
      <c r="H110" s="5" t="inlineStr">
        <is>
          <t>Drive foto EDR_IMG_1221 / DSSW_IMG_1216 / DS_IMG_1541</t>
        </is>
      </c>
      <c r="I110" s="5" t="n"/>
    </row>
    <row r="111" ht="66" customHeight="1">
      <c r="A111" s="5" t="inlineStr">
        <is>
          <t>Tare Suites Urla</t>
        </is>
      </c>
      <c r="B111" s="5" t="inlineStr">
        <is>
          <t>yastik</t>
        </is>
      </c>
      <c r="C111" s="5" t="inlineStr">
        <is>
          <t>Yastık</t>
        </is>
      </c>
      <c r="D111" s="5" t="inlineStr">
        <is>
          <t>Demirbaş</t>
        </is>
      </c>
      <c r="E111" s="5" t="n"/>
      <c r="F111" s="7" t="inlineStr">
        <is>
          <t>item_photos/suites_urla/sivi_sabun_dispenser.jpg</t>
        </is>
      </c>
      <c r="G111" s="5" t="inlineStr">
        <is>
          <t>Çekilecek</t>
        </is>
      </c>
      <c r="H111" s="5" t="inlineStr">
        <is>
          <t>Drive foto EDR_IMG_1219 / DSSW_IMG_1214 / EXSB_IMG_1226 / DS_IMG_1539 / DFS_IMG_1160</t>
        </is>
      </c>
      <c r="I111" s="5" t="n"/>
    </row>
    <row r="112" ht="52.8" customHeight="1">
      <c r="A112" s="5" t="inlineStr">
        <is>
          <t>Tare Suites Urla</t>
        </is>
      </c>
      <c r="B112" s="5" t="inlineStr">
        <is>
          <t>masa_sandalye_seti</t>
        </is>
      </c>
      <c r="C112" s="5" t="inlineStr">
        <is>
          <t>Yuvarlak masa + 2 hasır sırtlı sandalye</t>
        </is>
      </c>
      <c r="D112" s="5" t="inlineStr">
        <is>
          <t>Demirbaş</t>
        </is>
      </c>
      <c r="E112" s="5" t="n"/>
      <c r="F112" s="5" t="inlineStr">
        <is>
          <t>item_photos/suites_urla/masa_sandalye_seti.jpg</t>
        </is>
      </c>
      <c r="G112" s="5" t="inlineStr">
        <is>
          <t>Var</t>
        </is>
      </c>
      <c r="H112" s="5" t="inlineStr">
        <is>
          <t>Drive foto DSSW_IMG_1212 / EXSB_IMG_1223 / DS_IMG_1537 / DFS_IMG_1154</t>
        </is>
      </c>
      <c r="I112" s="5" t="n"/>
    </row>
    <row r="113" ht="66" customHeight="1">
      <c r="A113" s="5" t="inlineStr">
        <is>
          <t>Tare Suites Urla</t>
        </is>
      </c>
      <c r="B113" s="5" t="inlineStr">
        <is>
          <t>cift_kisilik_yatak</t>
        </is>
      </c>
      <c r="C113" s="5" t="inlineStr">
        <is>
          <t>Çift kişilik yatak (bazalı)</t>
        </is>
      </c>
      <c r="D113" s="5" t="inlineStr">
        <is>
          <t>Demirbaş</t>
        </is>
      </c>
      <c r="E113" s="5" t="n"/>
      <c r="F113" s="7" t="inlineStr">
        <is>
          <t>item_photos/suites_urla/terlik.jpg</t>
        </is>
      </c>
      <c r="G113" s="5" t="inlineStr">
        <is>
          <t>Çekilecek</t>
        </is>
      </c>
      <c r="H113" s="5" t="inlineStr">
        <is>
          <t>Drive foto EDR_IMG_1543 / DSSW_IMG_1214 / EXSB_IMG_1225 / DS_IMG_1539 / DFS_IMG_1161</t>
        </is>
      </c>
      <c r="I113" s="5" t="n"/>
    </row>
    <row r="114" ht="26.4" customHeight="1">
      <c r="A114" s="5" t="inlineStr">
        <is>
          <t>Tare Suites Urla</t>
        </is>
      </c>
      <c r="B114" s="5" t="inlineStr">
        <is>
          <t>banyo_havlusu</t>
        </is>
      </c>
      <c r="C114" s="5" t="inlineStr">
        <is>
          <t>Banyo havlusu</t>
        </is>
      </c>
      <c r="D114" s="5" t="inlineStr">
        <is>
          <t>Sarf</t>
        </is>
      </c>
      <c r="E114" s="5" t="n"/>
      <c r="F114" s="5" t="inlineStr">
        <is>
          <t>item_photos/suites_urla/havlu_rafi.jpg</t>
        </is>
      </c>
      <c r="G114" s="5" t="inlineStr">
        <is>
          <t>Var</t>
        </is>
      </c>
      <c r="H114" s="5" t="inlineStr">
        <is>
          <t>Drive foto DSSW_IMG_1216 / EXSB_IMG_1222</t>
        </is>
      </c>
      <c r="I114" s="5" t="n"/>
    </row>
    <row r="115" ht="26.4" customHeight="1">
      <c r="A115" s="5" t="inlineStr">
        <is>
          <t>Tare Suites Urla</t>
        </is>
      </c>
      <c r="B115" s="5" t="inlineStr">
        <is>
          <t>sivi_sabun_dispenser</t>
        </is>
      </c>
      <c r="C115" s="5" t="inlineStr">
        <is>
          <t>Duvar tipi amber pompalı dispenser</t>
        </is>
      </c>
      <c r="D115" s="5" t="inlineStr">
        <is>
          <t>Sarf</t>
        </is>
      </c>
      <c r="E115" s="5" t="n"/>
      <c r="F115" s="5" t="inlineStr">
        <is>
          <t>item_photos/suites_urla/sivi_sabun_dispenser.jpg</t>
        </is>
      </c>
      <c r="G115" s="5" t="inlineStr">
        <is>
          <t>Var</t>
        </is>
      </c>
      <c r="H115" s="5" t="inlineStr">
        <is>
          <t>Drive foto DS_IMG_1541 / DS_IMG_1542</t>
        </is>
      </c>
      <c r="I115" s="5" t="n"/>
    </row>
    <row r="116">
      <c r="A116" s="5" t="inlineStr">
        <is>
          <t>Tare Suites Urla</t>
        </is>
      </c>
      <c r="B116" s="5" t="inlineStr">
        <is>
          <t>el_havlusu</t>
        </is>
      </c>
      <c r="C116" s="5" t="inlineStr">
        <is>
          <t>El/yüz havlusu</t>
        </is>
      </c>
      <c r="D116" s="5" t="inlineStr">
        <is>
          <t>Sarf</t>
        </is>
      </c>
      <c r="E116" s="5" t="n"/>
      <c r="F116" s="5" t="inlineStr">
        <is>
          <t>item_photos/suites_urla/havlu_rafi.jpg</t>
        </is>
      </c>
      <c r="G116" s="5" t="inlineStr">
        <is>
          <t>Var</t>
        </is>
      </c>
      <c r="H116" s="5" t="inlineStr">
        <is>
          <t>Drive foto DSSW_IMG_1216</t>
        </is>
      </c>
      <c r="I116" s="5" t="n"/>
    </row>
    <row r="117">
      <c r="A117" s="5" t="inlineStr">
        <is>
          <t>Tare Suites Urla</t>
        </is>
      </c>
      <c r="B117" s="5" t="inlineStr">
        <is>
          <t>terlik</t>
        </is>
      </c>
      <c r="C117" s="5" t="inlineStr">
        <is>
          <t>Tek kullanımlık terlik (çift)</t>
        </is>
      </c>
      <c r="D117" s="5" t="inlineStr">
        <is>
          <t>Sarf</t>
        </is>
      </c>
      <c r="E117" s="5" t="n"/>
      <c r="F117" s="7" t="inlineStr">
        <is>
          <t>item_photos/suites_urla/terlik.jpg</t>
        </is>
      </c>
      <c r="G117" s="5" t="inlineStr">
        <is>
          <t>Var</t>
        </is>
      </c>
      <c r="H117" s="5" t="inlineStr">
        <is>
          <t>Drive foto DS_IMG_1539</t>
        </is>
      </c>
      <c r="I117" s="5" t="n"/>
    </row>
    <row r="118" ht="26.4" customHeight="1">
      <c r="A118" s="5" t="inlineStr">
        <is>
          <t>Tare Suites Urla</t>
        </is>
      </c>
      <c r="B118" s="5" t="inlineStr">
        <is>
          <t>cift_cidarli_bardak</t>
        </is>
      </c>
      <c r="C118" s="5" t="inlineStr">
        <is>
          <t>Çift cidarlı cam fincan/bardak</t>
        </is>
      </c>
      <c r="D118" s="5" t="inlineStr">
        <is>
          <t>Mutfak Malzemesi</t>
        </is>
      </c>
      <c r="E118" s="5" t="n"/>
      <c r="F118" s="5" t="inlineStr">
        <is>
          <t>item_photos/suites_urla/ikram_tepsisi.jpg</t>
        </is>
      </c>
      <c r="G118" s="5" t="inlineStr">
        <is>
          <t>Var</t>
        </is>
      </c>
      <c r="H118" s="5" t="inlineStr">
        <is>
          <t>Drive foto EDR_IMG_1218 / DFS_IMG_1152</t>
        </is>
      </c>
      <c r="I118" s="5" t="n"/>
    </row>
    <row r="119" ht="26.4" customHeight="1">
      <c r="A119" s="5" t="inlineStr">
        <is>
          <t>Tare Village Urla</t>
        </is>
      </c>
      <c r="B119" s="5" t="inlineStr">
        <is>
          <t>bank</t>
        </is>
      </c>
      <c r="C119" s="5" t="inlineStr">
        <is>
          <t>Ahşap bank</t>
        </is>
      </c>
      <c r="D119" s="5" t="inlineStr">
        <is>
          <t>Demirbaş</t>
        </is>
      </c>
      <c r="E119" s="5" t="n"/>
      <c r="F119" s="7" t="inlineStr">
        <is>
          <t>item_photos/village/yemek_masasi_bank_sandalye.jpg</t>
        </is>
      </c>
      <c r="G119" s="5" t="inlineStr">
        <is>
          <t>Var</t>
        </is>
      </c>
      <c r="H119" s="5" t="inlineStr">
        <is>
          <t>Drive foto IMG_2040/2043</t>
        </is>
      </c>
      <c r="I119" s="5" t="n"/>
    </row>
    <row r="120">
      <c r="A120" s="5" t="inlineStr">
        <is>
          <t>Tare Village Urla</t>
        </is>
      </c>
      <c r="B120" s="5" t="inlineStr">
        <is>
          <t>ankastre_firin</t>
        </is>
      </c>
      <c r="C120" s="5" t="inlineStr">
        <is>
          <t>Ankastre fırın</t>
        </is>
      </c>
      <c r="D120" s="5" t="inlineStr">
        <is>
          <t>Demirbaş</t>
        </is>
      </c>
      <c r="E120" s="5" t="n"/>
      <c r="F120" s="5" t="inlineStr">
        <is>
          <t>item_photos/village/ankastre_firin.jpg</t>
        </is>
      </c>
      <c r="G120" s="5" t="inlineStr">
        <is>
          <t>Var</t>
        </is>
      </c>
      <c r="H120" s="5" t="inlineStr">
        <is>
          <t>Drive foto IMG_2017/2014</t>
        </is>
      </c>
      <c r="I120" s="5" t="n"/>
    </row>
    <row r="121">
      <c r="A121" s="5" t="inlineStr">
        <is>
          <t>Tare Village Urla</t>
        </is>
      </c>
      <c r="B121" s="5" t="inlineStr">
        <is>
          <t>buzdolabi</t>
        </is>
      </c>
      <c r="C121" s="5" t="inlineStr">
        <is>
          <t>Buzdolabı</t>
        </is>
      </c>
      <c r="D121" s="5" t="inlineStr">
        <is>
          <t>Demirbaş</t>
        </is>
      </c>
      <c r="E121" s="5" t="n"/>
      <c r="F121" s="7" t="inlineStr">
        <is>
          <t>item_photos/village/gardirop.jpg</t>
        </is>
      </c>
      <c r="G121" s="5" t="inlineStr">
        <is>
          <t>Çekilecek</t>
        </is>
      </c>
      <c r="H121" s="5" t="inlineStr">
        <is>
          <t>Drive foto IMG_1995</t>
        </is>
      </c>
      <c r="I121" s="5" t="n"/>
    </row>
    <row r="122">
      <c r="A122" s="5" t="inlineStr">
        <is>
          <t>Tare Village Urla</t>
        </is>
      </c>
      <c r="B122" s="5" t="inlineStr">
        <is>
          <t>davlumbaz</t>
        </is>
      </c>
      <c r="C122" s="5" t="inlineStr">
        <is>
          <t>Davlumbaz</t>
        </is>
      </c>
      <c r="D122" s="5" t="inlineStr">
        <is>
          <t>Demirbaş</t>
        </is>
      </c>
      <c r="E122" s="5" t="n"/>
      <c r="F122" s="5" t="inlineStr">
        <is>
          <t>item_photos/village/davlumbaz.jpg</t>
        </is>
      </c>
      <c r="G122" s="5" t="inlineStr">
        <is>
          <t>Var</t>
        </is>
      </c>
      <c r="H122" s="5" t="inlineStr">
        <is>
          <t>Drive foto IMG_1995/2017</t>
        </is>
      </c>
      <c r="I122" s="5" t="n"/>
    </row>
    <row r="123">
      <c r="A123" s="5" t="inlineStr">
        <is>
          <t>Tare Village Urla</t>
        </is>
      </c>
      <c r="B123" s="5" t="inlineStr">
        <is>
          <t>duvar_saati</t>
        </is>
      </c>
      <c r="C123" s="5" t="inlineStr">
        <is>
          <t>Duvar saati</t>
        </is>
      </c>
      <c r="D123" s="5" t="inlineStr">
        <is>
          <t>Demirbaş</t>
        </is>
      </c>
      <c r="E123" s="5" t="n"/>
      <c r="F123" s="7" t="inlineStr">
        <is>
          <t>item_photos/village/jut_paspas.jpg</t>
        </is>
      </c>
      <c r="G123" s="5" t="inlineStr">
        <is>
          <t>Çekilecek</t>
        </is>
      </c>
      <c r="H123" s="5" t="inlineStr">
        <is>
          <t>Drive foto IMG_1997</t>
        </is>
      </c>
      <c r="I123" s="5" t="n"/>
    </row>
    <row r="124" ht="26.4" customHeight="1">
      <c r="A124" s="5" t="inlineStr">
        <is>
          <t>Tare Village Urla</t>
        </is>
      </c>
      <c r="B124" s="5" t="inlineStr">
        <is>
          <t>dus_kabini</t>
        </is>
      </c>
      <c r="C124" s="5" t="inlineStr">
        <is>
          <t>Duş kabini (sürgülü cam)</t>
        </is>
      </c>
      <c r="D124" s="5" t="inlineStr">
        <is>
          <t>Demirbaş</t>
        </is>
      </c>
      <c r="E124" s="5" t="n"/>
      <c r="F124" s="5" t="inlineStr">
        <is>
          <t>item_photos/village/dus_kabini.jpg</t>
        </is>
      </c>
      <c r="G124" s="5" t="inlineStr">
        <is>
          <t>Var</t>
        </is>
      </c>
      <c r="H124" s="5" t="inlineStr">
        <is>
          <t>Drive foto IMG_2006/2012/2027/2036</t>
        </is>
      </c>
      <c r="I124" s="5" t="n"/>
    </row>
    <row r="125">
      <c r="A125" s="5" t="inlineStr">
        <is>
          <t>Tare Village Urla</t>
        </is>
      </c>
      <c r="B125" s="5" t="inlineStr">
        <is>
          <t>gardirop</t>
        </is>
      </c>
      <c r="C125" s="5" t="inlineStr">
        <is>
          <t>Gardırop (2 kapaklı)</t>
        </is>
      </c>
      <c r="D125" s="5" t="inlineStr">
        <is>
          <t>Demirbaş</t>
        </is>
      </c>
      <c r="E125" s="5" t="n"/>
      <c r="F125" s="5" t="inlineStr">
        <is>
          <t>item_photos/village/gardirop.jpg</t>
        </is>
      </c>
      <c r="G125" s="5" t="inlineStr">
        <is>
          <t>Var</t>
        </is>
      </c>
      <c r="H125" s="5" t="inlineStr">
        <is>
          <t>Drive foto IMG_2007/2023</t>
        </is>
      </c>
      <c r="I125" s="5" t="n"/>
    </row>
    <row r="126" ht="26.4" customHeight="1">
      <c r="A126" s="5" t="inlineStr">
        <is>
          <t>Tare Village Urla</t>
        </is>
      </c>
      <c r="B126" s="5" t="inlineStr">
        <is>
          <t>hasir_sepet</t>
        </is>
      </c>
      <c r="C126" s="5" t="inlineStr">
        <is>
          <t>Hasır sepet (lavabo yanı)</t>
        </is>
      </c>
      <c r="D126" s="5" t="inlineStr">
        <is>
          <t>Demirbaş</t>
        </is>
      </c>
      <c r="E126" s="5" t="n"/>
      <c r="F126" s="5" t="inlineStr">
        <is>
          <t>item_photos/village/lavabo_hasir_sepet.jpg</t>
        </is>
      </c>
      <c r="G126" s="5" t="inlineStr">
        <is>
          <t>Var</t>
        </is>
      </c>
      <c r="H126" s="5" t="inlineStr">
        <is>
          <t>Drive foto IMG_1996/2021/2027/2035</t>
        </is>
      </c>
      <c r="I126" s="5" t="n"/>
    </row>
    <row r="127" ht="39.6" customHeight="1">
      <c r="A127" s="5" t="inlineStr">
        <is>
          <t>Tare Village Urla</t>
        </is>
      </c>
      <c r="B127" s="5" t="inlineStr">
        <is>
          <t>jut_paspas</t>
        </is>
      </c>
      <c r="C127" s="5" t="inlineStr">
        <is>
          <t>Jüt banyo paspası (oval)</t>
        </is>
      </c>
      <c r="D127" s="5" t="inlineStr">
        <is>
          <t>Demirbaş</t>
        </is>
      </c>
      <c r="E127" s="5" t="n"/>
      <c r="F127" s="5" t="inlineStr">
        <is>
          <t>item_photos/village/jut_paspas.jpg</t>
        </is>
      </c>
      <c r="G127" s="5" t="inlineStr">
        <is>
          <t>Var</t>
        </is>
      </c>
      <c r="H127" s="5" t="inlineStr">
        <is>
          <t>Drive foto IMG_1996/2002/2012/2027/2036/2038</t>
        </is>
      </c>
      <c r="I127" s="5" t="n"/>
    </row>
    <row r="128" ht="26.4" customHeight="1">
      <c r="A128" s="5" t="inlineStr">
        <is>
          <t>Tare Village Urla</t>
        </is>
      </c>
      <c r="B128" s="5" t="inlineStr">
        <is>
          <t>dis_masa</t>
        </is>
      </c>
      <c r="C128" s="5" t="inlineStr">
        <is>
          <t>Katlanır ahşap masa</t>
        </is>
      </c>
      <c r="D128" s="5" t="inlineStr">
        <is>
          <t>Demirbaş</t>
        </is>
      </c>
      <c r="E128" s="5" t="n"/>
      <c r="F128" s="7" t="inlineStr">
        <is>
          <t>item_photos/village/balkon_masa_sandalye.jpg</t>
        </is>
      </c>
      <c r="G128" s="5" t="inlineStr">
        <is>
          <t>Var</t>
        </is>
      </c>
      <c r="H128" s="5" t="inlineStr">
        <is>
          <t>Drive foto IMG_2011/2016/2030</t>
        </is>
      </c>
      <c r="I128" s="5" t="n"/>
    </row>
    <row r="129" ht="26.4" customHeight="1">
      <c r="A129" s="5" t="inlineStr">
        <is>
          <t>Tare Village Urla</t>
        </is>
      </c>
      <c r="B129" s="5" t="inlineStr">
        <is>
          <t>dis_sandalye</t>
        </is>
      </c>
      <c r="C129" s="5" t="inlineStr">
        <is>
          <t>Katlanır ahşap sandalye (minderli)</t>
        </is>
      </c>
      <c r="D129" s="5" t="inlineStr">
        <is>
          <t>Demirbaş</t>
        </is>
      </c>
      <c r="E129" s="5" t="n"/>
      <c r="F129" s="5" t="inlineStr">
        <is>
          <t>item_photos/village/balkon_masa_sandalye.jpg</t>
        </is>
      </c>
      <c r="G129" s="5" t="inlineStr">
        <is>
          <t>Var</t>
        </is>
      </c>
      <c r="H129" s="5" t="inlineStr">
        <is>
          <t>Drive foto IMG_2011/2016/2030</t>
        </is>
      </c>
      <c r="I129" s="5" t="n"/>
    </row>
    <row r="130">
      <c r="A130" s="5" t="inlineStr">
        <is>
          <t>Tare Village Urla</t>
        </is>
      </c>
      <c r="B130" s="5" t="inlineStr">
        <is>
          <t>dis_katlanir_koltuk</t>
        </is>
      </c>
      <c r="C130" s="5" t="inlineStr">
        <is>
          <t>Katlanır bahçe koltuğu (minderli)</t>
        </is>
      </c>
      <c r="D130" s="5" t="inlineStr">
        <is>
          <t>Demirbaş</t>
        </is>
      </c>
      <c r="E130" s="5" t="n"/>
      <c r="F130" s="5" t="inlineStr">
        <is>
          <t>item_photos/village/balkon_masa_sandalye.jpg</t>
        </is>
      </c>
      <c r="G130" s="5" t="inlineStr">
        <is>
          <t>Var</t>
        </is>
      </c>
      <c r="H130" s="5" t="inlineStr">
        <is>
          <t>Drive foto IMG_2030</t>
        </is>
      </c>
      <c r="I130" s="5" t="n"/>
    </row>
    <row r="131" ht="26.4" customHeight="1">
      <c r="A131" s="5" t="inlineStr">
        <is>
          <t>Tare Village Urla</t>
        </is>
      </c>
      <c r="B131" s="5" t="inlineStr">
        <is>
          <t>klima</t>
        </is>
      </c>
      <c r="C131" s="5" t="inlineStr">
        <is>
          <t>Klima (split)</t>
        </is>
      </c>
      <c r="D131" s="5" t="inlineStr">
        <is>
          <t>Demirbaş</t>
        </is>
      </c>
      <c r="E131" s="5" t="n"/>
      <c r="F131" s="5" t="inlineStr">
        <is>
          <t>item_photos/village/klima.jpg</t>
        </is>
      </c>
      <c r="G131" s="5" t="inlineStr">
        <is>
          <t>Var</t>
        </is>
      </c>
      <c r="H131" s="5" t="inlineStr">
        <is>
          <t>Drive foto IMG_2007/2022/2032</t>
        </is>
      </c>
      <c r="I131" s="5" t="n"/>
    </row>
    <row r="132" ht="26.4" customHeight="1">
      <c r="A132" s="5" t="inlineStr">
        <is>
          <t>Tare Village Urla</t>
        </is>
      </c>
      <c r="B132" s="5" t="inlineStr">
        <is>
          <t>klozet</t>
        </is>
      </c>
      <c r="C132" s="5" t="inlineStr">
        <is>
          <t>Klozet</t>
        </is>
      </c>
      <c r="D132" s="5" t="inlineStr">
        <is>
          <t>Demirbaş</t>
        </is>
      </c>
      <c r="E132" s="5" t="n"/>
      <c r="F132" s="7" t="inlineStr">
        <is>
          <t>item_photos/village/mutfak_cop_kovasi.jpg</t>
        </is>
      </c>
      <c r="G132" s="5" t="inlineStr">
        <is>
          <t>Çekilecek</t>
        </is>
      </c>
      <c r="H132" s="5" t="inlineStr">
        <is>
          <t>Drive foto IMG_1996/2012/2036</t>
        </is>
      </c>
      <c r="I132" s="5" t="n"/>
    </row>
    <row r="133" ht="26.4" customHeight="1">
      <c r="A133" s="5" t="inlineStr">
        <is>
          <t>Tare Village Urla</t>
        </is>
      </c>
      <c r="B133" s="5" t="inlineStr">
        <is>
          <t>komodin</t>
        </is>
      </c>
      <c r="C133" s="5" t="inlineStr">
        <is>
          <t>Komodin (hasır çekmeceli)</t>
        </is>
      </c>
      <c r="D133" s="5" t="inlineStr">
        <is>
          <t>Demirbaş</t>
        </is>
      </c>
      <c r="E133" s="5" t="n"/>
      <c r="F133" s="5" t="inlineStr">
        <is>
          <t>item_photos/village/komodin.jpg</t>
        </is>
      </c>
      <c r="G133" s="5" t="inlineStr">
        <is>
          <t>Var</t>
        </is>
      </c>
      <c r="H133" s="5" t="inlineStr">
        <is>
          <t>Drive foto IMG_2007/2022/2032</t>
        </is>
      </c>
      <c r="I133" s="5" t="n"/>
    </row>
    <row r="134" ht="26.4" customHeight="1">
      <c r="A134" s="5" t="inlineStr">
        <is>
          <t>Tare Village Urla</t>
        </is>
      </c>
      <c r="B134" s="5" t="inlineStr">
        <is>
          <t>kose_koltuk</t>
        </is>
      </c>
      <c r="C134" s="5" t="inlineStr">
        <is>
          <t>Köşe koltuk / kanepe (yeşil kadife)</t>
        </is>
      </c>
      <c r="D134" s="5" t="inlineStr">
        <is>
          <t>Demirbaş</t>
        </is>
      </c>
      <c r="E134" s="5" t="n"/>
      <c r="F134" s="5" t="inlineStr">
        <is>
          <t>item_photos/village/kose_koltuk.jpg</t>
        </is>
      </c>
      <c r="G134" s="5" t="inlineStr">
        <is>
          <t>Var</t>
        </is>
      </c>
      <c r="H134" s="5" t="inlineStr">
        <is>
          <t>Drive foto IMG_1994/2019/2022/2042</t>
        </is>
      </c>
      <c r="I134" s="5" t="n"/>
    </row>
    <row r="135">
      <c r="A135" s="5" t="inlineStr">
        <is>
          <t>Tare Village Urla</t>
        </is>
      </c>
      <c r="B135" s="5" t="inlineStr">
        <is>
          <t>kul_tablasi</t>
        </is>
      </c>
      <c r="C135" s="5" t="inlineStr">
        <is>
          <t>Metal küllük</t>
        </is>
      </c>
      <c r="D135" s="5" t="inlineStr">
        <is>
          <t>Demirbaş</t>
        </is>
      </c>
      <c r="E135" s="5" t="n"/>
      <c r="F135" s="5" t="inlineStr">
        <is>
          <t>item_photos/village/kul_tablasi.jpg</t>
        </is>
      </c>
      <c r="G135" s="5" t="inlineStr">
        <is>
          <t>Var</t>
        </is>
      </c>
      <c r="H135" s="5" t="inlineStr">
        <is>
          <t>Drive foto IMG_2017/2014</t>
        </is>
      </c>
      <c r="I135" s="5" t="n"/>
    </row>
    <row r="136">
      <c r="A136" s="5" t="inlineStr">
        <is>
          <t>Tare Village Urla</t>
        </is>
      </c>
      <c r="B136" s="5" t="inlineStr">
        <is>
          <t>mutfak_cop_kovasi</t>
        </is>
      </c>
      <c r="C136" s="5" t="inlineStr">
        <is>
          <t>Mutfak çöp kovası (kırmızı)</t>
        </is>
      </c>
      <c r="D136" s="5" t="inlineStr">
        <is>
          <t>Demirbaş</t>
        </is>
      </c>
      <c r="E136" s="5" t="n"/>
      <c r="F136" s="7" t="inlineStr">
        <is>
          <t>item_photos/village/mutfak_cop_kovasi.jpg</t>
        </is>
      </c>
      <c r="G136" s="5" t="inlineStr">
        <is>
          <t>Var</t>
        </is>
      </c>
      <c r="H136" s="5" t="inlineStr">
        <is>
          <t>Drive foto IMG_2017/2023</t>
        </is>
      </c>
      <c r="I136" s="5" t="n"/>
    </row>
    <row r="137">
      <c r="A137" s="5" t="inlineStr">
        <is>
          <t>Tare Village Urla</t>
        </is>
      </c>
      <c r="B137" s="5" t="inlineStr">
        <is>
          <t>ocak</t>
        </is>
      </c>
      <c r="C137" s="5" t="inlineStr">
        <is>
          <t>Ocak (ankastre ya da portatif)</t>
        </is>
      </c>
      <c r="D137" s="5" t="inlineStr">
        <is>
          <t>Demirbaş</t>
        </is>
      </c>
      <c r="E137" s="5" t="n"/>
      <c r="F137" s="5" t="inlineStr">
        <is>
          <t>item_photos/village/portatif_ocak.jpg</t>
        </is>
      </c>
      <c r="G137" s="5" t="inlineStr">
        <is>
          <t>Var</t>
        </is>
      </c>
      <c r="H137" s="5" t="inlineStr">
        <is>
          <t>Drive foto IMG_2017/2026</t>
        </is>
      </c>
      <c r="I137" s="5" t="n"/>
    </row>
    <row r="138" ht="26.4" customHeight="1">
      <c r="A138" s="5" t="inlineStr">
        <is>
          <t>Tare Village Urla</t>
        </is>
      </c>
      <c r="B138" s="5" t="inlineStr">
        <is>
          <t>orta_sehpa</t>
        </is>
      </c>
      <c r="C138" s="5" t="inlineStr">
        <is>
          <t>Orta sehpa</t>
        </is>
      </c>
      <c r="D138" s="5" t="inlineStr">
        <is>
          <t>Demirbaş</t>
        </is>
      </c>
      <c r="E138" s="5" t="n"/>
      <c r="F138" s="5" t="inlineStr">
        <is>
          <t>item_photos/village/orta_sehpa.jpg</t>
        </is>
      </c>
      <c r="G138" s="5" t="inlineStr">
        <is>
          <t>Var</t>
        </is>
      </c>
      <c r="H138" s="5" t="inlineStr">
        <is>
          <t>Drive foto IMG_1994/2019/2025/2029</t>
        </is>
      </c>
      <c r="I138" s="5" t="n"/>
    </row>
    <row r="139" ht="26.4" customHeight="1">
      <c r="A139" s="5" t="inlineStr">
        <is>
          <t>Tare Village Urla</t>
        </is>
      </c>
      <c r="B139" s="5" t="inlineStr">
        <is>
          <t>banyo_cop_kovasi</t>
        </is>
      </c>
      <c r="C139" s="5" t="inlineStr">
        <is>
          <t>Pedallı banyo çöp kovası</t>
        </is>
      </c>
      <c r="D139" s="5" t="inlineStr">
        <is>
          <t>Demirbaş</t>
        </is>
      </c>
      <c r="E139" s="5" t="n"/>
      <c r="F139" s="5" t="inlineStr">
        <is>
          <t>item_photos/village/wc_fircasi_ve_cop_kovasi.jpg</t>
        </is>
      </c>
      <c r="G139" s="5" t="inlineStr">
        <is>
          <t>Var</t>
        </is>
      </c>
      <c r="H139" s="5" t="inlineStr">
        <is>
          <t>Drive foto IMG_2002/2012/2036</t>
        </is>
      </c>
      <c r="I139" s="5" t="n"/>
    </row>
    <row r="140" ht="26.4" customHeight="1">
      <c r="A140" s="5" t="inlineStr">
        <is>
          <t>Tare Village Urla</t>
        </is>
      </c>
      <c r="B140" s="5" t="inlineStr">
        <is>
          <t>tavan_sarkit_lamba</t>
        </is>
      </c>
      <c r="C140" s="5" t="inlineStr">
        <is>
          <t>Sarkıt tavan lambası</t>
        </is>
      </c>
      <c r="D140" s="5" t="inlineStr">
        <is>
          <t>Demirbaş</t>
        </is>
      </c>
      <c r="E140" s="5" t="n"/>
      <c r="F140" s="7" t="inlineStr">
        <is>
          <t>item_photos/village/tablo.jpg</t>
        </is>
      </c>
      <c r="G140" s="5" t="inlineStr">
        <is>
          <t>Çekilecek</t>
        </is>
      </c>
      <c r="H140" s="5" t="inlineStr">
        <is>
          <t>Drive foto IMG_1997/2007/2019</t>
        </is>
      </c>
      <c r="I140" s="5" t="n"/>
    </row>
    <row r="141" ht="26.4" customHeight="1">
      <c r="A141" s="5" t="inlineStr">
        <is>
          <t>Tare Village Urla</t>
        </is>
      </c>
      <c r="B141" s="5" t="inlineStr">
        <is>
          <t>sac_kurutma_makinesi</t>
        </is>
      </c>
      <c r="C141" s="5" t="inlineStr">
        <is>
          <t>Saç kurutma makinesi</t>
        </is>
      </c>
      <c r="D141" s="5" t="inlineStr">
        <is>
          <t>Demirbaş</t>
        </is>
      </c>
      <c r="E141" s="5" t="n"/>
      <c r="F141" s="7" t="inlineStr">
        <is>
          <t>item_photos/village/sac_kurutma_makinesi.jpg</t>
        </is>
      </c>
      <c r="G141" s="5" t="inlineStr">
        <is>
          <t>Var</t>
        </is>
      </c>
      <c r="H141" s="5" t="inlineStr">
        <is>
          <t>Drive foto IMG_1996/2013/2027</t>
        </is>
      </c>
      <c r="I141" s="5" t="n"/>
    </row>
    <row r="142" ht="26.4" customHeight="1">
      <c r="A142" s="5" t="inlineStr">
        <is>
          <t>Tare Village Urla</t>
        </is>
      </c>
      <c r="B142" s="5" t="inlineStr">
        <is>
          <t>tv</t>
        </is>
      </c>
      <c r="C142" s="5" t="inlineStr">
        <is>
          <t>TV</t>
        </is>
      </c>
      <c r="D142" s="5" t="inlineStr">
        <is>
          <t>Demirbaş</t>
        </is>
      </c>
      <c r="E142" s="5" t="n"/>
      <c r="F142" s="5" t="inlineStr">
        <is>
          <t>item_photos/village/tv_ayakli.jpg</t>
        </is>
      </c>
      <c r="G142" s="5" t="inlineStr">
        <is>
          <t>Var</t>
        </is>
      </c>
      <c r="H142" s="5" t="inlineStr">
        <is>
          <t>Drive foto IMG_2020/2022/2043</t>
        </is>
      </c>
      <c r="I142" s="5" t="n"/>
    </row>
    <row r="143">
      <c r="A143" s="5" t="inlineStr">
        <is>
          <t>Tare Village Urla</t>
        </is>
      </c>
      <c r="B143" s="5" t="inlineStr">
        <is>
          <t>tv_kumandasi</t>
        </is>
      </c>
      <c r="C143" s="5" t="inlineStr">
        <is>
          <t>TV kumandası</t>
        </is>
      </c>
      <c r="D143" s="5" t="inlineStr">
        <is>
          <t>Demirbaş</t>
        </is>
      </c>
      <c r="E143" s="5" t="n"/>
      <c r="F143" s="5" t="inlineStr">
        <is>
          <t>item_photos/village/tv_kumandasi.jpg</t>
        </is>
      </c>
      <c r="G143" s="5" t="inlineStr">
        <is>
          <t>Var</t>
        </is>
      </c>
      <c r="H143" s="5" t="inlineStr">
        <is>
          <t>Drive foto IMG_2017/2014</t>
        </is>
      </c>
      <c r="I143" s="5" t="n"/>
    </row>
    <row r="144" ht="39.6" customHeight="1">
      <c r="A144" s="5" t="inlineStr">
        <is>
          <t>Tare Village Urla</t>
        </is>
      </c>
      <c r="B144" s="5" t="inlineStr">
        <is>
          <t>tablo</t>
        </is>
      </c>
      <c r="C144" s="5" t="inlineStr">
        <is>
          <t>Tablo</t>
        </is>
      </c>
      <c r="D144" s="5" t="inlineStr">
        <is>
          <t>Demirbaş</t>
        </is>
      </c>
      <c r="E144" s="5" t="n"/>
      <c r="F144" s="5" t="inlineStr">
        <is>
          <t>item_photos/village/tablo.jpg</t>
        </is>
      </c>
      <c r="G144" s="5" t="inlineStr">
        <is>
          <t>Var</t>
        </is>
      </c>
      <c r="H144" s="5" t="inlineStr">
        <is>
          <t>Drive foto IMG_1997/2007/2018/2022/2029/2041</t>
        </is>
      </c>
      <c r="I144" s="5" t="n"/>
    </row>
    <row r="145" ht="26.4" customHeight="1">
      <c r="A145" s="5" t="inlineStr">
        <is>
          <t>Tare Village Urla</t>
        </is>
      </c>
      <c r="B145" s="5" t="inlineStr">
        <is>
          <t>lavabo_tas_canak</t>
        </is>
      </c>
      <c r="C145" s="5" t="inlineStr">
        <is>
          <t>Taş çanak lavabo + ahşap dolap</t>
        </is>
      </c>
      <c r="D145" s="5" t="inlineStr">
        <is>
          <t>Demirbaş</t>
        </is>
      </c>
      <c r="E145" s="5" t="n"/>
      <c r="F145" s="7" t="inlineStr">
        <is>
          <t>item_photos/village/yangin_sondurucu.jpg</t>
        </is>
      </c>
      <c r="G145" s="5" t="inlineStr">
        <is>
          <t>Çekilecek</t>
        </is>
      </c>
      <c r="H145" s="5" t="inlineStr">
        <is>
          <t>Drive foto IMG_1996/2013/2027/2035</t>
        </is>
      </c>
      <c r="I145" s="5" t="n"/>
    </row>
    <row r="146" ht="26.4" customHeight="1">
      <c r="A146" s="5" t="inlineStr">
        <is>
          <t>Tare Village Urla</t>
        </is>
      </c>
      <c r="B146" s="5" t="inlineStr">
        <is>
          <t>tel_sandalye</t>
        </is>
      </c>
      <c r="C146" s="5" t="inlineStr">
        <is>
          <t>Tel sandalye (minderli)</t>
        </is>
      </c>
      <c r="D146" s="5" t="inlineStr">
        <is>
          <t>Demirbaş</t>
        </is>
      </c>
      <c r="E146" s="5" t="n"/>
      <c r="F146" s="5" t="inlineStr">
        <is>
          <t>item_photos/village/yemek_masasi_bank_sandalye.jpg</t>
        </is>
      </c>
      <c r="G146" s="5" t="inlineStr">
        <is>
          <t>Var</t>
        </is>
      </c>
      <c r="H146" s="5" t="inlineStr">
        <is>
          <t>Drive foto IMG_2040/2043</t>
        </is>
      </c>
      <c r="I146" s="5" t="n"/>
    </row>
    <row r="147" ht="26.4" customHeight="1">
      <c r="A147" s="5" t="inlineStr">
        <is>
          <t>Tare Village Urla</t>
        </is>
      </c>
      <c r="B147" s="5" t="inlineStr">
        <is>
          <t>tuvalet_kagidi_aparati</t>
        </is>
      </c>
      <c r="C147" s="5" t="inlineStr">
        <is>
          <t>Tuvalet kağıdı aparatı (siyah)</t>
        </is>
      </c>
      <c r="D147" s="5" t="inlineStr">
        <is>
          <t>Demirbaş</t>
        </is>
      </c>
      <c r="E147" s="5" t="n"/>
      <c r="F147" s="5" t="inlineStr">
        <is>
          <t>item_photos/village/tuvalet_kagidi_aparati.jpg</t>
        </is>
      </c>
      <c r="G147" s="5" t="inlineStr">
        <is>
          <t>Var</t>
        </is>
      </c>
      <c r="H147" s="5" t="inlineStr">
        <is>
          <t>Drive foto IMG_1996/2012/2036</t>
        </is>
      </c>
      <c r="I147" s="5" t="n"/>
    </row>
    <row r="148" ht="26.4" customHeight="1">
      <c r="A148" s="5" t="inlineStr">
        <is>
          <t>Tare Village Urla</t>
        </is>
      </c>
      <c r="B148" s="5" t="inlineStr">
        <is>
          <t>wc_fircasi</t>
        </is>
      </c>
      <c r="C148" s="5" t="inlineStr">
        <is>
          <t>WC fırçası</t>
        </is>
      </c>
      <c r="D148" s="5" t="inlineStr">
        <is>
          <t>Demirbaş</t>
        </is>
      </c>
      <c r="E148" s="5" t="n"/>
      <c r="F148" s="5" t="inlineStr">
        <is>
          <t>item_photos/village/wc_fircasi_ve_cop_kovasi.jpg</t>
        </is>
      </c>
      <c r="G148" s="5" t="inlineStr">
        <is>
          <t>Var</t>
        </is>
      </c>
      <c r="H148" s="5" t="inlineStr">
        <is>
          <t>Drive foto IMG_2002/2012</t>
        </is>
      </c>
      <c r="I148" s="5" t="n"/>
    </row>
    <row r="149">
      <c r="A149" s="5" t="inlineStr">
        <is>
          <t>Tare Village Urla</t>
        </is>
      </c>
      <c r="B149" s="5" t="inlineStr">
        <is>
          <t>yangin_sondurucu</t>
        </is>
      </c>
      <c r="C149" s="5" t="inlineStr">
        <is>
          <t>Yangın söndürücü</t>
        </is>
      </c>
      <c r="D149" s="5" t="inlineStr">
        <is>
          <t>Demirbaş</t>
        </is>
      </c>
      <c r="E149" s="5" t="n"/>
      <c r="F149" s="7" t="inlineStr">
        <is>
          <t>item_photos/village/yangin_sondurucu.jpg</t>
        </is>
      </c>
      <c r="G149" s="5" t="inlineStr">
        <is>
          <t>Var</t>
        </is>
      </c>
      <c r="H149" s="5" t="inlineStr">
        <is>
          <t>Drive foto IMG_2017/2014</t>
        </is>
      </c>
      <c r="I149" s="5" t="n"/>
    </row>
    <row r="150" ht="26.4" customHeight="1">
      <c r="A150" s="5" t="inlineStr">
        <is>
          <t>Tare Village Urla</t>
        </is>
      </c>
      <c r="B150" s="5" t="inlineStr">
        <is>
          <t>saksi_bitki</t>
        </is>
      </c>
      <c r="C150" s="5" t="inlineStr">
        <is>
          <t>Yapay saksı bitkisi</t>
        </is>
      </c>
      <c r="D150" s="5" t="inlineStr">
        <is>
          <t>Demirbaş</t>
        </is>
      </c>
      <c r="E150" s="5" t="n"/>
      <c r="F150" s="7" t="inlineStr">
        <is>
          <t>item_photos/village/saksi_bitki.jpg</t>
        </is>
      </c>
      <c r="G150" s="5" t="inlineStr">
        <is>
          <t>Var</t>
        </is>
      </c>
      <c r="H150" s="5" t="inlineStr">
        <is>
          <t>Drive foto IMG_1994/2022/2039</t>
        </is>
      </c>
      <c r="I150" s="5" t="n"/>
    </row>
    <row r="151" ht="26.4" customHeight="1">
      <c r="A151" s="5" t="inlineStr">
        <is>
          <t>Tare Village Urla</t>
        </is>
      </c>
      <c r="B151" s="5" t="inlineStr">
        <is>
          <t>yastik</t>
        </is>
      </c>
      <c r="C151" s="5" t="inlineStr">
        <is>
          <t>Yastık</t>
        </is>
      </c>
      <c r="D151" s="5" t="inlineStr">
        <is>
          <t>Demirbaş</t>
        </is>
      </c>
      <c r="E151" s="5" t="n"/>
      <c r="F151" s="5" t="inlineStr">
        <is>
          <t>item_photos/village/yastik.jpg</t>
        </is>
      </c>
      <c r="G151" s="5" t="inlineStr">
        <is>
          <t>Var</t>
        </is>
      </c>
      <c r="H151" s="5" t="inlineStr">
        <is>
          <t>Drive foto IMG_1998/2007/2022/2032</t>
        </is>
      </c>
      <c r="I151" s="5" t="n"/>
    </row>
    <row r="152" ht="26.4" customHeight="1">
      <c r="A152" s="5" t="inlineStr">
        <is>
          <t>Tare Village Urla</t>
        </is>
      </c>
      <c r="B152" s="5" t="inlineStr">
        <is>
          <t>yemek_masasi</t>
        </is>
      </c>
      <c r="C152" s="5" t="inlineStr">
        <is>
          <t>Yemek masası</t>
        </is>
      </c>
      <c r="D152" s="5" t="inlineStr">
        <is>
          <t>Demirbaş</t>
        </is>
      </c>
      <c r="E152" s="5" t="n"/>
      <c r="F152" s="7" t="inlineStr">
        <is>
          <t>item_photos/village/yemek_masasi_bank_sandalye.jpg</t>
        </is>
      </c>
      <c r="G152" s="5" t="inlineStr">
        <is>
          <t>Var</t>
        </is>
      </c>
      <c r="H152" s="5" t="inlineStr">
        <is>
          <t>Drive foto IMG_1995/2040</t>
        </is>
      </c>
      <c r="I152" s="5" t="n"/>
    </row>
    <row r="153" ht="26.4" customHeight="1">
      <c r="A153" s="5" t="inlineStr">
        <is>
          <t>Tare Village Urla</t>
        </is>
      </c>
      <c r="B153" s="5" t="inlineStr">
        <is>
          <t>ayna_yuvarlak</t>
        </is>
      </c>
      <c r="C153" s="5" t="inlineStr">
        <is>
          <t>Yuvarlak ayna</t>
        </is>
      </c>
      <c r="D153" s="5" t="inlineStr">
        <is>
          <t>Demirbaş</t>
        </is>
      </c>
      <c r="E153" s="5" t="n"/>
      <c r="F153" s="7" t="n"/>
      <c r="G153" s="5" t="inlineStr">
        <is>
          <t>Çekilecek</t>
        </is>
      </c>
      <c r="H153" s="5" t="inlineStr">
        <is>
          <t>Drive foto IMG_1996/2013/2027/2038</t>
        </is>
      </c>
      <c r="I153" s="5" t="n"/>
    </row>
    <row r="154" ht="26.4" customHeight="1">
      <c r="A154" s="5" t="inlineStr">
        <is>
          <t>Tare Village Urla</t>
        </is>
      </c>
      <c r="B154" s="5" t="inlineStr">
        <is>
          <t>cift_kisilik_yatak</t>
        </is>
      </c>
      <c r="C154" s="5" t="inlineStr">
        <is>
          <t>Çift kişilik / king yatak (ahşap baza)</t>
        </is>
      </c>
      <c r="D154" s="5" t="inlineStr">
        <is>
          <t>Demirbaş</t>
        </is>
      </c>
      <c r="E154" s="5" t="n"/>
      <c r="F154" s="7" t="inlineStr">
        <is>
          <t>item_photos/village/havlu_rafi.jpg</t>
        </is>
      </c>
      <c r="G154" s="5" t="inlineStr">
        <is>
          <t>Çekilecek</t>
        </is>
      </c>
      <c r="H154" s="5" t="inlineStr">
        <is>
          <t>Drive foto IMG_1997/2007/2022/2032</t>
        </is>
      </c>
      <c r="I154" s="5" t="n"/>
    </row>
    <row r="155" ht="26.4" customHeight="1">
      <c r="A155" s="5" t="inlineStr">
        <is>
          <t>Tare Village Urla</t>
        </is>
      </c>
      <c r="B155" s="5" t="inlineStr">
        <is>
          <t>sivi_sabun_dispenseri</t>
        </is>
      </c>
      <c r="C155" s="5" t="inlineStr">
        <is>
          <t>İkili duvar sıvı sabun / şampuan dispenseri</t>
        </is>
      </c>
      <c r="D155" s="5" t="inlineStr">
        <is>
          <t>Demirbaş</t>
        </is>
      </c>
      <c r="E155" s="5" t="n"/>
      <c r="F155" s="5" t="inlineStr">
        <is>
          <t>item_photos/village/sivi_sabun_dispenseri_ikili.jpg</t>
        </is>
      </c>
      <c r="G155" s="5" t="inlineStr">
        <is>
          <t>Var</t>
        </is>
      </c>
      <c r="H155" s="5" t="inlineStr">
        <is>
          <t>Drive foto IMG_1996</t>
        </is>
      </c>
      <c r="I155" s="5" t="n"/>
    </row>
    <row r="156">
      <c r="A156" s="5" t="inlineStr">
        <is>
          <t>Tare Village Urla</t>
        </is>
      </c>
      <c r="B156" s="5" t="inlineStr">
        <is>
          <t>sifonyer</t>
        </is>
      </c>
      <c r="C156" s="5" t="inlineStr">
        <is>
          <t>Şifonyer / çekmeceli dolap</t>
        </is>
      </c>
      <c r="D156" s="5" t="inlineStr">
        <is>
          <t>Demirbaş</t>
        </is>
      </c>
      <c r="E156" s="5" t="n"/>
      <c r="F156" s="7" t="n"/>
      <c r="G156" s="5" t="inlineStr">
        <is>
          <t>Çekilecek</t>
        </is>
      </c>
      <c r="H156" s="5" t="inlineStr">
        <is>
          <t>Drive foto IMG_2022/2025</t>
        </is>
      </c>
      <c r="I156" s="5" t="n"/>
    </row>
    <row r="157">
      <c r="A157" s="5" t="inlineStr">
        <is>
          <t>Tare Village Urla</t>
        </is>
      </c>
      <c r="B157" s="5" t="inlineStr">
        <is>
          <t>bulasik_deterjani</t>
        </is>
      </c>
      <c r="C157" s="5" t="inlineStr">
        <is>
          <t>Bulaşık deterjanı (eviye yanı)</t>
        </is>
      </c>
      <c r="D157" s="5" t="inlineStr">
        <is>
          <t>Sarf</t>
        </is>
      </c>
      <c r="E157" s="5" t="n"/>
      <c r="F157" s="7" t="n"/>
      <c r="G157" s="5" t="inlineStr">
        <is>
          <t>Çekilecek</t>
        </is>
      </c>
      <c r="H157" s="5" t="inlineStr">
        <is>
          <t>Drive foto IMG_2017</t>
        </is>
      </c>
      <c r="I157" s="5" t="n"/>
    </row>
    <row r="158" ht="26.4" customHeight="1">
      <c r="A158" s="5" t="inlineStr">
        <is>
          <t>Tare Village Urla</t>
        </is>
      </c>
      <c r="B158" s="5" t="inlineStr">
        <is>
          <t>havlu</t>
        </is>
      </c>
      <c r="C158" s="5" t="inlineStr">
        <is>
          <t>Havlu (lavabo altı rafta katlı)</t>
        </is>
      </c>
      <c r="D158" s="5" t="inlineStr">
        <is>
          <t>Sarf</t>
        </is>
      </c>
      <c r="E158" s="5" t="n"/>
      <c r="F158" s="7" t="inlineStr">
        <is>
          <t>item_photos/village/havlu_rafi.jpg</t>
        </is>
      </c>
      <c r="G158" s="5" t="inlineStr">
        <is>
          <t>Var</t>
        </is>
      </c>
      <c r="H158" s="5" t="inlineStr">
        <is>
          <t>Drive foto IMG_1996/2013/2027</t>
        </is>
      </c>
      <c r="I158" s="5" t="n"/>
    </row>
    <row r="159">
      <c r="A159" s="5" t="inlineStr">
        <is>
          <t>Tare Village Urla</t>
        </is>
      </c>
      <c r="B159" s="5" t="inlineStr">
        <is>
          <t>kagit_havlu</t>
        </is>
      </c>
      <c r="C159" s="5" t="inlineStr">
        <is>
          <t>Kağıt havlu rulosu</t>
        </is>
      </c>
      <c r="D159" s="5" t="inlineStr">
        <is>
          <t>Sarf</t>
        </is>
      </c>
      <c r="E159" s="5" t="n"/>
      <c r="F159" s="7" t="inlineStr">
        <is>
          <t>item_photos/village/kagit_havlu.jpg</t>
        </is>
      </c>
      <c r="G159" s="5" t="inlineStr">
        <is>
          <t>Var</t>
        </is>
      </c>
      <c r="H159" s="5" t="inlineStr">
        <is>
          <t>Drive foto IMG_2017/2026</t>
        </is>
      </c>
      <c r="I159" s="5" t="n"/>
    </row>
    <row r="160" ht="26.4" customHeight="1">
      <c r="A160" s="5" t="inlineStr">
        <is>
          <t>Tare Village Urla</t>
        </is>
      </c>
      <c r="B160" s="5" t="inlineStr">
        <is>
          <t>yatak_ortusu</t>
        </is>
      </c>
      <c r="C160" s="5" t="inlineStr">
        <is>
          <t>Pike / yatak örtüsü (beyaz waffle)</t>
        </is>
      </c>
      <c r="D160" s="5" t="inlineStr">
        <is>
          <t>Sarf</t>
        </is>
      </c>
      <c r="E160" s="5" t="n"/>
      <c r="F160" s="7" t="inlineStr">
        <is>
          <t>item_photos/village/kettle.jpg</t>
        </is>
      </c>
      <c r="G160" s="5" t="inlineStr">
        <is>
          <t>Çekilecek</t>
        </is>
      </c>
      <c r="H160" s="5" t="inlineStr">
        <is>
          <t>Drive foto IMG_1997/2007/2022</t>
        </is>
      </c>
      <c r="I160" s="5" t="n"/>
    </row>
    <row r="161">
      <c r="A161" s="5" t="inlineStr">
        <is>
          <t>Tare Village Urla</t>
        </is>
      </c>
      <c r="B161" s="5" t="inlineStr">
        <is>
          <t>dis_minder</t>
        </is>
      </c>
      <c r="C161" s="5" t="inlineStr">
        <is>
          <t>Sandalye minderi (krem)</t>
        </is>
      </c>
      <c r="D161" s="5" t="inlineStr">
        <is>
          <t>Sarf</t>
        </is>
      </c>
      <c r="E161" s="5" t="n"/>
      <c r="F161" s="7" t="inlineStr">
        <is>
          <t>item_photos/village/servis_gerecleri_kabi.jpg</t>
        </is>
      </c>
      <c r="G161" s="5" t="inlineStr">
        <is>
          <t>Çekilecek</t>
        </is>
      </c>
      <c r="H161" s="5" t="inlineStr">
        <is>
          <t>Drive foto IMG_2011/2030</t>
        </is>
      </c>
      <c r="I161" s="5" t="n"/>
    </row>
    <row r="162">
      <c r="A162" s="5" t="inlineStr">
        <is>
          <t>Tare Village Urla</t>
        </is>
      </c>
      <c r="B162" s="5" t="inlineStr">
        <is>
          <t>yedek_tuvalet_kagidi</t>
        </is>
      </c>
      <c r="C162" s="5" t="inlineStr">
        <is>
          <t>Yedek tuvalet kağıdı (lavabo rafı)</t>
        </is>
      </c>
      <c r="D162" s="5" t="inlineStr">
        <is>
          <t>Sarf</t>
        </is>
      </c>
      <c r="E162" s="5" t="n"/>
      <c r="F162" s="7" t="n"/>
      <c r="G162" s="5" t="inlineStr">
        <is>
          <t>Çekilecek</t>
        </is>
      </c>
      <c r="H162" s="5" t="inlineStr">
        <is>
          <t>Drive foto IMG_2013</t>
        </is>
      </c>
      <c r="I162" s="5" t="n"/>
    </row>
    <row r="163">
      <c r="A163" s="5" t="inlineStr">
        <is>
          <t>Tare Village Urla</t>
        </is>
      </c>
      <c r="B163" s="5" t="inlineStr">
        <is>
          <t>bulasik_kurutma_mati</t>
        </is>
      </c>
      <c r="C163" s="5" t="inlineStr">
        <is>
          <t>Bulaşık kurutma matı</t>
        </is>
      </c>
      <c r="D163" s="5" t="inlineStr">
        <is>
          <t>Mutfak Malzemesi</t>
        </is>
      </c>
      <c r="E163" s="5" t="n"/>
      <c r="F163" s="7" t="inlineStr">
        <is>
          <t>item_photos/village/yag_sisesi.jpg</t>
        </is>
      </c>
      <c r="G163" s="5" t="inlineStr">
        <is>
          <t>Çekilecek</t>
        </is>
      </c>
      <c r="H163" s="5" t="inlineStr">
        <is>
          <t>Drive foto IMG_2026</t>
        </is>
      </c>
      <c r="I163" s="5" t="n"/>
    </row>
    <row r="164" ht="26.4" customHeight="1">
      <c r="A164" s="5" t="inlineStr">
        <is>
          <t>Tare Village Urla</t>
        </is>
      </c>
      <c r="B164" s="5" t="inlineStr">
        <is>
          <t>kettle</t>
        </is>
      </c>
      <c r="C164" s="5" t="inlineStr">
        <is>
          <t>Kettle / su ısıtıcısı</t>
        </is>
      </c>
      <c r="D164" s="5" t="inlineStr">
        <is>
          <t>Mutfak Malzemesi</t>
        </is>
      </c>
      <c r="E164" s="5" t="n"/>
      <c r="F164" s="5" t="inlineStr">
        <is>
          <t>item_photos/village/kettle.jpg</t>
        </is>
      </c>
      <c r="G164" s="5" t="inlineStr">
        <is>
          <t>Var</t>
        </is>
      </c>
      <c r="H164" s="5" t="inlineStr">
        <is>
          <t>Drive foto IMG_1995/2014/2026/2040</t>
        </is>
      </c>
      <c r="I164" s="5" t="n"/>
    </row>
    <row r="165" ht="26.4" customHeight="1">
      <c r="A165" s="5" t="inlineStr">
        <is>
          <t>Tare Village Urla</t>
        </is>
      </c>
      <c r="B165" s="5" t="inlineStr">
        <is>
          <t>servis_gerecleri_kabi</t>
        </is>
      </c>
      <c r="C165" s="5" t="inlineStr">
        <is>
          <t>Servis gereçleri kabı + silikon/ahşap gereçler</t>
        </is>
      </c>
      <c r="D165" s="5" t="inlineStr">
        <is>
          <t>Mutfak Malzemesi</t>
        </is>
      </c>
      <c r="E165" s="5" t="n"/>
      <c r="F165" s="5" t="inlineStr">
        <is>
          <t>item_photos/village/servis_gerecleri_kabi.jpg</t>
        </is>
      </c>
      <c r="G165" s="5" t="inlineStr">
        <is>
          <t>Var</t>
        </is>
      </c>
      <c r="H165" s="5" t="inlineStr">
        <is>
          <t>Drive foto IMG_2017/2026/2040</t>
        </is>
      </c>
      <c r="I165" s="5" t="n"/>
    </row>
    <row r="166" ht="26.4" customHeight="1">
      <c r="A166" s="5" t="inlineStr">
        <is>
          <t>Tare Village Urla</t>
        </is>
      </c>
      <c r="B166" s="5" t="inlineStr">
        <is>
          <t>tabak_bardak_catal_vb</t>
        </is>
      </c>
      <c r="C166" s="5" t="inlineStr">
        <is>
          <t>Tabak, bardak, çatal-bıçak, tencere-tava</t>
        </is>
      </c>
      <c r="D166" s="5" t="inlineStr">
        <is>
          <t>Mutfak Malzemesi</t>
        </is>
      </c>
      <c r="E166" s="5" t="n"/>
      <c r="F166" s="7" t="inlineStr">
        <is>
          <t>item_photos/tiny_houses/bahce_masa_sandalye.jpg</t>
        </is>
      </c>
      <c r="G166" s="5" t="inlineStr">
        <is>
          <t>Çekilecek</t>
        </is>
      </c>
      <c r="H166" s="5" t="inlineStr">
        <is>
          <t>Drive foto -</t>
        </is>
      </c>
      <c r="I166" s="5" t="n"/>
    </row>
    <row r="167">
      <c r="A167" s="5" t="inlineStr">
        <is>
          <t>Tare Village Urla</t>
        </is>
      </c>
      <c r="B167" s="5" t="inlineStr">
        <is>
          <t>yag_sisesi</t>
        </is>
      </c>
      <c r="C167" s="5" t="inlineStr">
        <is>
          <t>Yağ şişesi (cam, dozajlı)</t>
        </is>
      </c>
      <c r="D167" s="5" t="inlineStr">
        <is>
          <t>Mutfak Malzemesi</t>
        </is>
      </c>
      <c r="E167" s="5" t="n"/>
      <c r="F167" s="5" t="inlineStr">
        <is>
          <t>item_photos/village/yag_sisesi.jpg</t>
        </is>
      </c>
      <c r="G167" s="5" t="inlineStr">
        <is>
          <t>Var</t>
        </is>
      </c>
      <c r="H167" s="5" t="inlineStr">
        <is>
          <t>Drive foto IMG_2026</t>
        </is>
      </c>
      <c r="I167" s="5" t="n"/>
    </row>
    <row r="168" ht="39.6" customHeight="1">
      <c r="A168" s="5" t="inlineStr">
        <is>
          <t>Tiny Houses</t>
        </is>
      </c>
      <c r="B168" s="5" t="inlineStr">
        <is>
          <t>loft_yatak</t>
        </is>
      </c>
      <c r="C168" s="5" t="inlineStr">
        <is>
          <t>Asma kat (loft) yer yatağı</t>
        </is>
      </c>
      <c r="D168" s="5" t="inlineStr">
        <is>
          <t>Demirbaş</t>
        </is>
      </c>
      <c r="E168" s="5" t="n"/>
      <c r="F168" s="5" t="inlineStr">
        <is>
          <t>item_photos/tiny_houses/loft_yatak_hali.jpg</t>
        </is>
      </c>
      <c r="G168" s="5" t="inlineStr">
        <is>
          <t>Var</t>
        </is>
      </c>
      <c r="H168" s="5" t="inlineStr">
        <is>
          <t>Drive foto TNY_IMG_2717 / TNY_IMG_2722 / TNY_IMG_2730</t>
        </is>
      </c>
      <c r="I168" s="5" t="n"/>
    </row>
    <row r="169" ht="26.4" customHeight="1">
      <c r="A169" s="5" t="inlineStr">
        <is>
          <t>Tiny Houses</t>
        </is>
      </c>
      <c r="B169" s="5" t="inlineStr">
        <is>
          <t>bahce_masa</t>
        </is>
      </c>
      <c r="C169" s="5" t="inlineStr">
        <is>
          <t>Bahçe masası (rattan görünümlü)</t>
        </is>
      </c>
      <c r="D169" s="5" t="inlineStr">
        <is>
          <t>Demirbaş</t>
        </is>
      </c>
      <c r="E169" s="5" t="n"/>
      <c r="F169" s="7" t="inlineStr">
        <is>
          <t>item_photos/tiny_houses/bahce_masa_sandalye.jpg</t>
        </is>
      </c>
      <c r="G169" s="5" t="inlineStr">
        <is>
          <t>Var</t>
        </is>
      </c>
      <c r="H169" s="5" t="inlineStr">
        <is>
          <t>Drive foto TNY_IMG_2607 / TNY_IMG_2573</t>
        </is>
      </c>
      <c r="I169" s="5" t="n"/>
    </row>
    <row r="170" ht="39.6" customHeight="1">
      <c r="A170" s="5" t="inlineStr">
        <is>
          <t>Tiny Houses</t>
        </is>
      </c>
      <c r="B170" s="5" t="inlineStr">
        <is>
          <t>bahce_sandalye</t>
        </is>
      </c>
      <c r="C170" s="5" t="inlineStr">
        <is>
          <t>Bahçe sandalyesi</t>
        </is>
      </c>
      <c r="D170" s="5" t="inlineStr">
        <is>
          <t>Demirbaş</t>
        </is>
      </c>
      <c r="E170" s="5" t="n"/>
      <c r="F170" s="5" t="inlineStr">
        <is>
          <t>item_photos/tiny_houses/bahce_masa_sandalye.jpg</t>
        </is>
      </c>
      <c r="G170" s="5" t="inlineStr">
        <is>
          <t>Var</t>
        </is>
      </c>
      <c r="H170" s="5" t="inlineStr">
        <is>
          <t>Drive foto TNY_IMG_2607 / TNY_IMG_2601 / TNY_IMG_2573</t>
        </is>
      </c>
      <c r="I170" s="5" t="n"/>
    </row>
    <row r="171">
      <c r="A171" s="5" t="inlineStr">
        <is>
          <t>Tiny Houses</t>
        </is>
      </c>
      <c r="B171" s="5" t="inlineStr">
        <is>
          <t>banyo_paspasi</t>
        </is>
      </c>
      <c r="C171" s="5" t="inlineStr">
        <is>
          <t>Banyo paspası</t>
        </is>
      </c>
      <c r="D171" s="5" t="inlineStr">
        <is>
          <t>Demirbaş</t>
        </is>
      </c>
      <c r="E171" s="5" t="n"/>
      <c r="F171" s="5" t="inlineStr">
        <is>
          <t>item_photos/tiny_houses/banyo_paspasi.jpg</t>
        </is>
      </c>
      <c r="G171" s="5" t="inlineStr">
        <is>
          <t>Var</t>
        </is>
      </c>
      <c r="H171" s="5" t="inlineStr">
        <is>
          <t>Drive foto TNY_IMG_2565</t>
        </is>
      </c>
      <c r="I171" s="5" t="n"/>
    </row>
    <row r="172">
      <c r="A172" s="5" t="inlineStr">
        <is>
          <t>Tiny Houses</t>
        </is>
      </c>
      <c r="B172" s="5" t="inlineStr">
        <is>
          <t>orta_sehpa</t>
        </is>
      </c>
      <c r="C172" s="5" t="inlineStr">
        <is>
          <t>Beyaz orta sehpa (sandıklı)</t>
        </is>
      </c>
      <c r="D172" s="5" t="inlineStr">
        <is>
          <t>Demirbaş</t>
        </is>
      </c>
      <c r="E172" s="5" t="n"/>
      <c r="F172" s="5" t="inlineStr">
        <is>
          <t>item_photos/tiny_houses/kanepe_sehpa.jpg</t>
        </is>
      </c>
      <c r="G172" s="5" t="inlineStr">
        <is>
          <t>Var</t>
        </is>
      </c>
      <c r="H172" s="5" t="inlineStr">
        <is>
          <t>Drive foto TNY_IMG_2562</t>
        </is>
      </c>
      <c r="I172" s="5" t="n"/>
    </row>
    <row r="173">
      <c r="A173" s="5" t="inlineStr">
        <is>
          <t>Tiny Houses</t>
        </is>
      </c>
      <c r="B173" s="5" t="inlineStr">
        <is>
          <t>buzdolabi</t>
        </is>
      </c>
      <c r="C173" s="5" t="inlineStr">
        <is>
          <t>Buzdolabı</t>
        </is>
      </c>
      <c r="D173" s="5" t="inlineStr">
        <is>
          <t>Demirbaş</t>
        </is>
      </c>
      <c r="E173" s="5" t="n"/>
      <c r="F173" s="7" t="inlineStr">
        <is>
          <t>item_photos/tiny_houses/kumanda_tv_klima.jpg</t>
        </is>
      </c>
      <c r="G173" s="5" t="inlineStr">
        <is>
          <t>Çekilecek</t>
        </is>
      </c>
      <c r="H173" s="5" t="inlineStr">
        <is>
          <t>Drive foto</t>
        </is>
      </c>
      <c r="I173" s="5" t="n"/>
    </row>
    <row r="174">
      <c r="A174" s="5" t="inlineStr">
        <is>
          <t>Tiny Houses</t>
        </is>
      </c>
      <c r="B174" s="5" t="inlineStr">
        <is>
          <t>evye_batarya</t>
        </is>
      </c>
      <c r="C174" s="5" t="inlineStr">
        <is>
          <t>Evye + siyah batarya</t>
        </is>
      </c>
      <c r="D174" s="5" t="inlineStr">
        <is>
          <t>Demirbaş</t>
        </is>
      </c>
      <c r="E174" s="5" t="n"/>
      <c r="F174" s="7" t="inlineStr">
        <is>
          <t>item_photos/tiny_houses/mini_ocak_evye.jpg</t>
        </is>
      </c>
      <c r="G174" s="5" t="inlineStr">
        <is>
          <t>Var</t>
        </is>
      </c>
      <c r="H174" s="5" t="inlineStr">
        <is>
          <t>Drive foto TNY_IMG_2562</t>
        </is>
      </c>
      <c r="I174" s="5" t="n"/>
    </row>
    <row r="175" ht="26.4" customHeight="1">
      <c r="A175" s="5" t="inlineStr">
        <is>
          <t>Tiny Houses</t>
        </is>
      </c>
      <c r="B175" s="5" t="inlineStr">
        <is>
          <t>hali</t>
        </is>
      </c>
      <c r="C175" s="5" t="inlineStr">
        <is>
          <t>Halı (desenli)</t>
        </is>
      </c>
      <c r="D175" s="5" t="inlineStr">
        <is>
          <t>Demirbaş</t>
        </is>
      </c>
      <c r="E175" s="5" t="n"/>
      <c r="F175" s="5" t="inlineStr">
        <is>
          <t>item_photos/tiny_houses/loft_yatak_hali.jpg</t>
        </is>
      </c>
      <c r="G175" s="5" t="inlineStr">
        <is>
          <t>Var</t>
        </is>
      </c>
      <c r="H175" s="5" t="inlineStr">
        <is>
          <t>Drive foto TNY_IMG_2717 / TNY_IMG_2725</t>
        </is>
      </c>
      <c r="I175" s="5" t="n"/>
    </row>
    <row r="176" ht="26.4" customHeight="1">
      <c r="A176" s="5" t="inlineStr">
        <is>
          <t>Tiny Houses</t>
        </is>
      </c>
      <c r="B176" s="5" t="inlineStr">
        <is>
          <t>duvar_tv</t>
        </is>
      </c>
      <c r="C176" s="5" t="inlineStr">
        <is>
          <t>Hareketli kollu duvar TV</t>
        </is>
      </c>
      <c r="D176" s="5" t="inlineStr">
        <is>
          <t>Demirbaş</t>
        </is>
      </c>
      <c r="E176" s="5" t="n"/>
      <c r="F176" s="7" t="inlineStr">
        <is>
          <t>item_photos/tiny_houses/tv_duvar.jpg</t>
        </is>
      </c>
      <c r="G176" s="5" t="inlineStr">
        <is>
          <t>Var</t>
        </is>
      </c>
      <c r="H176" s="5" t="inlineStr">
        <is>
          <t>Drive foto TNY_IMG_2562 / TNY_IMG_2730</t>
        </is>
      </c>
      <c r="I176" s="5" t="n"/>
    </row>
    <row r="177">
      <c r="A177" s="5" t="inlineStr">
        <is>
          <t>Tiny Houses</t>
        </is>
      </c>
      <c r="B177" s="5" t="inlineStr">
        <is>
          <t>hasir_supla</t>
        </is>
      </c>
      <c r="C177" s="5" t="inlineStr">
        <is>
          <t>Hasır amerikan servis/supla</t>
        </is>
      </c>
      <c r="D177" s="5" t="inlineStr">
        <is>
          <t>Demirbaş</t>
        </is>
      </c>
      <c r="E177" s="5" t="n"/>
      <c r="F177" s="5" t="inlineStr">
        <is>
          <t>item_photos/tiny_houses/kumanda_tv_klima.jpg</t>
        </is>
      </c>
      <c r="G177" s="5" t="inlineStr">
        <is>
          <t>Var</t>
        </is>
      </c>
      <c r="H177" s="5" t="inlineStr">
        <is>
          <t>Drive foto TNY_IMG_2562</t>
        </is>
      </c>
      <c r="I177" s="5" t="n"/>
    </row>
    <row r="178" ht="26.4" customHeight="1">
      <c r="A178" s="5" t="inlineStr">
        <is>
          <t>Tiny Houses</t>
        </is>
      </c>
      <c r="B178" s="5" t="inlineStr">
        <is>
          <t>isikli_ayna</t>
        </is>
      </c>
      <c r="C178" s="5" t="inlineStr">
        <is>
          <t>Işıklı banyo aynası</t>
        </is>
      </c>
      <c r="D178" s="5" t="inlineStr">
        <is>
          <t>Demirbaş</t>
        </is>
      </c>
      <c r="E178" s="5" t="n"/>
      <c r="F178" s="7" t="inlineStr">
        <is>
          <t>item_photos/tiny_houses/lavabo_dolabi_sabun.jpg</t>
        </is>
      </c>
      <c r="G178" s="5" t="inlineStr">
        <is>
          <t>Çekilecek</t>
        </is>
      </c>
      <c r="H178" s="5" t="inlineStr">
        <is>
          <t>Drive foto TNY_IMG_2565</t>
        </is>
      </c>
      <c r="I178" s="5" t="n"/>
    </row>
    <row r="179">
      <c r="A179" s="5" t="inlineStr">
        <is>
          <t>Tiny Houses</t>
        </is>
      </c>
      <c r="B179" s="5" t="inlineStr">
        <is>
          <t>kanepe</t>
        </is>
      </c>
      <c r="C179" s="5" t="inlineStr">
        <is>
          <t>Kanepe / oturma bankı</t>
        </is>
      </c>
      <c r="D179" s="5" t="inlineStr">
        <is>
          <t>Demirbaş</t>
        </is>
      </c>
      <c r="E179" s="5" t="n"/>
      <c r="F179" s="7" t="inlineStr">
        <is>
          <t>item_photos/tiny_houses/kanepe_sehpa.jpg</t>
        </is>
      </c>
      <c r="G179" s="5" t="inlineStr">
        <is>
          <t>Var</t>
        </is>
      </c>
      <c r="H179" s="5" t="inlineStr">
        <is>
          <t>Drive foto TNY_IMG_2562</t>
        </is>
      </c>
      <c r="I179" s="5" t="n"/>
    </row>
    <row r="180">
      <c r="A180" s="5" t="inlineStr">
        <is>
          <t>Tiny Houses</t>
        </is>
      </c>
      <c r="B180" s="5" t="inlineStr">
        <is>
          <t>klozet</t>
        </is>
      </c>
      <c r="C180" s="5" t="inlineStr">
        <is>
          <t>Klozet</t>
        </is>
      </c>
      <c r="D180" s="5" t="inlineStr">
        <is>
          <t>Demirbaş</t>
        </is>
      </c>
      <c r="E180" s="5" t="n"/>
      <c r="F180" s="7" t="n"/>
      <c r="G180" s="5" t="inlineStr">
        <is>
          <t>Çekilecek</t>
        </is>
      </c>
      <c r="H180" s="5" t="inlineStr">
        <is>
          <t>Drive foto TNY_IMG_2565</t>
        </is>
      </c>
      <c r="I180" s="5" t="n"/>
    </row>
    <row r="181">
      <c r="A181" s="5" t="inlineStr">
        <is>
          <t>Tiny Houses</t>
        </is>
      </c>
      <c r="B181" s="5" t="inlineStr">
        <is>
          <t>kumanda</t>
        </is>
      </c>
      <c r="C181" s="5" t="inlineStr">
        <is>
          <t>Kumanda (TV + klima)</t>
        </is>
      </c>
      <c r="D181" s="5" t="inlineStr">
        <is>
          <t>Demirbaş</t>
        </is>
      </c>
      <c r="E181" s="5" t="n"/>
      <c r="F181" s="7" t="inlineStr">
        <is>
          <t>item_photos/tiny_houses/kumanda_tv_klima.jpg</t>
        </is>
      </c>
      <c r="G181" s="5" t="inlineStr">
        <is>
          <t>Var</t>
        </is>
      </c>
      <c r="H181" s="5" t="inlineStr">
        <is>
          <t>Drive foto TNY_IMG_2562</t>
        </is>
      </c>
      <c r="I181" s="5" t="n"/>
    </row>
    <row r="182" ht="26.4" customHeight="1">
      <c r="A182" s="5" t="inlineStr">
        <is>
          <t>Tiny Houses</t>
        </is>
      </c>
      <c r="B182" s="5" t="inlineStr">
        <is>
          <t>lavabo_dolabi</t>
        </is>
      </c>
      <c r="C182" s="5" t="inlineStr">
        <is>
          <t>Lavabo + beyaz 2 kapaklı alt dolap</t>
        </is>
      </c>
      <c r="D182" s="5" t="inlineStr">
        <is>
          <t>Demirbaş</t>
        </is>
      </c>
      <c r="E182" s="5" t="n"/>
      <c r="F182" s="5" t="inlineStr">
        <is>
          <t>item_photos/tiny_houses/lavabo_dolabi_sabun.jpg</t>
        </is>
      </c>
      <c r="G182" s="5" t="inlineStr">
        <is>
          <t>Var</t>
        </is>
      </c>
      <c r="H182" s="5" t="inlineStr">
        <is>
          <t>Drive foto TNY_IMG_2565</t>
        </is>
      </c>
      <c r="I182" s="5" t="n"/>
    </row>
    <row r="183" ht="26.4" customHeight="1">
      <c r="A183" s="5" t="inlineStr">
        <is>
          <t>Tiny Houses</t>
        </is>
      </c>
      <c r="B183" s="5" t="inlineStr">
        <is>
          <t>dus_kabini</t>
        </is>
      </c>
      <c r="C183" s="5" t="inlineStr">
        <is>
          <t>Siyah profilli sürgülü duş kabini</t>
        </is>
      </c>
      <c r="D183" s="5" t="inlineStr">
        <is>
          <t>Demirbaş</t>
        </is>
      </c>
      <c r="E183" s="5" t="n"/>
      <c r="F183" s="7" t="inlineStr">
        <is>
          <t>item_photos/tiny_houses/tuvalet_kagidi_aparat.jpg</t>
        </is>
      </c>
      <c r="G183" s="5" t="inlineStr">
        <is>
          <t>Çekilecek</t>
        </is>
      </c>
      <c r="H183" s="5" t="inlineStr">
        <is>
          <t>Drive foto TNY_IMG_2565</t>
        </is>
      </c>
      <c r="I183" s="5" t="n"/>
    </row>
    <row r="184">
      <c r="A184" s="5" t="inlineStr">
        <is>
          <t>Tiny Houses</t>
        </is>
      </c>
      <c r="B184" s="5" t="inlineStr">
        <is>
          <t>klima</t>
        </is>
      </c>
      <c r="C184" s="5" t="inlineStr">
        <is>
          <t>Split klima</t>
        </is>
      </c>
      <c r="D184" s="5" t="inlineStr">
        <is>
          <t>Demirbaş</t>
        </is>
      </c>
      <c r="E184" s="5" t="n"/>
      <c r="F184" s="7" t="n"/>
      <c r="G184" s="5" t="inlineStr">
        <is>
          <t>Çekilecek</t>
        </is>
      </c>
      <c r="H184" s="5" t="inlineStr">
        <is>
          <t>Drive foto TNY_IMG_2562</t>
        </is>
      </c>
      <c r="I184" s="5" t="n"/>
    </row>
    <row r="185">
      <c r="A185" s="5" t="inlineStr">
        <is>
          <t>Tiny Houses</t>
        </is>
      </c>
      <c r="B185" s="5" t="inlineStr">
        <is>
          <t>kettle</t>
        </is>
      </c>
      <c r="C185" s="5" t="inlineStr">
        <is>
          <t>Su ısıtıcısı</t>
        </is>
      </c>
      <c r="D185" s="5" t="inlineStr">
        <is>
          <t>Demirbaş</t>
        </is>
      </c>
      <c r="E185" s="5" t="n"/>
      <c r="F185" s="7" t="n"/>
      <c r="G185" s="5" t="inlineStr">
        <is>
          <t>Çekilecek</t>
        </is>
      </c>
      <c r="H185" s="5" t="inlineStr">
        <is>
          <t>Drive foto</t>
        </is>
      </c>
      <c r="I185" s="5" t="n"/>
    </row>
    <row r="186">
      <c r="A186" s="5" t="inlineStr">
        <is>
          <t>Tiny Houses</t>
        </is>
      </c>
      <c r="B186" s="5" t="inlineStr">
        <is>
          <t>mini_ocak</t>
        </is>
      </c>
      <c r="C186" s="5" t="inlineStr">
        <is>
          <t>Tezgah üstü tek gözlü ocak</t>
        </is>
      </c>
      <c r="D186" s="5" t="inlineStr">
        <is>
          <t>Demirbaş</t>
        </is>
      </c>
      <c r="E186" s="5" t="n"/>
      <c r="F186" s="7" t="inlineStr">
        <is>
          <t>item_photos/tiny_houses/mini_ocak_evye.jpg</t>
        </is>
      </c>
      <c r="G186" s="5" t="inlineStr">
        <is>
          <t>Var</t>
        </is>
      </c>
      <c r="H186" s="5" t="inlineStr">
        <is>
          <t>Drive foto TNY_IMG_2562</t>
        </is>
      </c>
      <c r="I186" s="5" t="n"/>
    </row>
    <row r="187" ht="26.4" customHeight="1">
      <c r="A187" s="5" t="inlineStr">
        <is>
          <t>Tiny Houses</t>
        </is>
      </c>
      <c r="B187" s="5" t="inlineStr">
        <is>
          <t>tuvalet_kagidi_aparati</t>
        </is>
      </c>
      <c r="C187" s="5" t="inlineStr">
        <is>
          <t>Tuvalet kâğıdı aparatı</t>
        </is>
      </c>
      <c r="D187" s="5" t="inlineStr">
        <is>
          <t>Demirbaş</t>
        </is>
      </c>
      <c r="E187" s="5" t="n"/>
      <c r="F187" s="5" t="inlineStr">
        <is>
          <t>item_photos/tiny_houses/tuvalet_kagidi_aparat.jpg</t>
        </is>
      </c>
      <c r="G187" s="5" t="inlineStr">
        <is>
          <t>Var</t>
        </is>
      </c>
      <c r="H187" s="5" t="inlineStr">
        <is>
          <t>Drive foto TNY_IMG_2565</t>
        </is>
      </c>
      <c r="I187" s="5" t="n"/>
    </row>
    <row r="188" ht="26.4" customHeight="1">
      <c r="A188" s="5" t="inlineStr">
        <is>
          <t>Tiny Houses</t>
        </is>
      </c>
      <c r="B188" s="5" t="inlineStr">
        <is>
          <t>yangin_sondurucu</t>
        </is>
      </c>
      <c r="C188" s="5" t="inlineStr">
        <is>
          <t>Yangın söndürücü (dış)</t>
        </is>
      </c>
      <c r="D188" s="5" t="inlineStr">
        <is>
          <t>Demirbaş</t>
        </is>
      </c>
      <c r="E188" s="5" t="n"/>
      <c r="F188" s="7" t="inlineStr">
        <is>
          <t>item_photos/tiny_houses/lavabo_dolabi_sabun.jpg</t>
        </is>
      </c>
      <c r="G188" s="5" t="inlineStr">
        <is>
          <t>Çekilecek</t>
        </is>
      </c>
      <c r="H188" s="5" t="inlineStr">
        <is>
          <t>Drive foto TNY_IMG_2585 / TNY_IMG_2607</t>
        </is>
      </c>
      <c r="I188" s="5" t="n"/>
    </row>
    <row r="189" ht="26.4" customHeight="1">
      <c r="A189" s="5" t="inlineStr">
        <is>
          <t>Tiny Houses</t>
        </is>
      </c>
      <c r="B189" s="5" t="inlineStr">
        <is>
          <t>yastik</t>
        </is>
      </c>
      <c r="C189" s="5" t="inlineStr">
        <is>
          <t>Yastık</t>
        </is>
      </c>
      <c r="D189" s="5" t="inlineStr">
        <is>
          <t>Demirbaş</t>
        </is>
      </c>
      <c r="E189" s="5" t="n"/>
      <c r="F189" s="7" t="inlineStr">
        <is>
          <t>item_photos/tiny_houses/tuvalet_kagidi_aparat.jpg</t>
        </is>
      </c>
      <c r="G189" s="5" t="inlineStr">
        <is>
          <t>Çekilecek</t>
        </is>
      </c>
      <c r="H189" s="5" t="inlineStr">
        <is>
          <t>Drive foto TNY_IMG_2722 / TNY_IMG_2725</t>
        </is>
      </c>
      <c r="I189" s="5" t="n"/>
    </row>
    <row r="190" ht="39.6" customHeight="1">
      <c r="A190" s="5" t="inlineStr">
        <is>
          <t>Tiny Houses</t>
        </is>
      </c>
      <c r="B190" s="5" t="inlineStr">
        <is>
          <t>zebra_perde</t>
        </is>
      </c>
      <c r="C190" s="5" t="inlineStr">
        <is>
          <t>Zebra stor perde</t>
        </is>
      </c>
      <c r="D190" s="5" t="inlineStr">
        <is>
          <t>Demirbaş</t>
        </is>
      </c>
      <c r="E190" s="5" t="n"/>
      <c r="F190" s="7" t="n"/>
      <c r="G190" s="5" t="inlineStr">
        <is>
          <t>Çekilecek</t>
        </is>
      </c>
      <c r="H190" s="5" t="inlineStr">
        <is>
          <t>Drive foto TNY_IMG_2562 / TNY_IMG_2717 / TNY_IMG_2725</t>
        </is>
      </c>
      <c r="I190" s="5" t="n"/>
    </row>
    <row r="191">
      <c r="A191" s="5" t="inlineStr">
        <is>
          <t>Tiny Houses</t>
        </is>
      </c>
      <c r="B191" s="5" t="inlineStr">
        <is>
          <t>cift_kisilik_yatak</t>
        </is>
      </c>
      <c r="C191" s="5" t="inlineStr">
        <is>
          <t>Çift kişilik yatak (kumaş başlıklı baza)</t>
        </is>
      </c>
      <c r="D191" s="5" t="inlineStr">
        <is>
          <t>Demirbaş</t>
        </is>
      </c>
      <c r="E191" s="5" t="n"/>
      <c r="F191" s="5" t="inlineStr">
        <is>
          <t>item_photos/tiny_houses/cift_kisilik_yatak.jpg</t>
        </is>
      </c>
      <c r="G191" s="5" t="inlineStr">
        <is>
          <t>Var</t>
        </is>
      </c>
      <c r="H191" s="5" t="inlineStr">
        <is>
          <t>Drive foto TNY_IMG_2725</t>
        </is>
      </c>
      <c r="I191" s="5" t="n"/>
    </row>
    <row r="192" ht="26.4" customHeight="1">
      <c r="A192" s="5" t="inlineStr">
        <is>
          <t>Tiny Houses</t>
        </is>
      </c>
      <c r="B192" s="5" t="inlineStr">
        <is>
          <t>sivi_sabun</t>
        </is>
      </c>
      <c r="C192" s="5" t="inlineStr">
        <is>
          <t>Sıvı el sabunu (pompalı şişe)</t>
        </is>
      </c>
      <c r="D192" s="5" t="inlineStr">
        <is>
          <t>Sarf</t>
        </is>
      </c>
      <c r="E192" s="5" t="n"/>
      <c r="F192" s="5" t="inlineStr">
        <is>
          <t>item_photos/tiny_houses/lavabo_dolabi_sabun.jpg</t>
        </is>
      </c>
      <c r="G192" s="5" t="inlineStr">
        <is>
          <t>Var</t>
        </is>
      </c>
      <c r="H192" s="5" t="inlineStr">
        <is>
          <t>Drive foto TNY_IMG_2565</t>
        </is>
      </c>
      <c r="I192" s="5" t="n"/>
    </row>
    <row r="193" ht="26.4" customHeight="1">
      <c r="A193" s="5" t="inlineStr">
        <is>
          <t>Tiny Houses</t>
        </is>
      </c>
      <c r="B193" s="5" t="inlineStr">
        <is>
          <t>tuvalet_kagidi</t>
        </is>
      </c>
      <c r="C193" s="5" t="inlineStr">
        <is>
          <t>Tuvalet kâğıdı (takılı)</t>
        </is>
      </c>
      <c r="D193" s="5" t="inlineStr">
        <is>
          <t>Sarf</t>
        </is>
      </c>
      <c r="E193" s="5" t="n"/>
      <c r="F193" s="5" t="inlineStr">
        <is>
          <t>item_photos/tiny_houses/tuvalet_kagidi_aparat.jpg</t>
        </is>
      </c>
      <c r="G193" s="5" t="inlineStr">
        <is>
          <t>Var</t>
        </is>
      </c>
      <c r="H193" s="5" t="inlineStr">
        <is>
          <t>Drive foto TNY_IMG_2565</t>
        </is>
      </c>
      <c r="I193" s="5" t="n"/>
    </row>
    <row r="194">
      <c r="A194" s="5" t="inlineStr">
        <is>
          <t>Tare Houses Hotel</t>
        </is>
      </c>
      <c r="B194" s="5" t="inlineStr">
        <is>
          <t>amenity_tray</t>
        </is>
      </c>
      <c r="C194" s="5" t="inlineStr">
        <is>
          <t>İkram tepsisi, bambu, kulplu</t>
        </is>
      </c>
      <c r="D194" s="5" t="inlineStr">
        <is>
          <t>Demirbaş</t>
        </is>
      </c>
      <c r="E194" s="5" t="inlineStr">
        <is>
          <t>Çalışma masasında; fincanlar ve ikram paketleri üstünde</t>
        </is>
      </c>
      <c r="H194" s="5" t="inlineStr">
        <is>
          <t>Drive foto (20.10.2026)</t>
        </is>
      </c>
    </row>
    <row r="195">
      <c r="A195" s="5" t="inlineStr">
        <is>
          <t>Tare Houses Hotel</t>
        </is>
      </c>
      <c r="B195" s="5" t="inlineStr">
        <is>
          <t>coffee_cup</t>
        </is>
      </c>
      <c r="C195" s="5" t="inlineStr">
        <is>
          <t>Türk kahvesi fincanı + bambu altlık</t>
        </is>
      </c>
      <c r="D195" s="5" t="inlineStr">
        <is>
          <t>Mutfak Malzemesi</t>
        </is>
      </c>
      <c r="E195" s="5" t="inlineStr">
        <is>
          <t>Beyaz porselen, logolu; altlık yuvarlak bambu</t>
        </is>
      </c>
      <c r="H195" s="5" t="inlineStr">
        <is>
          <t>Drive foto (20.10.2026)</t>
        </is>
      </c>
    </row>
    <row r="196">
      <c r="A196" s="5" t="inlineStr">
        <is>
          <t>Tare Houses Hotel</t>
        </is>
      </c>
      <c r="B196" s="5" t="inlineStr">
        <is>
          <t>lokum_bowl</t>
        </is>
      </c>
      <c r="C196" s="5" t="inlineStr">
        <is>
          <t>Lokum kasesi, bambu</t>
        </is>
      </c>
      <c r="D196" s="5" t="inlineStr">
        <is>
          <t>Mutfak Malzemesi</t>
        </is>
      </c>
      <c r="E196" s="5" t="inlineStr">
        <is>
          <t>İkram tepsisinde küçük yuvarlak kase</t>
        </is>
      </c>
      <c r="H196" s="5" t="inlineStr">
        <is>
          <t>Drive foto (20.10.2026)</t>
        </is>
      </c>
    </row>
    <row r="197">
      <c r="A197" s="5" t="inlineStr">
        <is>
          <t>Tare Houses Hotel</t>
        </is>
      </c>
      <c r="B197" s="5" t="inlineStr">
        <is>
          <t>turkish_coffee</t>
        </is>
      </c>
      <c r="C197" s="5" t="inlineStr">
        <is>
          <t>Hazır Türk kahvesi (paket)</t>
        </is>
      </c>
      <c r="D197" s="5" t="inlineStr">
        <is>
          <t>İkram</t>
        </is>
      </c>
      <c r="E197" s="5" t="inlineStr">
        <is>
          <t>Lacivert paket, "Hazır Türk Kahvesi Sade"</t>
        </is>
      </c>
      <c r="H197" s="5" t="inlineStr">
        <is>
          <t>Drive foto (20.10.2026)</t>
        </is>
      </c>
    </row>
    <row r="198">
      <c r="A198" s="5" t="inlineStr">
        <is>
          <t>Tare Houses Hotel</t>
        </is>
      </c>
      <c r="B198" s="5" t="inlineStr">
        <is>
          <t>creamer</t>
        </is>
      </c>
      <c r="C198" s="5" t="inlineStr">
        <is>
          <t>Kahve kreması (Coffee-mate stick)</t>
        </is>
      </c>
      <c r="D198" s="5" t="inlineStr">
        <is>
          <t>İkram</t>
        </is>
      </c>
      <c r="E198" s="5" t="inlineStr">
        <is>
          <t>Kırmızı-beyaz stick</t>
        </is>
      </c>
      <c r="H198" s="5" t="inlineStr">
        <is>
          <t>Drive foto (20.10.2026)</t>
        </is>
      </c>
    </row>
    <row r="199">
      <c r="A199" s="5" t="inlineStr">
        <is>
          <t>Tare Houses Hotel</t>
        </is>
      </c>
      <c r="B199" s="5" t="inlineStr">
        <is>
          <t>hair_dryer</t>
        </is>
      </c>
      <c r="C199" s="5" t="inlineStr">
        <is>
          <t>Saç kurutma makinesi, beyaz</t>
        </is>
      </c>
      <c r="D199" s="5" t="inlineStr">
        <is>
          <t>Demirbaş</t>
        </is>
      </c>
      <c r="E199" s="5" t="inlineStr">
        <is>
          <t>Lavabo altı rafında, kablosu toplanmış</t>
        </is>
      </c>
      <c r="H199" s="5" t="inlineStr">
        <is>
          <t>Drive foto (20.10.2026)</t>
        </is>
      </c>
    </row>
    <row r="200">
      <c r="A200" s="5" t="inlineStr">
        <is>
          <t>Tare Houses Hotel</t>
        </is>
      </c>
      <c r="B200" s="5" t="inlineStr">
        <is>
          <t>slippers</t>
        </is>
      </c>
      <c r="C200" s="5" t="inlineStr">
        <is>
          <t>Terlik (çift, poşetli)</t>
        </is>
      </c>
      <c r="D200" s="5" t="inlineStr">
        <is>
          <t>Sarf</t>
        </is>
      </c>
      <c r="E200" s="5" t="inlineStr">
        <is>
          <t>Beyaz, logolu, poşet içinde</t>
        </is>
      </c>
      <c r="H200" s="5" t="inlineStr">
        <is>
          <t>Drive foto (20.10.2026)</t>
        </is>
      </c>
    </row>
    <row r="201">
      <c r="A201" s="5" t="inlineStr">
        <is>
          <t>Tare Houses Hotel</t>
        </is>
      </c>
      <c r="B201" s="5" t="inlineStr">
        <is>
          <t>silicone_ladle</t>
        </is>
      </c>
      <c r="C201" s="5" t="inlineStr">
        <is>
          <t>Silikon kepçe</t>
        </is>
      </c>
      <c r="D201" s="5" t="inlineStr">
        <is>
          <t>Mutfak Malzemesi</t>
        </is>
      </c>
      <c r="E201" s="5" t="inlineStr">
        <is>
          <t>Siyah silikon, ahşap saplı</t>
        </is>
      </c>
      <c r="H201" s="5" t="inlineStr">
        <is>
          <t>Drive foto (20.10.2026)</t>
        </is>
      </c>
    </row>
    <row r="202">
      <c r="A202" s="5" t="inlineStr">
        <is>
          <t>Tare Houses Hotel</t>
        </is>
      </c>
      <c r="B202" s="5" t="inlineStr">
        <is>
          <t>silicone_spatula</t>
        </is>
      </c>
      <c r="C202" s="5" t="inlineStr">
        <is>
          <t>Silikon spatula</t>
        </is>
      </c>
      <c r="D202" s="5" t="inlineStr">
        <is>
          <t>Mutfak Malzemesi</t>
        </is>
      </c>
      <c r="E202" s="5" t="inlineStr">
        <is>
          <t>Siyah silikon, ahşap saplı</t>
        </is>
      </c>
      <c r="H202" s="5" t="inlineStr">
        <is>
          <t>Drive foto (20.10.2026)</t>
        </is>
      </c>
    </row>
    <row r="203">
      <c r="A203" s="5" t="inlineStr">
        <is>
          <t>Tare Houses Hotel</t>
        </is>
      </c>
      <c r="B203" s="5" t="inlineStr">
        <is>
          <t>flat_plate_green</t>
        </is>
      </c>
      <c r="C203" s="5" t="inlineStr">
        <is>
          <t>Düz tabak (zeytin yeşili sırlı)</t>
        </is>
      </c>
      <c r="D203" s="5" t="inlineStr">
        <is>
          <t>Mutfak Malzemesi</t>
        </is>
      </c>
      <c r="E203" s="5" t="inlineStr">
        <is>
          <t>Kenarı kalkık, koyu zeytin/hardal sır</t>
        </is>
      </c>
      <c r="H203" s="5" t="inlineStr">
        <is>
          <t>Drive foto (20.10.2026)</t>
        </is>
      </c>
    </row>
    <row r="204">
      <c r="A204" s="5" t="inlineStr">
        <is>
          <t>Tare Houses Hotel</t>
        </is>
      </c>
      <c r="B204" s="5" t="inlineStr">
        <is>
          <t>espresso_cup</t>
        </is>
      </c>
      <c r="C204" s="5" t="inlineStr">
        <is>
          <t>Küçük fincan (zeytin yeşili)</t>
        </is>
      </c>
      <c r="D204" s="5" t="inlineStr">
        <is>
          <t>Mutfak Malzemesi</t>
        </is>
      </c>
      <c r="E204" s="5" t="inlineStr">
        <is>
          <t>Kulpsuz/küçük kulplu, kupadan küçük</t>
        </is>
      </c>
      <c r="H204" s="5" t="inlineStr">
        <is>
          <t>Drive foto (20.10.2026)</t>
        </is>
      </c>
    </row>
    <row r="205">
      <c r="A205" s="5" t="inlineStr">
        <is>
          <t>Tare Houses Hotel</t>
        </is>
      </c>
      <c r="B205" s="5" t="inlineStr">
        <is>
          <t>saucer</t>
        </is>
      </c>
      <c r="C205" s="5" t="inlineStr">
        <is>
          <t>Fincan tabağı (koyu zeytin, geniş kenarlı)</t>
        </is>
      </c>
      <c r="D205" s="5" t="inlineStr">
        <is>
          <t>Mutfak Malzemesi</t>
        </is>
      </c>
      <c r="E205" s="5" t="inlineStr">
        <is>
          <t>Ortası çukur, geniş kenarlı</t>
        </is>
      </c>
      <c r="H205" s="5" t="inlineStr">
        <is>
          <t>Drive foto (20.10.2026)</t>
        </is>
      </c>
    </row>
    <row r="206">
      <c r="A206" s="5" t="inlineStr">
        <is>
          <t>Tare Houses Hotel</t>
        </is>
      </c>
      <c r="B206" s="5" t="inlineStr">
        <is>
          <t>short_glass</t>
        </is>
      </c>
      <c r="C206" s="5" t="inlineStr">
        <is>
          <t>Kısa bardak</t>
        </is>
      </c>
      <c r="D206" s="5" t="inlineStr">
        <is>
          <t>Mutfak Malzemesi</t>
        </is>
      </c>
      <c r="E206" s="5" t="inlineStr">
        <is>
          <t>Alt kısmı dar, kısa şeffaf bardak</t>
        </is>
      </c>
      <c r="H206" s="5" t="inlineStr">
        <is>
          <t>Drive foto (20.10.2026)</t>
        </is>
      </c>
    </row>
    <row r="207">
      <c r="A207" s="5" t="inlineStr">
        <is>
          <t>Tare Houses Hotel</t>
        </is>
      </c>
      <c r="B207" s="5" t="inlineStr">
        <is>
          <t>stemless_glass</t>
        </is>
      </c>
      <c r="C207" s="5" t="inlineStr">
        <is>
          <t>Ayaksız kadeh, yuvarlak</t>
        </is>
      </c>
      <c r="D207" s="5" t="inlineStr">
        <is>
          <t>Mutfak Malzemesi</t>
        </is>
      </c>
      <c r="E207" s="5" t="inlineStr">
        <is>
          <t>Yuvarlak gövdeli, ayaksız</t>
        </is>
      </c>
      <c r="H207" s="5" t="inlineStr">
        <is>
          <t>Drive foto (20.10.2026)</t>
        </is>
      </c>
    </row>
    <row r="208">
      <c r="A208" s="5" t="inlineStr">
        <is>
          <t>Tare Houses Hotel</t>
        </is>
      </c>
      <c r="B208" s="5" t="inlineStr">
        <is>
          <t>ceiling_light</t>
        </is>
      </c>
      <c r="C208" s="5" t="inlineStr">
        <is>
          <t>Tavan armatürü (plafonyer)</t>
        </is>
      </c>
      <c r="D208" s="5" t="inlineStr">
        <is>
          <t>Demirbaş</t>
        </is>
      </c>
      <c r="E208" s="5" t="inlineStr">
        <is>
          <t>Yuvarlak tavan armatürü, açık ampullü</t>
        </is>
      </c>
      <c r="H208" s="5" t="inlineStr">
        <is>
          <t>Drive foto (20.10.2026)</t>
        </is>
      </c>
    </row>
    <row r="209">
      <c r="A209" s="5" t="inlineStr">
        <is>
          <t>Tare Houses Hotel</t>
        </is>
      </c>
      <c r="B209" s="5" t="inlineStr">
        <is>
          <t>led_mirror_room</t>
        </is>
      </c>
      <c r="C209" s="5" t="inlineStr">
        <is>
          <t>Yuvarlak LED ayna (oda)</t>
        </is>
      </c>
      <c r="D209" s="5" t="inlineStr">
        <is>
          <t>Demirbaş</t>
        </is>
      </c>
      <c r="E209" s="5" t="inlineStr">
        <is>
          <t>Yatak odası duvarında, arkadan aydınlatmalı</t>
        </is>
      </c>
      <c r="H209" s="5" t="inlineStr">
        <is>
          <t>Drive foto (20.10.2026)</t>
        </is>
      </c>
    </row>
  </sheetData>
  <autoFilter ref="A1:I193"/>
  <dataValidations count="2">
    <dataValidation sqref="D2:D1000" showDropDown="0" showInputMessage="0" showErrorMessage="0" allowBlank="1" type="list">
      <formula1>"Demirbaş,Sarf,Mutfak Malzemesi,İçecek,İkram"</formula1>
    </dataValidation>
    <dataValidation sqref="G2:G1000" showDropDown="0" showInputMessage="0" showErrorMessage="0" allowBlank="1" type="list">
      <formula1>"Var,Çekilecek"</formula1>
    </dataValidation>
  </dataValidations>
  <pageMargins left="0.75" right="0.75" top="1" bottom="1" header="0.5" footer="0.5"/>
  <headerFooter>
    <oddHeader/>
    <oddFooter>&amp;C&amp;"Aptos"&amp;6 &amp;K626469_x000d_# General</oddFooter>
    <evenHeader/>
    <evenFooter/>
    <firstHeader/>
    <firstFooter/>
  </headerFooter>
  <extLst>
    <ext xmlns:x14="http://schemas.microsoft.com/office/spreadsheetml/2009/9/main" uri="{CCE6A557-97BC-4b89-ADB6-D9C93CAAB3DF}">
      <x14:dataValidations xmlns:xm="http://schemas.microsoft.com/office/excel/2006/main" count="1">
        <x14:dataValidation type="list" allowBlank="1">
          <x14:formula1>
            <xm:f>Oteller!$A$2:$A$30</xm:f>
          </x14:formula1>
          <xm:sqref>A2:A1000</xm:sqref>
        </x14:dataValidation>
      </x14:dataValidations>
    </ext>
  </extLst>
</worksheet>
</file>

<file path=xl/worksheets/sheet8.xml><?xml version="1.0" encoding="utf-8"?>
<worksheet xmlns="http://schemas.openxmlformats.org/spreadsheetml/2006/main">
  <sheetPr>
    <outlinePr summaryBelow="1" summaryRight="1"/>
    <pageSetUpPr/>
  </sheetPr>
  <dimension ref="A1:K502"/>
  <sheetViews>
    <sheetView workbookViewId="0">
      <pane ySplit="1" topLeftCell="A2" activePane="bottomLeft" state="frozen"/>
      <selection pane="bottomLeft" activeCell="A1" sqref="A1"/>
    </sheetView>
  </sheetViews>
  <sheetFormatPr baseColWidth="8" defaultRowHeight="14.4"/>
  <cols>
    <col width="20" customWidth="1" min="1" max="1"/>
    <col width="10" customWidth="1" min="2" max="2"/>
    <col width="7" customWidth="1" min="3" max="3"/>
    <col width="24" customWidth="1" min="4" max="4"/>
    <col width="20" customWidth="1" min="5" max="5"/>
    <col width="32" customWidth="1" min="6" max="6"/>
    <col width="14" customWidth="1" min="7" max="7"/>
    <col width="10" customWidth="1" min="8" max="9"/>
    <col width="20" customWidth="1" min="10" max="10"/>
    <col width="44" customWidth="1" min="11" max="11"/>
  </cols>
  <sheetData>
    <row r="1" ht="30" customHeight="1">
      <c r="A1" s="4" t="inlineStr">
        <is>
          <t>Tesis</t>
        </is>
      </c>
      <c r="B1" s="4" t="inlineStr">
        <is>
          <t>Oda Tipi Kodu</t>
        </is>
      </c>
      <c r="C1" s="4" t="inlineStr">
        <is>
          <t>Adım No</t>
        </is>
      </c>
      <c r="D1" s="4" t="inlineStr">
        <is>
          <t>Adım Adı (otomatik)</t>
        </is>
      </c>
      <c r="E1" s="4" t="inlineStr">
        <is>
          <t>Kalem Kodu</t>
        </is>
      </c>
      <c r="F1" s="4" t="inlineStr">
        <is>
          <t>Kalem Adı (otomatik)</t>
        </is>
      </c>
      <c r="G1" s="4" t="inlineStr">
        <is>
          <t>Tür (otomatik)</t>
        </is>
      </c>
      <c r="H1" s="4" t="inlineStr">
        <is>
          <t>Olması Gereken Adet</t>
        </is>
      </c>
      <c r="I1" s="4" t="inlineStr">
        <is>
          <t>Doğrulandı mı</t>
        </is>
      </c>
      <c r="J1" s="4" t="inlineStr">
        <is>
          <t>Kaynak</t>
        </is>
      </c>
      <c r="K1" s="4" t="inlineStr">
        <is>
          <t>Not</t>
        </is>
      </c>
    </row>
    <row r="2">
      <c r="A2" s="5" t="inlineStr">
        <is>
          <t>Tare Houses Hotel</t>
        </is>
      </c>
      <c r="B2" s="5" t="inlineStr">
        <is>
          <t>X4</t>
        </is>
      </c>
      <c r="C2" s="7" t="n"/>
      <c r="D2" s="6">
        <f>IFERROR(INDEX('Kontrol Adımları'!$D:$D,MATCH(1,INDEX(('Kontrol Adımları'!$A$1:$A$400=B2)*('Kontrol Adımları'!$B$1:$B$400=C2),0),0)),"")</f>
        <v/>
      </c>
      <c r="E2" s="5" t="inlineStr">
        <is>
          <t>cooktop</t>
        </is>
      </c>
      <c r="F2" s="6">
        <f>IFERROR(INDEX('Kalem Kataloğu'!$C$1:$C$1000,MATCH(1,INDEX(('Kalem Kataloğu'!$A$1:$A$1000=A2)*('Kalem Kataloğu'!$B$1:$B$1000=E2),0),0)),"?")</f>
        <v/>
      </c>
      <c r="G2" s="6">
        <f>IFERROR(INDEX('Kalem Kataloğu'!$D$1:$D$1000,MATCH(1,INDEX(('Kalem Kataloğu'!$A$1:$A$1000=A2)*('Kalem Kataloğu'!$B$1:$B$1000=E2),0),0)),"?")</f>
        <v/>
      </c>
      <c r="H2" s="7" t="n">
        <v>1</v>
      </c>
      <c r="I2" s="7" t="inlineStr">
        <is>
          <t>Hayır</t>
        </is>
      </c>
      <c r="J2" s="5" t="inlineStr">
        <is>
          <t>Drive foto (Tem. 2024)</t>
        </is>
      </c>
      <c r="K2" s="5" t="inlineStr">
        <is>
          <t xml:space="preserve"> [güven: yüksek]</t>
        </is>
      </c>
    </row>
    <row r="3">
      <c r="A3" s="5" t="inlineStr">
        <is>
          <t>Tare Houses Hotel</t>
        </is>
      </c>
      <c r="B3" s="5" t="inlineStr">
        <is>
          <t>X4</t>
        </is>
      </c>
      <c r="C3" s="7" t="n"/>
      <c r="D3" s="6">
        <f>IFERROR(INDEX('Kontrol Adımları'!$D:$D,MATCH(1,INDEX(('Kontrol Adımları'!$A$1:$A$400=B3)*('Kontrol Adımları'!$B$1:$B$400=C3),0),0)),"")</f>
        <v/>
      </c>
      <c r="E3" s="5" t="inlineStr">
        <is>
          <t>wc</t>
        </is>
      </c>
      <c r="F3" s="6">
        <f>IFERROR(INDEX('Kalem Kataloğu'!$C$1:$C$1000,MATCH(1,INDEX(('Kalem Kataloğu'!$A$1:$A$1000=A3)*('Kalem Kataloğu'!$B$1:$B$1000=E3),0),0)),"?")</f>
        <v/>
      </c>
      <c r="G3" s="6">
        <f>IFERROR(INDEX('Kalem Kataloğu'!$D$1:$D$1000,MATCH(1,INDEX(('Kalem Kataloğu'!$A$1:$A$1000=A3)*('Kalem Kataloğu'!$B$1:$B$1000=E3),0),0)),"?")</f>
        <v/>
      </c>
      <c r="H3" s="7" t="n">
        <v>1</v>
      </c>
      <c r="I3" s="7" t="inlineStr">
        <is>
          <t>Hayır</t>
        </is>
      </c>
      <c r="J3" s="5" t="inlineStr">
        <is>
          <t>Drive foto (Tem. 2024)</t>
        </is>
      </c>
      <c r="K3" s="5" t="inlineStr">
        <is>
          <t xml:space="preserve"> [güven: yüksek]</t>
        </is>
      </c>
    </row>
    <row r="4">
      <c r="A4" s="5" t="inlineStr">
        <is>
          <t>Tare Houses Hotel</t>
        </is>
      </c>
      <c r="B4" s="5" t="inlineStr">
        <is>
          <t>X4</t>
        </is>
      </c>
      <c r="C4" s="7" t="n"/>
      <c r="D4" s="6">
        <f>IFERROR(INDEX('Kontrol Adımları'!$D:$D,MATCH(1,INDEX(('Kontrol Adımları'!$A$1:$A$400=B4)*('Kontrol Adımları'!$B$1:$B$400=C4),0),0)),"")</f>
        <v/>
      </c>
      <c r="E4" s="5" t="inlineStr">
        <is>
          <t>hanging_bin</t>
        </is>
      </c>
      <c r="F4" s="6">
        <f>IFERROR(INDEX('Kalem Kataloğu'!$C$1:$C$1000,MATCH(1,INDEX(('Kalem Kataloğu'!$A$1:$A$1000=A4)*('Kalem Kataloğu'!$B$1:$B$1000=E4),0),0)),"?")</f>
        <v/>
      </c>
      <c r="G4" s="6">
        <f>IFERROR(INDEX('Kalem Kataloğu'!$D$1:$D$1000,MATCH(1,INDEX(('Kalem Kataloğu'!$A$1:$A$1000=A4)*('Kalem Kataloğu'!$B$1:$B$1000=E4),0),0)),"?")</f>
        <v/>
      </c>
      <c r="H4" s="7" t="n">
        <v>1</v>
      </c>
      <c r="I4" s="7" t="inlineStr">
        <is>
          <t>Hayır</t>
        </is>
      </c>
      <c r="J4" s="5" t="inlineStr">
        <is>
          <t>Drive foto (Tem. 2024)</t>
        </is>
      </c>
      <c r="K4" s="5" t="inlineStr">
        <is>
          <t xml:space="preserve"> [güven: yüksek]</t>
        </is>
      </c>
    </row>
    <row r="5">
      <c r="A5" s="5" t="inlineStr">
        <is>
          <t>Tare Houses Hotel</t>
        </is>
      </c>
      <c r="B5" s="5" t="inlineStr">
        <is>
          <t>X4</t>
        </is>
      </c>
      <c r="C5" s="7" t="n"/>
      <c r="D5" s="6">
        <f>IFERROR(INDEX('Kontrol Adımları'!$D:$D,MATCH(1,INDEX(('Kontrol Adımları'!$A$1:$A$400=B5)*('Kontrol Adımları'!$B$1:$B$400=C5),0),0)),"")</f>
        <v/>
      </c>
      <c r="E5" s="5" t="inlineStr">
        <is>
          <t>bath_bin</t>
        </is>
      </c>
      <c r="F5" s="6">
        <f>IFERROR(INDEX('Kalem Kataloğu'!$C$1:$C$1000,MATCH(1,INDEX(('Kalem Kataloğu'!$A$1:$A$1000=A5)*('Kalem Kataloğu'!$B$1:$B$1000=E5),0),0)),"?")</f>
        <v/>
      </c>
      <c r="G5" s="6">
        <f>IFERROR(INDEX('Kalem Kataloğu'!$D$1:$D$1000,MATCH(1,INDEX(('Kalem Kataloğu'!$A$1:$A$1000=A5)*('Kalem Kataloğu'!$B$1:$B$1000=E5),0),0)),"?")</f>
        <v/>
      </c>
      <c r="H5" s="7" t="n">
        <v>1</v>
      </c>
      <c r="I5" s="7" t="inlineStr">
        <is>
          <t>Hayır</t>
        </is>
      </c>
      <c r="J5" s="5" t="inlineStr">
        <is>
          <t>Drive foto (Tem. 2024)</t>
        </is>
      </c>
      <c r="K5" s="5" t="inlineStr">
        <is>
          <t>Excel X3: banyo çöp kovası 1. [güven: yüksek]</t>
        </is>
      </c>
    </row>
    <row r="6">
      <c r="A6" s="5" t="inlineStr">
        <is>
          <t>Tare Houses Hotel</t>
        </is>
      </c>
      <c r="B6" s="5" t="inlineStr">
        <is>
          <t>X4</t>
        </is>
      </c>
      <c r="C6" s="7" t="n"/>
      <c r="D6" s="6">
        <f>IFERROR(INDEX('Kontrol Adımları'!$D:$D,MATCH(1,INDEX(('Kontrol Adımları'!$A$1:$A$400=B6)*('Kontrol Adımları'!$B$1:$B$400=C6),0),0)),"")</f>
        <v/>
      </c>
      <c r="E6" s="5" t="inlineStr">
        <is>
          <t>bedside_wall_lamp</t>
        </is>
      </c>
      <c r="F6" s="6">
        <f>IFERROR(INDEX('Kalem Kataloğu'!$C$1:$C$1000,MATCH(1,INDEX(('Kalem Kataloğu'!$A$1:$A$1000=A6)*('Kalem Kataloğu'!$B$1:$B$1000=E6),0),0)),"?")</f>
        <v/>
      </c>
      <c r="G6" s="6">
        <f>IFERROR(INDEX('Kalem Kataloğu'!$D$1:$D$1000,MATCH(1,INDEX(('Kalem Kataloğu'!$A$1:$A$1000=A6)*('Kalem Kataloğu'!$B$1:$B$1000=E6),0),0)),"?")</f>
        <v/>
      </c>
      <c r="H6" s="7" t="n"/>
      <c r="I6" s="7" t="inlineStr">
        <is>
          <t>Hayır</t>
        </is>
      </c>
      <c r="J6" s="5" t="inlineStr">
        <is>
          <t>Drive foto (Tem. 2024)</t>
        </is>
      </c>
      <c r="K6" s="5" t="inlineStr">
        <is>
          <t>Yatağın iki yanında. [güven: orta]</t>
        </is>
      </c>
    </row>
    <row r="7">
      <c r="A7" s="5" t="inlineStr">
        <is>
          <t>Tare Houses Hotel</t>
        </is>
      </c>
      <c r="B7" s="5" t="inlineStr">
        <is>
          <t>X4</t>
        </is>
      </c>
      <c r="C7" s="7" t="n"/>
      <c r="D7" s="6">
        <f>IFERROR(INDEX('Kontrol Adımları'!$D:$D,MATCH(1,INDEX(('Kontrol Adımları'!$A$1:$A$400=B7)*('Kontrol Adımları'!$B$1:$B$400=C7),0),0)),"")</f>
        <v/>
      </c>
      <c r="E7" s="5" t="inlineStr">
        <is>
          <t>range_hood</t>
        </is>
      </c>
      <c r="F7" s="6">
        <f>IFERROR(INDEX('Kalem Kataloğu'!$C$1:$C$1000,MATCH(1,INDEX(('Kalem Kataloğu'!$A$1:$A$1000=A7)*('Kalem Kataloğu'!$B$1:$B$1000=E7),0),0)),"?")</f>
        <v/>
      </c>
      <c r="G7" s="6">
        <f>IFERROR(INDEX('Kalem Kataloğu'!$D$1:$D$1000,MATCH(1,INDEX(('Kalem Kataloğu'!$A$1:$A$1000=A7)*('Kalem Kataloğu'!$B$1:$B$1000=E7),0),0)),"?")</f>
        <v/>
      </c>
      <c r="H7" s="7" t="n">
        <v>1</v>
      </c>
      <c r="I7" s="7" t="inlineStr">
        <is>
          <t>Hayır</t>
        </is>
      </c>
      <c r="J7" s="5" t="inlineStr">
        <is>
          <t>Drive foto (Tem. 2024)</t>
        </is>
      </c>
      <c r="K7" s="5" t="inlineStr">
        <is>
          <t xml:space="preserve"> [güven: orta]</t>
        </is>
      </c>
    </row>
    <row r="8">
      <c r="A8" s="5" t="inlineStr">
        <is>
          <t>Tare Houses Hotel</t>
        </is>
      </c>
      <c r="B8" s="5" t="inlineStr">
        <is>
          <t>X4</t>
        </is>
      </c>
      <c r="C8" s="7" t="n"/>
      <c r="D8" s="6">
        <f>IFERROR(INDEX('Kontrol Adımları'!$D:$D,MATCH(1,INDEX(('Kontrol Adımları'!$A$1:$A$400=B8)*('Kontrol Adımları'!$B$1:$B$400=C8),0),0)),"")</f>
        <v/>
      </c>
      <c r="E8" s="5" t="inlineStr">
        <is>
          <t>decor_branches</t>
        </is>
      </c>
      <c r="F8" s="6">
        <f>IFERROR(INDEX('Kalem Kataloğu'!$C$1:$C$1000,MATCH(1,INDEX(('Kalem Kataloğu'!$A$1:$A$1000=A8)*('Kalem Kataloğu'!$B$1:$B$1000=E8),0),0)),"?")</f>
        <v/>
      </c>
      <c r="G8" s="6">
        <f>IFERROR(INDEX('Kalem Kataloğu'!$D$1:$D$1000,MATCH(1,INDEX(('Kalem Kataloğu'!$A$1:$A$1000=A8)*('Kalem Kataloğu'!$B$1:$B$1000=E8),0),0)),"?")</f>
        <v/>
      </c>
      <c r="H8" s="7" t="n">
        <v>1</v>
      </c>
      <c r="I8" s="7" t="inlineStr">
        <is>
          <t>Hayır</t>
        </is>
      </c>
      <c r="J8" s="5" t="inlineStr">
        <is>
          <t>Drive foto (Tem. 2024)</t>
        </is>
      </c>
      <c r="K8" s="5" t="inlineStr">
        <is>
          <t xml:space="preserve"> [güven: orta]</t>
        </is>
      </c>
    </row>
    <row r="9">
      <c r="A9" s="5" t="inlineStr">
        <is>
          <t>Tare Houses Hotel</t>
        </is>
      </c>
      <c r="B9" s="5" t="inlineStr">
        <is>
          <t>X4</t>
        </is>
      </c>
      <c r="C9" s="7" t="n"/>
      <c r="D9" s="6">
        <f>IFERROR(INDEX('Kontrol Adımları'!$D:$D,MATCH(1,INDEX(('Kontrol Adımları'!$A$1:$A$400=B9)*('Kontrol Adımları'!$B$1:$B$400=C9),0),0)),"")</f>
        <v/>
      </c>
      <c r="E9" s="5" t="inlineStr">
        <is>
          <t>smoke_detector</t>
        </is>
      </c>
      <c r="F9" s="6">
        <f>IFERROR(INDEX('Kalem Kataloğu'!$C$1:$C$1000,MATCH(1,INDEX(('Kalem Kataloğu'!$A$1:$A$1000=A9)*('Kalem Kataloğu'!$B$1:$B$1000=E9),0),0)),"?")</f>
        <v/>
      </c>
      <c r="G9" s="6">
        <f>IFERROR(INDEX('Kalem Kataloğu'!$D$1:$D$1000,MATCH(1,INDEX(('Kalem Kataloğu'!$A$1:$A$1000=A9)*('Kalem Kataloğu'!$B$1:$B$1000=E9),0),0)),"?")</f>
        <v/>
      </c>
      <c r="H9" s="7" t="n">
        <v>1</v>
      </c>
      <c r="I9" s="7" t="inlineStr">
        <is>
          <t>Hayır</t>
        </is>
      </c>
      <c r="J9" s="5" t="inlineStr">
        <is>
          <t>Drive foto (Tem. 2024)</t>
        </is>
      </c>
      <c r="K9" s="5" t="inlineStr">
        <is>
          <t xml:space="preserve"> [güven: orta]</t>
        </is>
      </c>
    </row>
    <row r="10">
      <c r="A10" s="5" t="inlineStr">
        <is>
          <t>Tare Houses Hotel</t>
        </is>
      </c>
      <c r="B10" s="5" t="inlineStr">
        <is>
          <t>X4</t>
        </is>
      </c>
      <c r="C10" s="7" t="n"/>
      <c r="D10" s="6">
        <f>IFERROR(INDEX('Kontrol Adımları'!$D:$D,MATCH(1,INDEX(('Kontrol Adımları'!$A$1:$A$400=B10)*('Kontrol Adımları'!$B$1:$B$400=C10),0),0)),"")</f>
        <v/>
      </c>
      <c r="E10" s="5" t="inlineStr">
        <is>
          <t>dispenser</t>
        </is>
      </c>
      <c r="F10" s="6">
        <f>IFERROR(INDEX('Kalem Kataloğu'!$C$1:$C$1000,MATCH(1,INDEX(('Kalem Kataloğu'!$A$1:$A$1000=A10)*('Kalem Kataloğu'!$B$1:$B$1000=E10),0),0)),"?")</f>
        <v/>
      </c>
      <c r="G10" s="6">
        <f>IFERROR(INDEX('Kalem Kataloğu'!$D$1:$D$1000,MATCH(1,INDEX(('Kalem Kataloğu'!$A$1:$A$1000=A10)*('Kalem Kataloğu'!$B$1:$B$1000=E10),0),0)),"?")</f>
        <v/>
      </c>
      <c r="H10" s="7" t="n">
        <v>1</v>
      </c>
      <c r="I10" s="7" t="inlineStr">
        <is>
          <t>Hayır</t>
        </is>
      </c>
      <c r="J10" s="5" t="inlineStr">
        <is>
          <t>Drive foto (Tem. 2024)</t>
        </is>
      </c>
      <c r="K10" s="5" t="inlineStr">
        <is>
          <t>Excel X3: 3 hazne. [güven: yüksek]</t>
        </is>
      </c>
    </row>
    <row r="11" ht="26.4" customHeight="1">
      <c r="A11" s="5" t="inlineStr">
        <is>
          <t>Tare Houses Hotel</t>
        </is>
      </c>
      <c r="B11" s="5" t="inlineStr">
        <is>
          <t>X4</t>
        </is>
      </c>
      <c r="C11" s="7" t="n"/>
      <c r="D11" s="6">
        <f>IFERROR(INDEX('Kontrol Adımları'!$D:$D,MATCH(1,INDEX(('Kontrol Adımları'!$A$1:$A$400=B11)*('Kontrol Adımları'!$B$1:$B$400=C11),0),0)),"")</f>
        <v/>
      </c>
      <c r="E11" s="5" t="inlineStr">
        <is>
          <t>wardrobe</t>
        </is>
      </c>
      <c r="F11" s="6">
        <f>IFERROR(INDEX('Kalem Kataloğu'!$C$1:$C$1000,MATCH(1,INDEX(('Kalem Kataloğu'!$A$1:$A$1000=A11)*('Kalem Kataloğu'!$B$1:$B$1000=E11),0),0)),"?")</f>
        <v/>
      </c>
      <c r="G11" s="6">
        <f>IFERROR(INDEX('Kalem Kataloğu'!$D$1:$D$1000,MATCH(1,INDEX(('Kalem Kataloğu'!$A$1:$A$1000=A11)*('Kalem Kataloğu'!$B$1:$B$1000=E11),0),0)),"?")</f>
        <v/>
      </c>
      <c r="H11" s="7" t="n">
        <v>1</v>
      </c>
      <c r="I11" s="7" t="inlineStr">
        <is>
          <t>Hayır</t>
        </is>
      </c>
      <c r="J11" s="5" t="inlineStr">
        <is>
          <t>Drive foto (Tem. 2024)</t>
        </is>
      </c>
      <c r="K11" s="5" t="inlineStr">
        <is>
          <t>İçi (askı, battaniye) fotoğrafta görünmüyor. Excel X3: askı 6, yedek battaniye 1. [güven: yüksek]</t>
        </is>
      </c>
    </row>
    <row r="12">
      <c r="A12" s="5" t="inlineStr">
        <is>
          <t>Tare Houses Hotel</t>
        </is>
      </c>
      <c r="B12" s="5" t="inlineStr">
        <is>
          <t>X4</t>
        </is>
      </c>
      <c r="C12" s="7" t="n"/>
      <c r="D12" s="6">
        <f>IFERROR(INDEX('Kontrol Adımları'!$D:$D,MATCH(1,INDEX(('Kontrol Adımları'!$A$1:$A$400=B12)*('Kontrol Adımları'!$B$1:$B$400=C12),0),0)),"")</f>
        <v/>
      </c>
      <c r="E12" s="5" t="inlineStr">
        <is>
          <t>flush_plate</t>
        </is>
      </c>
      <c r="F12" s="6">
        <f>IFERROR(INDEX('Kalem Kataloğu'!$C$1:$C$1000,MATCH(1,INDEX(('Kalem Kataloğu'!$A$1:$A$1000=A12)*('Kalem Kataloğu'!$B$1:$B$1000=E12),0),0)),"?")</f>
        <v/>
      </c>
      <c r="G12" s="6">
        <f>IFERROR(INDEX('Kalem Kataloğu'!$D$1:$D$1000,MATCH(1,INDEX(('Kalem Kataloğu'!$A$1:$A$1000=A12)*('Kalem Kataloğu'!$B$1:$B$1000=E12),0),0)),"?")</f>
        <v/>
      </c>
      <c r="H12" s="7" t="n">
        <v>1</v>
      </c>
      <c r="I12" s="7" t="inlineStr">
        <is>
          <t>Hayır</t>
        </is>
      </c>
      <c r="J12" s="5" t="inlineStr">
        <is>
          <t>Drive foto (Tem. 2024)</t>
        </is>
      </c>
      <c r="K12" s="5" t="inlineStr">
        <is>
          <t xml:space="preserve"> [güven: yüksek]</t>
        </is>
      </c>
    </row>
    <row r="13">
      <c r="A13" s="5" t="inlineStr">
        <is>
          <t>Tare Houses Hotel</t>
        </is>
      </c>
      <c r="B13" s="5" t="inlineStr">
        <is>
          <t>X4</t>
        </is>
      </c>
      <c r="C13" s="7" t="n"/>
      <c r="D13" s="6">
        <f>IFERROR(INDEX('Kontrol Adımları'!$D:$D,MATCH(1,INDEX(('Kontrol Adımları'!$A$1:$A$400=B13)*('Kontrol Adımları'!$B$1:$B$400=C13),0),0)),"")</f>
        <v/>
      </c>
      <c r="E13" s="5" t="inlineStr">
        <is>
          <t>rug_striped</t>
        </is>
      </c>
      <c r="F13" s="6">
        <f>IFERROR(INDEX('Kalem Kataloğu'!$C$1:$C$1000,MATCH(1,INDEX(('Kalem Kataloğu'!$A$1:$A$1000=A13)*('Kalem Kataloğu'!$B$1:$B$1000=E13),0),0)),"?")</f>
        <v/>
      </c>
      <c r="G13" s="6">
        <f>IFERROR(INDEX('Kalem Kataloğu'!$D$1:$D$1000,MATCH(1,INDEX(('Kalem Kataloğu'!$A$1:$A$1000=A13)*('Kalem Kataloğu'!$B$1:$B$1000=E13),0),0)),"?")</f>
        <v/>
      </c>
      <c r="H13" s="7" t="n"/>
      <c r="I13" s="7" t="inlineStr">
        <is>
          <t>Hayır</t>
        </is>
      </c>
      <c r="J13" s="5" t="inlineStr">
        <is>
          <t>Drive foto (Tem. 2024)</t>
        </is>
      </c>
      <c r="K13" s="5" t="inlineStr">
        <is>
          <t xml:space="preserve"> [güven: orta]</t>
        </is>
      </c>
    </row>
    <row r="14">
      <c r="A14" s="5" t="inlineStr">
        <is>
          <t>Tare Houses Hotel</t>
        </is>
      </c>
      <c r="B14" s="5" t="inlineStr">
        <is>
          <t>X4</t>
        </is>
      </c>
      <c r="C14" s="7" t="n"/>
      <c r="D14" s="6">
        <f>IFERROR(INDEX('Kontrol Adımları'!$D:$D,MATCH(1,INDEX(('Kontrol Adımları'!$A$1:$A$400=B14)*('Kontrol Adımları'!$B$1:$B$400=C14),0),0)),"")</f>
        <v/>
      </c>
      <c r="E14" s="5" t="inlineStr">
        <is>
          <t>towel_bar</t>
        </is>
      </c>
      <c r="F14" s="6">
        <f>IFERROR(INDEX('Kalem Kataloğu'!$C$1:$C$1000,MATCH(1,INDEX(('Kalem Kataloğu'!$A$1:$A$1000=A14)*('Kalem Kataloğu'!$B$1:$B$1000=E14),0),0)),"?")</f>
        <v/>
      </c>
      <c r="G14" s="6">
        <f>IFERROR(INDEX('Kalem Kataloğu'!$D$1:$D$1000,MATCH(1,INDEX(('Kalem Kataloğu'!$A$1:$A$1000=A14)*('Kalem Kataloğu'!$B$1:$B$1000=E14),0),0)),"?")</f>
        <v/>
      </c>
      <c r="H14" s="7" t="n">
        <v>1</v>
      </c>
      <c r="I14" s="7" t="inlineStr">
        <is>
          <t>Hayır</t>
        </is>
      </c>
      <c r="J14" s="5" t="inlineStr">
        <is>
          <t>Drive foto (Tem. 2024)</t>
        </is>
      </c>
      <c r="K14" s="5" t="inlineStr">
        <is>
          <t xml:space="preserve"> [güven: orta]</t>
        </is>
      </c>
    </row>
    <row r="15">
      <c r="A15" s="5" t="inlineStr">
        <is>
          <t>Tare Houses Hotel</t>
        </is>
      </c>
      <c r="B15" s="5" t="inlineStr">
        <is>
          <t>X4</t>
        </is>
      </c>
      <c r="C15" s="7" t="n"/>
      <c r="D15" s="6">
        <f>IFERROR(INDEX('Kontrol Adımları'!$D:$D,MATCH(1,INDEX(('Kontrol Adımları'!$A$1:$A$400=B15)*('Kontrol Adımları'!$B$1:$B$400=C15),0),0)),"")</f>
        <v/>
      </c>
      <c r="E15" s="5" t="inlineStr">
        <is>
          <t>towel_ring</t>
        </is>
      </c>
      <c r="F15" s="6">
        <f>IFERROR(INDEX('Kalem Kataloğu'!$C$1:$C$1000,MATCH(1,INDEX(('Kalem Kataloğu'!$A$1:$A$1000=A15)*('Kalem Kataloğu'!$B$1:$B$1000=E15),0),0)),"?")</f>
        <v/>
      </c>
      <c r="G15" s="6">
        <f>IFERROR(INDEX('Kalem Kataloğu'!$D$1:$D$1000,MATCH(1,INDEX(('Kalem Kataloğu'!$A$1:$A$1000=A15)*('Kalem Kataloğu'!$B$1:$B$1000=E15),0),0)),"?")</f>
        <v/>
      </c>
      <c r="H15" s="7" t="n">
        <v>2</v>
      </c>
      <c r="I15" s="7" t="inlineStr">
        <is>
          <t>Hayır</t>
        </is>
      </c>
      <c r="J15" s="5" t="inlineStr">
        <is>
          <t>Drive foto (Tem. 2024)</t>
        </is>
      </c>
      <c r="K15" s="5" t="inlineStr">
        <is>
          <t xml:space="preserve"> [güven: orta]</t>
        </is>
      </c>
    </row>
    <row r="16" ht="39.6" customHeight="1">
      <c r="A16" s="5" t="inlineStr">
        <is>
          <t>Tare Houses Hotel</t>
        </is>
      </c>
      <c r="B16" s="5" t="inlineStr">
        <is>
          <t>X4</t>
        </is>
      </c>
      <c r="C16" s="7" t="n"/>
      <c r="D16" s="6">
        <f>IFERROR(INDEX('Kontrol Adımları'!$D:$D,MATCH(1,INDEX(('Kontrol Adımları'!$A$1:$A$400=B16)*('Kontrol Adımları'!$B$1:$B$400=C16),0),0)),"")</f>
        <v/>
      </c>
      <c r="E16" s="5" t="inlineStr">
        <is>
          <t>sofa_gray</t>
        </is>
      </c>
      <c r="F16" s="6">
        <f>IFERROR(INDEX('Kalem Kataloğu'!$C$1:$C$1000,MATCH(1,INDEX(('Kalem Kataloğu'!$A$1:$A$1000=A16)*('Kalem Kataloğu'!$B$1:$B$1000=E16),0),0)),"?")</f>
        <v/>
      </c>
      <c r="G16" s="6">
        <f>IFERROR(INDEX('Kalem Kataloğu'!$D$1:$D$1000,MATCH(1,INDEX(('Kalem Kataloğu'!$A$1:$A$1000=A16)*('Kalem Kataloğu'!$B$1:$B$1000=E16),0),0)),"?")</f>
        <v/>
      </c>
      <c r="H16" s="7" t="n"/>
      <c r="I16" s="7" t="inlineStr">
        <is>
          <t>Hayır</t>
        </is>
      </c>
      <c r="J16" s="5" t="inlineStr">
        <is>
          <t>Drive foto (Tem. 2024)</t>
        </is>
      </c>
      <c r="K16" s="5" t="inlineStr">
        <is>
          <t>X1 Deluxe Suite ve X2 Deluxe Triple oturma alanında. Açılır mı teyit et (Triple için 3. kişi yatağı). [güven: yüksek]</t>
        </is>
      </c>
    </row>
    <row r="17" ht="26.4" customHeight="1">
      <c r="A17" s="5" t="inlineStr">
        <is>
          <t>Tare Houses Hotel</t>
        </is>
      </c>
      <c r="B17" s="5" t="inlineStr">
        <is>
          <t>X4</t>
        </is>
      </c>
      <c r="C17" s="7" t="n"/>
      <c r="D17" s="6">
        <f>IFERROR(INDEX('Kontrol Adımları'!$D:$D,MATCH(1,INDEX(('Kontrol Adımları'!$A$1:$A$400=B17)*('Kontrol Adımları'!$B$1:$B$400=C17),0),0)),"")</f>
        <v/>
      </c>
      <c r="E17" s="5" t="inlineStr">
        <is>
          <t>kettle</t>
        </is>
      </c>
      <c r="F17" s="6">
        <f>IFERROR(INDEX('Kalem Kataloğu'!$C$1:$C$1000,MATCH(1,INDEX(('Kalem Kataloğu'!$A$1:$A$1000=A17)*('Kalem Kataloğu'!$B$1:$B$1000=E17),0),0)),"?")</f>
        <v/>
      </c>
      <c r="G17" s="6">
        <f>IFERROR(INDEX('Kalem Kataloğu'!$D$1:$D$1000,MATCH(1,INDEX(('Kalem Kataloğu'!$A$1:$A$1000=A17)*('Kalem Kataloğu'!$B$1:$B$1000=E17),0),0)),"?")</f>
        <v/>
      </c>
      <c r="H17" s="7" t="n">
        <v>1</v>
      </c>
      <c r="I17" s="7" t="inlineStr">
        <is>
          <t>Hayır</t>
        </is>
      </c>
      <c r="J17" s="5" t="inlineStr">
        <is>
          <t>Drive foto (Tem. 2024)</t>
        </is>
      </c>
      <c r="K17" s="5" t="inlineStr">
        <is>
          <t>Tüm oda fotoğraflarında tezgahta görünüyor. [güven: yüksek]</t>
        </is>
      </c>
    </row>
    <row r="18" ht="26.4" customHeight="1">
      <c r="A18" s="5" t="inlineStr">
        <is>
          <t>Tare Houses Hotel</t>
        </is>
      </c>
      <c r="B18" s="5" t="inlineStr">
        <is>
          <t>X4</t>
        </is>
      </c>
      <c r="C18" s="7" t="n"/>
      <c r="D18" s="6">
        <f>IFERROR(INDEX('Kontrol Adımları'!$D:$D,MATCH(1,INDEX(('Kontrol Adımları'!$A$1:$A$400=B18)*('Kontrol Adımları'!$B$1:$B$400=C18),0),0)),"")</f>
        <v/>
      </c>
      <c r="E18" s="5" t="inlineStr">
        <is>
          <t>air_conditioner</t>
        </is>
      </c>
      <c r="F18" s="6">
        <f>IFERROR(INDEX('Kalem Kataloğu'!$C$1:$C$1000,MATCH(1,INDEX(('Kalem Kataloğu'!$A$1:$A$1000=A18)*('Kalem Kataloğu'!$B$1:$B$1000=E18),0),0)),"?")</f>
        <v/>
      </c>
      <c r="G18" s="6">
        <f>IFERROR(INDEX('Kalem Kataloğu'!$D$1:$D$1000,MATCH(1,INDEX(('Kalem Kataloğu'!$A$1:$A$1000=A18)*('Kalem Kataloğu'!$B$1:$B$1000=E18),0),0)),"?")</f>
        <v/>
      </c>
      <c r="H18" s="7" t="n">
        <v>1</v>
      </c>
      <c r="I18" s="7" t="inlineStr">
        <is>
          <t>Hayır</t>
        </is>
      </c>
      <c r="J18" s="5" t="inlineStr">
        <is>
          <t>Drive foto (Tem. 2024)</t>
        </is>
      </c>
      <c r="K18" s="5" t="inlineStr">
        <is>
          <t>Kumanda Excel X3'te: TV + klima kumandası 2. [güven: yüksek]</t>
        </is>
      </c>
    </row>
    <row r="19" ht="26.4" customHeight="1">
      <c r="A19" s="5" t="inlineStr">
        <is>
          <t>Tare Houses Hotel</t>
        </is>
      </c>
      <c r="B19" s="5" t="inlineStr">
        <is>
          <t>X4</t>
        </is>
      </c>
      <c r="C19" s="7" t="n"/>
      <c r="D19" s="6">
        <f>IFERROR(INDEX('Kontrol Adımları'!$D:$D,MATCH(1,INDEX(('Kontrol Adımları'!$A$1:$A$400=B19)*('Kontrol Adımları'!$B$1:$B$400=C19),0),0)),"")</f>
        <v/>
      </c>
      <c r="E19" s="5" t="inlineStr">
        <is>
          <t>armchair</t>
        </is>
      </c>
      <c r="F19" s="6">
        <f>IFERROR(INDEX('Kalem Kataloğu'!$C$1:$C$1000,MATCH(1,INDEX(('Kalem Kataloğu'!$A$1:$A$1000=A19)*('Kalem Kataloğu'!$B$1:$B$1000=E19),0),0)),"?")</f>
        <v/>
      </c>
      <c r="G19" s="6">
        <f>IFERROR(INDEX('Kalem Kataloğu'!$D$1:$D$1000,MATCH(1,INDEX(('Kalem Kataloğu'!$A$1:$A$1000=A19)*('Kalem Kataloğu'!$B$1:$B$1000=E19),0),0)),"?")</f>
        <v/>
      </c>
      <c r="H19" s="7" t="n">
        <v>2</v>
      </c>
      <c r="I19" s="7" t="inlineStr">
        <is>
          <t>Hayır</t>
        </is>
      </c>
      <c r="J19" s="5" t="inlineStr">
        <is>
          <t>Drive foto (Tem. 2024)</t>
        </is>
      </c>
      <c r="K19" s="5" t="inlineStr">
        <is>
          <t>X1'de çalışma masası önünde 1 adet. [güven: yüksek]</t>
        </is>
      </c>
    </row>
    <row r="20" ht="26.4" customHeight="1">
      <c r="A20" s="5" t="inlineStr">
        <is>
          <t>Tare Houses Hotel</t>
        </is>
      </c>
      <c r="B20" s="5" t="inlineStr">
        <is>
          <t>X4</t>
        </is>
      </c>
      <c r="C20" s="7" t="n"/>
      <c r="D20" s="6">
        <f>IFERROR(INDEX('Kontrol Adımları'!$D:$D,MATCH(1,INDEX(('Kontrol Adımları'!$A$1:$A$400=B20)*('Kontrol Adımları'!$B$1:$B$400=C20),0),0)),"")</f>
        <v/>
      </c>
      <c r="E20" s="5" t="inlineStr">
        <is>
          <t>nightstand</t>
        </is>
      </c>
      <c r="F20" s="6">
        <f>IFERROR(INDEX('Kalem Kataloğu'!$C$1:$C$1000,MATCH(1,INDEX(('Kalem Kataloğu'!$A$1:$A$1000=A20)*('Kalem Kataloğu'!$B$1:$B$1000=E20),0),0)),"?")</f>
        <v/>
      </c>
      <c r="G20" s="6">
        <f>IFERROR(INDEX('Kalem Kataloğu'!$D$1:$D$1000,MATCH(1,INDEX(('Kalem Kataloğu'!$A$1:$A$1000=A20)*('Kalem Kataloğu'!$B$1:$B$1000=E20),0),0)),"?")</f>
        <v/>
      </c>
      <c r="H20" s="7" t="n"/>
      <c r="I20" s="7" t="inlineStr">
        <is>
          <t>Hayır</t>
        </is>
      </c>
      <c r="J20" s="5" t="inlineStr">
        <is>
          <t>Drive foto (Tem. 2024)</t>
        </is>
      </c>
      <c r="K20" s="5" t="inlineStr">
        <is>
          <t>X4'te komodin yerine kavisli başlığa entegre tabla. [güven: yüksek]</t>
        </is>
      </c>
    </row>
    <row r="21">
      <c r="A21" s="5" t="inlineStr">
        <is>
          <t>Tare Houses Hotel</t>
        </is>
      </c>
      <c r="B21" s="5" t="inlineStr">
        <is>
          <t>X4</t>
        </is>
      </c>
      <c r="C21" s="7" t="n"/>
      <c r="D21" s="6">
        <f>IFERROR(INDEX('Kontrol Adımları'!$D:$D,MATCH(1,INDEX(('Kontrol Adımları'!$A$1:$A$400=B21)*('Kontrol Adımları'!$B$1:$B$400=C21),0),0)),"")</f>
        <v/>
      </c>
      <c r="E21" s="5" t="inlineStr">
        <is>
          <t>floor_lamp</t>
        </is>
      </c>
      <c r="F21" s="6">
        <f>IFERROR(INDEX('Kalem Kataloğu'!$C$1:$C$1000,MATCH(1,INDEX(('Kalem Kataloğu'!$A$1:$A$1000=A21)*('Kalem Kataloğu'!$B$1:$B$1000=E21),0),0)),"?")</f>
        <v/>
      </c>
      <c r="G21" s="6">
        <f>IFERROR(INDEX('Kalem Kataloğu'!$D$1:$D$1000,MATCH(1,INDEX(('Kalem Kataloğu'!$A$1:$A$1000=A21)*('Kalem Kataloğu'!$B$1:$B$1000=E21),0),0)),"?")</f>
        <v/>
      </c>
      <c r="H21" s="7" t="n"/>
      <c r="I21" s="7" t="inlineStr">
        <is>
          <t>Hayır</t>
        </is>
      </c>
      <c r="J21" s="5" t="inlineStr">
        <is>
          <t>Drive foto (Tem. 2024)</t>
        </is>
      </c>
      <c r="K21" s="5" t="inlineStr">
        <is>
          <t xml:space="preserve"> [güven: yüksek]</t>
        </is>
      </c>
    </row>
    <row r="22" ht="26.4" customHeight="1">
      <c r="A22" s="5" t="inlineStr">
        <is>
          <t>Tare Houses Hotel</t>
        </is>
      </c>
      <c r="B22" s="5" t="inlineStr">
        <is>
          <t>X4</t>
        </is>
      </c>
      <c r="C22" s="7" t="n"/>
      <c r="D22" s="6">
        <f>IFERROR(INDEX('Kontrol Adımları'!$D:$D,MATCH(1,INDEX(('Kontrol Adımları'!$A$1:$A$400=B22)*('Kontrol Adımları'!$B$1:$B$400=C22),0),0)),"")</f>
        <v/>
      </c>
      <c r="E22" s="5" t="inlineStr">
        <is>
          <t>vanity_unit</t>
        </is>
      </c>
      <c r="F22" s="6">
        <f>IFERROR(INDEX('Kalem Kataloğu'!$C$1:$C$1000,MATCH(1,INDEX(('Kalem Kataloğu'!$A$1:$A$1000=A22)*('Kalem Kataloğu'!$B$1:$B$1000=E22),0),0)),"?")</f>
        <v/>
      </c>
      <c r="G22" s="6">
        <f>IFERROR(INDEX('Kalem Kataloğu'!$D$1:$D$1000,MATCH(1,INDEX(('Kalem Kataloğu'!$A$1:$A$1000=A22)*('Kalem Kataloğu'!$B$1:$B$1000=E22),0),0)),"?")</f>
        <v/>
      </c>
      <c r="H22" s="7" t="n">
        <v>1</v>
      </c>
      <c r="I22" s="7" t="inlineStr">
        <is>
          <t>Hayır</t>
        </is>
      </c>
      <c r="J22" s="5" t="inlineStr">
        <is>
          <t>Drive foto (Tem. 2024)</t>
        </is>
      </c>
      <c r="K22" s="5" t="inlineStr">
        <is>
          <t>Excel X3 adım 2: raftaki havlular burada. [güven: yüksek]</t>
        </is>
      </c>
    </row>
    <row r="23">
      <c r="A23" s="5" t="inlineStr">
        <is>
          <t>Tare Houses Hotel</t>
        </is>
      </c>
      <c r="B23" s="5" t="inlineStr">
        <is>
          <t>X4</t>
        </is>
      </c>
      <c r="C23" s="7" t="n"/>
      <c r="D23" s="6">
        <f>IFERROR(INDEX('Kontrol Adımları'!$D:$D,MATCH(1,INDEX(('Kontrol Adımları'!$A$1:$A$400=B23)*('Kontrol Adımları'!$B$1:$B$400=C23),0),0)),"")</f>
        <v/>
      </c>
      <c r="E23" s="5" t="inlineStr">
        <is>
          <t>basin_faucet</t>
        </is>
      </c>
      <c r="F23" s="6">
        <f>IFERROR(INDEX('Kalem Kataloğu'!$C$1:$C$1000,MATCH(1,INDEX(('Kalem Kataloğu'!$A$1:$A$1000=A23)*('Kalem Kataloğu'!$B$1:$B$1000=E23),0),0)),"?")</f>
        <v/>
      </c>
      <c r="G23" s="6">
        <f>IFERROR(INDEX('Kalem Kataloğu'!$D$1:$D$1000,MATCH(1,INDEX(('Kalem Kataloğu'!$A$1:$A$1000=A23)*('Kalem Kataloğu'!$B$1:$B$1000=E23),0),0)),"?")</f>
        <v/>
      </c>
      <c r="H23" s="7" t="n">
        <v>1</v>
      </c>
      <c r="I23" s="7" t="inlineStr">
        <is>
          <t>Hayır</t>
        </is>
      </c>
      <c r="J23" s="5" t="inlineStr">
        <is>
          <t>Drive foto (Tem. 2024)</t>
        </is>
      </c>
      <c r="K23" s="5" t="inlineStr">
        <is>
          <t xml:space="preserve"> [güven: yüksek]</t>
        </is>
      </c>
    </row>
    <row r="24" ht="26.4" customHeight="1">
      <c r="A24" s="5" t="inlineStr">
        <is>
          <t>Tare Houses Hotel</t>
        </is>
      </c>
      <c r="B24" s="5" t="inlineStr">
        <is>
          <t>X4</t>
        </is>
      </c>
      <c r="C24" s="7" t="n"/>
      <c r="D24" s="6">
        <f>IFERROR(INDEX('Kontrol Adımları'!$D:$D,MATCH(1,INDEX(('Kontrol Adımları'!$A$1:$A$400=B24)*('Kontrol Adımları'!$B$1:$B$400=C24),0),0)),"")</f>
        <v/>
      </c>
      <c r="E24" s="5" t="inlineStr">
        <is>
          <t>globe_table_lamp</t>
        </is>
      </c>
      <c r="F24" s="6">
        <f>IFERROR(INDEX('Kalem Kataloğu'!$C$1:$C$1000,MATCH(1,INDEX(('Kalem Kataloğu'!$A$1:$A$1000=A24)*('Kalem Kataloğu'!$B$1:$B$1000=E24),0),0)),"?")</f>
        <v/>
      </c>
      <c r="G24" s="6">
        <f>IFERROR(INDEX('Kalem Kataloğu'!$D$1:$D$1000,MATCH(1,INDEX(('Kalem Kataloğu'!$A$1:$A$1000=A24)*('Kalem Kataloğu'!$B$1:$B$1000=E24),0),0)),"?")</f>
        <v/>
      </c>
      <c r="H24" s="7" t="n">
        <v>2</v>
      </c>
      <c r="I24" s="7" t="inlineStr">
        <is>
          <t>Hayır</t>
        </is>
      </c>
      <c r="J24" s="5" t="inlineStr">
        <is>
          <t>Drive foto (Tem. 2024)</t>
        </is>
      </c>
      <c r="K24" s="5" t="inlineStr">
        <is>
          <t>X4 yatak başlığı tablalarında 2 adet. [güven: yüksek]</t>
        </is>
      </c>
    </row>
    <row r="25">
      <c r="A25" s="5" t="inlineStr">
        <is>
          <t>Tare Houses Hotel</t>
        </is>
      </c>
      <c r="B25" s="5" t="inlineStr">
        <is>
          <t>X4</t>
        </is>
      </c>
      <c r="C25" s="7" t="n"/>
      <c r="D25" s="6">
        <f>IFERROR(INDEX('Kontrol Adımları'!$D:$D,MATCH(1,INDEX(('Kontrol Adımları'!$A$1:$A$400=B25)*('Kontrol Adımları'!$B$1:$B$400=C25),0),0)),"")</f>
        <v/>
      </c>
      <c r="E25" s="5" t="inlineStr">
        <is>
          <t>mini_fridge</t>
        </is>
      </c>
      <c r="F25" s="6">
        <f>IFERROR(INDEX('Kalem Kataloğu'!$C$1:$C$1000,MATCH(1,INDEX(('Kalem Kataloğu'!$A$1:$A$1000=A25)*('Kalem Kataloğu'!$B$1:$B$1000=E25),0),0)),"?")</f>
        <v/>
      </c>
      <c r="G25" s="6">
        <f>IFERROR(INDEX('Kalem Kataloğu'!$D$1:$D$1000,MATCH(1,INDEX(('Kalem Kataloğu'!$A$1:$A$1000=A25)*('Kalem Kataloğu'!$B$1:$B$1000=E25),0),0)),"?")</f>
        <v/>
      </c>
      <c r="H25" s="7" t="n">
        <v>1</v>
      </c>
      <c r="I25" s="7" t="inlineStr">
        <is>
          <t>Hayır</t>
        </is>
      </c>
      <c r="J25" s="5" t="inlineStr">
        <is>
          <t>Drive foto (Tem. 2024)</t>
        </is>
      </c>
      <c r="K25" s="5" t="inlineStr">
        <is>
          <t xml:space="preserve"> [güven: yüksek]</t>
        </is>
      </c>
    </row>
    <row r="26" ht="26.4" customHeight="1">
      <c r="A26" s="5" t="inlineStr">
        <is>
          <t>Tare Houses Hotel</t>
        </is>
      </c>
      <c r="B26" s="5" t="inlineStr">
        <is>
          <t>X4</t>
        </is>
      </c>
      <c r="C26" s="7" t="n"/>
      <c r="D26" s="6">
        <f>IFERROR(INDEX('Kontrol Adımları'!$D:$D,MATCH(1,INDEX(('Kontrol Adımları'!$A$1:$A$400=B26)*('Kontrol Adımları'!$B$1:$B$400=C26),0),0)),"")</f>
        <v/>
      </c>
      <c r="E26" s="5" t="inlineStr">
        <is>
          <t>coffee_table_glass</t>
        </is>
      </c>
      <c r="F26" s="6">
        <f>IFERROR(INDEX('Kalem Kataloğu'!$C$1:$C$1000,MATCH(1,INDEX(('Kalem Kataloğu'!$A$1:$A$1000=A26)*('Kalem Kataloğu'!$B$1:$B$1000=E26),0),0)),"?")</f>
        <v/>
      </c>
      <c r="G26" s="6">
        <f>IFERROR(INDEX('Kalem Kataloğu'!$D$1:$D$1000,MATCH(1,INDEX(('Kalem Kataloğu'!$A$1:$A$1000=A26)*('Kalem Kataloğu'!$B$1:$B$1000=E26),0),0)),"?")</f>
        <v/>
      </c>
      <c r="H26" s="7" t="n"/>
      <c r="I26" s="7" t="inlineStr">
        <is>
          <t>Hayır</t>
        </is>
      </c>
      <c r="J26" s="5" t="inlineStr">
        <is>
          <t>Drive foto (Tem. 2024)</t>
        </is>
      </c>
      <c r="K26" s="5" t="inlineStr">
        <is>
          <t xml:space="preserve"> [güven: yüksek]</t>
        </is>
      </c>
    </row>
    <row r="27">
      <c r="A27" s="5" t="inlineStr">
        <is>
          <t>Tare Houses Hotel</t>
        </is>
      </c>
      <c r="B27" s="5" t="inlineStr">
        <is>
          <t>X4</t>
        </is>
      </c>
      <c r="C27" s="7" t="n"/>
      <c r="D27" s="6">
        <f>IFERROR(INDEX('Kontrol Adımları'!$D:$D,MATCH(1,INDEX(('Kontrol Adımları'!$A$1:$A$400=B27)*('Kontrol Adımları'!$B$1:$B$400=C27),0),0)),"")</f>
        <v/>
      </c>
      <c r="E27" s="5" t="inlineStr">
        <is>
          <t>pendant_lamp</t>
        </is>
      </c>
      <c r="F27" s="6">
        <f>IFERROR(INDEX('Kalem Kataloğu'!$C$1:$C$1000,MATCH(1,INDEX(('Kalem Kataloğu'!$A$1:$A$1000=A27)*('Kalem Kataloğu'!$B$1:$B$1000=E27),0),0)),"?")</f>
        <v/>
      </c>
      <c r="G27" s="6">
        <f>IFERROR(INDEX('Kalem Kataloğu'!$D$1:$D$1000,MATCH(1,INDEX(('Kalem Kataloğu'!$A$1:$A$1000=A27)*('Kalem Kataloğu'!$B$1:$B$1000=E27),0),0)),"?")</f>
        <v/>
      </c>
      <c r="H27" s="7" t="n">
        <v>1</v>
      </c>
      <c r="I27" s="7" t="inlineStr">
        <is>
          <t>Hayır</t>
        </is>
      </c>
      <c r="J27" s="5" t="inlineStr">
        <is>
          <t>Drive foto (Tem. 2024)</t>
        </is>
      </c>
      <c r="K27" s="5" t="inlineStr">
        <is>
          <t xml:space="preserve"> [güven: yüksek]</t>
        </is>
      </c>
    </row>
    <row r="28" ht="39.6" customHeight="1">
      <c r="A28" s="5" t="inlineStr">
        <is>
          <t>Tare Houses Hotel</t>
        </is>
      </c>
      <c r="B28" s="5" t="inlineStr">
        <is>
          <t>X4</t>
        </is>
      </c>
      <c r="C28" s="7" t="n"/>
      <c r="D28" s="6">
        <f>IFERROR(INDEX('Kontrol Adımları'!$D:$D,MATCH(1,INDEX(('Kontrol Adımları'!$A$1:$A$400=B28)*('Kontrol Adımları'!$B$1:$B$400=C28),0),0)),"")</f>
        <v/>
      </c>
      <c r="E28" s="5" t="inlineStr">
        <is>
          <t>tv</t>
        </is>
      </c>
      <c r="F28" s="6">
        <f>IFERROR(INDEX('Kalem Kataloğu'!$C$1:$C$1000,MATCH(1,INDEX(('Kalem Kataloğu'!$A$1:$A$1000=A28)*('Kalem Kataloğu'!$B$1:$B$1000=E28),0),0)),"?")</f>
        <v/>
      </c>
      <c r="G28" s="6">
        <f>IFERROR(INDEX('Kalem Kataloğu'!$D$1:$D$1000,MATCH(1,INDEX(('Kalem Kataloğu'!$A$1:$A$1000=A28)*('Kalem Kataloğu'!$B$1:$B$1000=E28),0),0)),"?")</f>
        <v/>
      </c>
      <c r="H28" s="7" t="n">
        <v>1</v>
      </c>
      <c r="I28" s="7" t="inlineStr">
        <is>
          <t>Hayır</t>
        </is>
      </c>
      <c r="J28" s="5" t="inlineStr">
        <is>
          <t>Drive foto (Tem. 2024)</t>
        </is>
      </c>
      <c r="K28" s="5" t="inlineStr">
        <is>
          <t>X1'de yatak odasında 1 + oturma alanı/koridor duvarında 1 görünüyor; teyit et. Excel X3: 1. [güven: orta]</t>
        </is>
      </c>
    </row>
    <row r="29" ht="26.4" customHeight="1">
      <c r="A29" s="5" t="inlineStr">
        <is>
          <t>Tare Houses Hotel</t>
        </is>
      </c>
      <c r="B29" s="5" t="inlineStr">
        <is>
          <t>X4</t>
        </is>
      </c>
      <c r="C29" s="7" t="n"/>
      <c r="D29" s="6">
        <f>IFERROR(INDEX('Kontrol Adımları'!$D:$D,MATCH(1,INDEX(('Kontrol Adımları'!$A$1:$A$400=B29)*('Kontrol Adımları'!$B$1:$B$400=C29),0),0)),"")</f>
        <v/>
      </c>
      <c r="E29" s="5" t="inlineStr">
        <is>
          <t>wall_art</t>
        </is>
      </c>
      <c r="F29" s="6">
        <f>IFERROR(INDEX('Kalem Kataloğu'!$C$1:$C$1000,MATCH(1,INDEX(('Kalem Kataloğu'!$A$1:$A$1000=A29)*('Kalem Kataloğu'!$B$1:$B$1000=E29),0),0)),"?")</f>
        <v/>
      </c>
      <c r="G29" s="6">
        <f>IFERROR(INDEX('Kalem Kataloğu'!$D$1:$D$1000,MATCH(1,INDEX(('Kalem Kataloğu'!$A$1:$A$1000=A29)*('Kalem Kataloğu'!$B$1:$B$1000=E29),0),0)),"?")</f>
        <v/>
      </c>
      <c r="H29" s="7" t="n">
        <v>1</v>
      </c>
      <c r="I29" s="7" t="inlineStr">
        <is>
          <t>Hayır</t>
        </is>
      </c>
      <c r="J29" s="5" t="inlineStr">
        <is>
          <t>Drive foto (Tem. 2024)</t>
        </is>
      </c>
      <c r="K29" s="5" t="inlineStr">
        <is>
          <t>X1: oturma alanı + yatak odası 2 adet. [güven: yüksek]</t>
        </is>
      </c>
    </row>
    <row r="30" ht="26.4" customHeight="1">
      <c r="A30" s="5" t="inlineStr">
        <is>
          <t>Tare Houses Hotel</t>
        </is>
      </c>
      <c r="B30" s="5" t="inlineStr">
        <is>
          <t>X4</t>
        </is>
      </c>
      <c r="C30" s="7" t="n"/>
      <c r="D30" s="6">
        <f>IFERROR(INDEX('Kontrol Adımları'!$D:$D,MATCH(1,INDEX(('Kontrol Adımları'!$A$1:$A$400=B30)*('Kontrol Adımları'!$B$1:$B$400=C30),0),0)),"")</f>
        <v/>
      </c>
      <c r="E30" s="5" t="inlineStr">
        <is>
          <t>shower_set</t>
        </is>
      </c>
      <c r="F30" s="6">
        <f>IFERROR(INDEX('Kalem Kataloğu'!$C$1:$C$1000,MATCH(1,INDEX(('Kalem Kataloğu'!$A$1:$A$1000=A30)*('Kalem Kataloğu'!$B$1:$B$1000=E30),0),0)),"?")</f>
        <v/>
      </c>
      <c r="G30" s="6">
        <f>IFERROR(INDEX('Kalem Kataloğu'!$D$1:$D$1000,MATCH(1,INDEX(('Kalem Kataloğu'!$A$1:$A$1000=A30)*('Kalem Kataloğu'!$B$1:$B$1000=E30),0),0)),"?")</f>
        <v/>
      </c>
      <c r="H30" s="7" t="n">
        <v>1</v>
      </c>
      <c r="I30" s="7" t="inlineStr">
        <is>
          <t>Hayır</t>
        </is>
      </c>
      <c r="J30" s="5" t="inlineStr">
        <is>
          <t>Drive foto (Tem. 2024)</t>
        </is>
      </c>
      <c r="K30" s="5" t="inlineStr">
        <is>
          <t xml:space="preserve"> [güven: yüksek]</t>
        </is>
      </c>
    </row>
    <row r="31" ht="26.4" customHeight="1">
      <c r="A31" s="5" t="inlineStr">
        <is>
          <t>Tare Houses Hotel</t>
        </is>
      </c>
      <c r="B31" s="5" t="inlineStr">
        <is>
          <t>X4</t>
        </is>
      </c>
      <c r="C31" s="7" t="n"/>
      <c r="D31" s="6">
        <f>IFERROR(INDEX('Kontrol Adımları'!$D:$D,MATCH(1,INDEX(('Kontrol Adımları'!$A$1:$A$400=B31)*('Kontrol Adımları'!$B$1:$B$400=C31),0),0)),"")</f>
        <v/>
      </c>
      <c r="E31" s="5" t="inlineStr">
        <is>
          <t>vessel_sink</t>
        </is>
      </c>
      <c r="F31" s="6">
        <f>IFERROR(INDEX('Kalem Kataloğu'!$C$1:$C$1000,MATCH(1,INDEX(('Kalem Kataloğu'!$A$1:$A$1000=A31)*('Kalem Kataloğu'!$B$1:$B$1000=E31),0),0)),"?")</f>
        <v/>
      </c>
      <c r="G31" s="6">
        <f>IFERROR(INDEX('Kalem Kataloğu'!$D$1:$D$1000,MATCH(1,INDEX(('Kalem Kataloğu'!$A$1:$A$1000=A31)*('Kalem Kataloğu'!$B$1:$B$1000=E31),0),0)),"?")</f>
        <v/>
      </c>
      <c r="H31" s="7" t="n">
        <v>1</v>
      </c>
      <c r="I31" s="7" t="inlineStr">
        <is>
          <t>Hayır</t>
        </is>
      </c>
      <c r="J31" s="5" t="inlineStr">
        <is>
          <t>Drive foto (Tem. 2024)</t>
        </is>
      </c>
      <c r="K31" s="5" t="inlineStr">
        <is>
          <t xml:space="preserve"> [güven: yüksek]</t>
        </is>
      </c>
    </row>
    <row r="32">
      <c r="A32" s="5" t="inlineStr">
        <is>
          <t>Tare Houses Hotel</t>
        </is>
      </c>
      <c r="B32" s="5" t="inlineStr">
        <is>
          <t>X4</t>
        </is>
      </c>
      <c r="C32" s="7" t="n"/>
      <c r="D32" s="6">
        <f>IFERROR(INDEX('Kontrol Adımları'!$D:$D,MATCH(1,INDEX(('Kontrol Adımları'!$A$1:$A$400=B32)*('Kontrol Adımları'!$B$1:$B$400=C32),0),0)),"")</f>
        <v/>
      </c>
      <c r="E32" s="5" t="inlineStr">
        <is>
          <t>toilet_paper_holder</t>
        </is>
      </c>
      <c r="F32" s="6">
        <f>IFERROR(INDEX('Kalem Kataloğu'!$C$1:$C$1000,MATCH(1,INDEX(('Kalem Kataloğu'!$A$1:$A$1000=A32)*('Kalem Kataloğu'!$B$1:$B$1000=E32),0),0)),"?")</f>
        <v/>
      </c>
      <c r="G32" s="6">
        <f>IFERROR(INDEX('Kalem Kataloğu'!$D$1:$D$1000,MATCH(1,INDEX(('Kalem Kataloğu'!$A$1:$A$1000=A32)*('Kalem Kataloğu'!$B$1:$B$1000=E32),0),0)),"?")</f>
        <v/>
      </c>
      <c r="H32" s="7" t="n">
        <v>1</v>
      </c>
      <c r="I32" s="7" t="inlineStr">
        <is>
          <t>Hayır</t>
        </is>
      </c>
      <c r="J32" s="5" t="inlineStr">
        <is>
          <t>Drive foto (Tem. 2024)</t>
        </is>
      </c>
      <c r="K32" s="5" t="inlineStr">
        <is>
          <t xml:space="preserve"> [güven: orta]</t>
        </is>
      </c>
    </row>
    <row r="33" ht="26.4" customHeight="1">
      <c r="A33" s="5" t="inlineStr">
        <is>
          <t>Tare Houses Hotel</t>
        </is>
      </c>
      <c r="B33" s="5" t="inlineStr">
        <is>
          <t>X4</t>
        </is>
      </c>
      <c r="C33" s="7" t="n"/>
      <c r="D33" s="6">
        <f>IFERROR(INDEX('Kontrol Adımları'!$D:$D,MATCH(1,INDEX(('Kontrol Adımları'!$A$1:$A$400=B33)*('Kontrol Adımları'!$B$1:$B$400=C33),0),0)),"")</f>
        <v/>
      </c>
      <c r="E33" s="5" t="inlineStr">
        <is>
          <t>toilet_brush</t>
        </is>
      </c>
      <c r="F33" s="6">
        <f>IFERROR(INDEX('Kalem Kataloğu'!$C$1:$C$1000,MATCH(1,INDEX(('Kalem Kataloğu'!$A$1:$A$1000=A33)*('Kalem Kataloğu'!$B$1:$B$1000=E33),0),0)),"?")</f>
        <v/>
      </c>
      <c r="G33" s="6">
        <f>IFERROR(INDEX('Kalem Kataloğu'!$D$1:$D$1000,MATCH(1,INDEX(('Kalem Kataloğu'!$A$1:$A$1000=A33)*('Kalem Kataloğu'!$B$1:$B$1000=E33),0),0)),"?")</f>
        <v/>
      </c>
      <c r="H33" s="7" t="n">
        <v>1</v>
      </c>
      <c r="I33" s="7" t="inlineStr">
        <is>
          <t>Hayır</t>
        </is>
      </c>
      <c r="J33" s="5" t="inlineStr">
        <is>
          <t>Drive foto (Tem. 2024)</t>
        </is>
      </c>
      <c r="K33" s="5" t="inlineStr">
        <is>
          <t>Fotoğrafta küçük görünüyor; kırpılmadı. [güven: orta]</t>
        </is>
      </c>
    </row>
    <row r="34" ht="26.4" customHeight="1">
      <c r="A34" s="5" t="inlineStr">
        <is>
          <t>Tare Houses Hotel</t>
        </is>
      </c>
      <c r="B34" s="5" t="inlineStr">
        <is>
          <t>X4</t>
        </is>
      </c>
      <c r="C34" s="7" t="n"/>
      <c r="D34" s="6">
        <f>IFERROR(INDEX('Kontrol Adımları'!$D:$D,MATCH(1,INDEX(('Kontrol Adımları'!$A$1:$A$400=B34)*('Kontrol Adımları'!$B$1:$B$400=C34),0),0)),"")</f>
        <v/>
      </c>
      <c r="E34" s="5" t="inlineStr">
        <is>
          <t>pillow</t>
        </is>
      </c>
      <c r="F34" s="6">
        <f>IFERROR(INDEX('Kalem Kataloğu'!$C$1:$C$1000,MATCH(1,INDEX(('Kalem Kataloğu'!$A$1:$A$1000=A34)*('Kalem Kataloğu'!$B$1:$B$1000=E34),0),0)),"?")</f>
        <v/>
      </c>
      <c r="G34" s="6">
        <f>IFERROR(INDEX('Kalem Kataloğu'!$D$1:$D$1000,MATCH(1,INDEX(('Kalem Kataloğu'!$A$1:$A$1000=A34)*('Kalem Kataloğu'!$B$1:$B$1000=E34),0),0)),"?")</f>
        <v/>
      </c>
      <c r="H34" s="7" t="n">
        <v>4</v>
      </c>
      <c r="I34" s="7" t="inlineStr">
        <is>
          <t>Hayır</t>
        </is>
      </c>
      <c r="J34" s="5" t="inlineStr">
        <is>
          <t>Drive foto (Tem. 2024)</t>
        </is>
      </c>
      <c r="K34" s="5" t="inlineStr">
        <is>
          <t>Yatakta 2 arka + 2 ön. Excel X3: 4 (doğrulanmadı). [güven: orta]</t>
        </is>
      </c>
    </row>
    <row r="35" ht="26.4" customHeight="1">
      <c r="A35" s="5" t="inlineStr">
        <is>
          <t>Tare Houses Hotel</t>
        </is>
      </c>
      <c r="B35" s="5" t="inlineStr">
        <is>
          <t>X4</t>
        </is>
      </c>
      <c r="C35" s="7" t="n"/>
      <c r="D35" s="6">
        <f>IFERROR(INDEX('Kontrol Adımları'!$D:$D,MATCH(1,INDEX(('Kontrol Adımları'!$A$1:$A$400=B35)*('Kontrol Adımları'!$B$1:$B$400=C35),0),0)),"")</f>
        <v/>
      </c>
      <c r="E35" s="5" t="inlineStr">
        <is>
          <t>led_mirror</t>
        </is>
      </c>
      <c r="F35" s="6">
        <f>IFERROR(INDEX('Kalem Kataloğu'!$C$1:$C$1000,MATCH(1,INDEX(('Kalem Kataloğu'!$A$1:$A$1000=A35)*('Kalem Kataloğu'!$B$1:$B$1000=E35),0),0)),"?")</f>
        <v/>
      </c>
      <c r="G35" s="6">
        <f>IFERROR(INDEX('Kalem Kataloğu'!$D$1:$D$1000,MATCH(1,INDEX(('Kalem Kataloğu'!$A$1:$A$1000=A35)*('Kalem Kataloğu'!$B$1:$B$1000=E35),0),0)),"?")</f>
        <v/>
      </c>
      <c r="H35" s="7" t="n">
        <v>1</v>
      </c>
      <c r="I35" s="7" t="inlineStr">
        <is>
          <t>Hayır</t>
        </is>
      </c>
      <c r="J35" s="5" t="inlineStr">
        <is>
          <t>Drive foto (Tem. 2024)</t>
        </is>
      </c>
      <c r="K35" s="5" t="inlineStr">
        <is>
          <t xml:space="preserve"> [güven: yüksek]</t>
        </is>
      </c>
    </row>
    <row r="36" ht="26.4" customHeight="1">
      <c r="A36" s="5" t="inlineStr">
        <is>
          <t>Tare Houses Hotel</t>
        </is>
      </c>
      <c r="B36" s="5" t="inlineStr">
        <is>
          <t>X4</t>
        </is>
      </c>
      <c r="C36" s="7" t="n"/>
      <c r="D36" s="6">
        <f>IFERROR(INDEX('Kontrol Adımları'!$D:$D,MATCH(1,INDEX(('Kontrol Adımları'!$A$1:$A$400=B36)*('Kontrol Adımları'!$B$1:$B$400=C36),0),0)),"")</f>
        <v/>
      </c>
      <c r="E36" s="5" t="inlineStr">
        <is>
          <t>round_wall_lamp</t>
        </is>
      </c>
      <c r="F36" s="6">
        <f>IFERROR(INDEX('Kalem Kataloğu'!$C$1:$C$1000,MATCH(1,INDEX(('Kalem Kataloğu'!$A$1:$A$1000=A36)*('Kalem Kataloğu'!$B$1:$B$1000=E36),0),0)),"?")</f>
        <v/>
      </c>
      <c r="G36" s="6">
        <f>IFERROR(INDEX('Kalem Kataloğu'!$D$1:$D$1000,MATCH(1,INDEX(('Kalem Kataloğu'!$A$1:$A$1000=A36)*('Kalem Kataloğu'!$B$1:$B$1000=E36),0),0)),"?")</f>
        <v/>
      </c>
      <c r="H36" s="7" t="n"/>
      <c r="I36" s="7" t="inlineStr">
        <is>
          <t>Hayır</t>
        </is>
      </c>
      <c r="J36" s="5" t="inlineStr">
        <is>
          <t>Drive foto (Tem. 2024)</t>
        </is>
      </c>
      <c r="K36" s="5" t="inlineStr">
        <is>
          <t>Odalarda 1-3 adet; tip bazında sayılmalı. [güven: orta]</t>
        </is>
      </c>
    </row>
    <row r="37">
      <c r="A37" s="5" t="inlineStr">
        <is>
          <t>Tare Houses Hotel</t>
        </is>
      </c>
      <c r="B37" s="5" t="inlineStr">
        <is>
          <t>X4</t>
        </is>
      </c>
      <c r="C37" s="7" t="n"/>
      <c r="D37" s="6">
        <f>IFERROR(INDEX('Kontrol Adımları'!$D:$D,MATCH(1,INDEX(('Kontrol Adımları'!$A$1:$A$400=B37)*('Kontrol Adımları'!$B$1:$B$400=C37),0),0)),"")</f>
        <v/>
      </c>
      <c r="E37" s="5" t="inlineStr">
        <is>
          <t>round_rug_woven</t>
        </is>
      </c>
      <c r="F37" s="6">
        <f>IFERROR(INDEX('Kalem Kataloğu'!$C$1:$C$1000,MATCH(1,INDEX(('Kalem Kataloğu'!$A$1:$A$1000=A37)*('Kalem Kataloğu'!$B$1:$B$1000=E37),0),0)),"?")</f>
        <v/>
      </c>
      <c r="G37" s="6">
        <f>IFERROR(INDEX('Kalem Kataloğu'!$D$1:$D$1000,MATCH(1,INDEX(('Kalem Kataloğu'!$A$1:$A$1000=A37)*('Kalem Kataloğu'!$B$1:$B$1000=E37),0),0)),"?")</f>
        <v/>
      </c>
      <c r="H37" s="7" t="n">
        <v>1</v>
      </c>
      <c r="I37" s="7" t="inlineStr">
        <is>
          <t>Hayır</t>
        </is>
      </c>
      <c r="J37" s="5" t="inlineStr">
        <is>
          <t>Drive foto (Tem. 2024)</t>
        </is>
      </c>
      <c r="K37" s="5" t="inlineStr">
        <is>
          <t xml:space="preserve"> [güven: yüksek]</t>
        </is>
      </c>
    </row>
    <row r="38" ht="26.4" customHeight="1">
      <c r="A38" s="5" t="inlineStr">
        <is>
          <t>Tare Houses Hotel</t>
        </is>
      </c>
      <c r="B38" s="5" t="inlineStr">
        <is>
          <t>X4</t>
        </is>
      </c>
      <c r="C38" s="7" t="n"/>
      <c r="D38" s="6">
        <f>IFERROR(INDEX('Kontrol Adımları'!$D:$D,MATCH(1,INDEX(('Kontrol Adımları'!$A$1:$A$400=B38)*('Kontrol Adımları'!$B$1:$B$400=C38),0),0)),"")</f>
        <v/>
      </c>
      <c r="E38" s="5" t="inlineStr">
        <is>
          <t>round_table</t>
        </is>
      </c>
      <c r="F38" s="6">
        <f>IFERROR(INDEX('Kalem Kataloğu'!$C$1:$C$1000,MATCH(1,INDEX(('Kalem Kataloğu'!$A$1:$A$1000=A38)*('Kalem Kataloğu'!$B$1:$B$1000=E38),0),0)),"?")</f>
        <v/>
      </c>
      <c r="G38" s="6">
        <f>IFERROR(INDEX('Kalem Kataloğu'!$D$1:$D$1000,MATCH(1,INDEX(('Kalem Kataloğu'!$A$1:$A$1000=A38)*('Kalem Kataloğu'!$B$1:$B$1000=E38),0),0)),"?")</f>
        <v/>
      </c>
      <c r="H38" s="7" t="n">
        <v>1</v>
      </c>
      <c r="I38" s="7" t="inlineStr">
        <is>
          <t>Hayır</t>
        </is>
      </c>
      <c r="J38" s="5" t="inlineStr">
        <is>
          <t>Drive foto (Tem. 2024)</t>
        </is>
      </c>
      <c r="K38" s="5" t="inlineStr">
        <is>
          <t>X1'de yuvarlak masa yerine çalışma masası var. [güven: yüksek]</t>
        </is>
      </c>
    </row>
    <row r="39" ht="26.4" customHeight="1">
      <c r="A39" s="5" t="inlineStr">
        <is>
          <t>Tare Houses Hotel</t>
        </is>
      </c>
      <c r="B39" s="5" t="inlineStr">
        <is>
          <t>X4</t>
        </is>
      </c>
      <c r="C39" s="7" t="n"/>
      <c r="D39" s="6">
        <f>IFERROR(INDEX('Kontrol Adımları'!$D:$D,MATCH(1,INDEX(('Kontrol Adımları'!$A$1:$A$400=B39)*('Kontrol Adımları'!$B$1:$B$400=C39),0),0)),"")</f>
        <v/>
      </c>
      <c r="E39" s="5" t="inlineStr">
        <is>
          <t>round_bed</t>
        </is>
      </c>
      <c r="F39" s="6">
        <f>IFERROR(INDEX('Kalem Kataloğu'!$C$1:$C$1000,MATCH(1,INDEX(('Kalem Kataloğu'!$A$1:$A$1000=A39)*('Kalem Kataloğu'!$B$1:$B$1000=E39),0),0)),"?")</f>
        <v/>
      </c>
      <c r="G39" s="6">
        <f>IFERROR(INDEX('Kalem Kataloğu'!$D$1:$D$1000,MATCH(1,INDEX(('Kalem Kataloğu'!$A$1:$A$1000=A39)*('Kalem Kataloğu'!$B$1:$B$1000=E39),0),0)),"?")</f>
        <v/>
      </c>
      <c r="H39" s="7" t="n">
        <v>1</v>
      </c>
      <c r="I39" s="7" t="inlineStr">
        <is>
          <t>Hayır</t>
        </is>
      </c>
      <c r="J39" s="5" t="inlineStr">
        <is>
          <t>Drive foto (Tem. 2024)</t>
        </is>
      </c>
      <c r="K39" s="5" t="inlineStr">
        <is>
          <t>Sadece X4 Exclusive Suite. [güven: yüksek]</t>
        </is>
      </c>
    </row>
    <row r="40" ht="26.4" customHeight="1">
      <c r="A40" s="5" t="inlineStr">
        <is>
          <t>Tare Houses Hotel</t>
        </is>
      </c>
      <c r="B40" s="5" t="inlineStr">
        <is>
          <t>X4</t>
        </is>
      </c>
      <c r="C40" s="7" t="n"/>
      <c r="D40" s="6">
        <f>IFERROR(INDEX('Kontrol Adımları'!$D:$D,MATCH(1,INDEX(('Kontrol Adımları'!$A$1:$A$400=B40)*('Kontrol Adımları'!$B$1:$B$400=C40),0),0)),"")</f>
        <v/>
      </c>
      <c r="E40" s="5" t="inlineStr">
        <is>
          <t>desk_with_chair</t>
        </is>
      </c>
      <c r="F40" s="6">
        <f>IFERROR(INDEX('Kalem Kataloğu'!$C$1:$C$1000,MATCH(1,INDEX(('Kalem Kataloğu'!$A$1:$A$1000=A40)*('Kalem Kataloğu'!$B$1:$B$1000=E40),0),0)),"?")</f>
        <v/>
      </c>
      <c r="G40" s="6">
        <f>IFERROR(INDEX('Kalem Kataloğu'!$D$1:$D$1000,MATCH(1,INDEX(('Kalem Kataloğu'!$A$1:$A$1000=A40)*('Kalem Kataloğu'!$B$1:$B$1000=E40),0),0)),"?")</f>
        <v/>
      </c>
      <c r="H40" s="7" t="n"/>
      <c r="I40" s="7" t="inlineStr">
        <is>
          <t>Hayır</t>
        </is>
      </c>
      <c r="J40" s="5" t="inlineStr">
        <is>
          <t>Drive foto (Tem. 2024)</t>
        </is>
      </c>
      <c r="K40" s="5" t="inlineStr">
        <is>
          <t>X1: oturma alanında çalışma masası + berjer. X2: kapı yanında konsol masa. [güven: orta]</t>
        </is>
      </c>
    </row>
    <row r="41" ht="26.4" customHeight="1">
      <c r="A41" s="5" t="inlineStr">
        <is>
          <t>Tare Houses Hotel</t>
        </is>
      </c>
      <c r="B41" s="5" t="inlineStr">
        <is>
          <t>X4</t>
        </is>
      </c>
      <c r="C41" s="7" t="n"/>
      <c r="D41" s="6">
        <f>IFERROR(INDEX('Kontrol Adımları'!$D:$D,MATCH(1,INDEX(('Kontrol Adımları'!$A$1:$A$400=B41)*('Kontrol Adımları'!$B$1:$B$400=C41),0),0)),"")</f>
        <v/>
      </c>
      <c r="E41" s="5" t="inlineStr">
        <is>
          <t>bed</t>
        </is>
      </c>
      <c r="F41" s="6">
        <f>IFERROR(INDEX('Kalem Kataloğu'!$C$1:$C$1000,MATCH(1,INDEX(('Kalem Kataloğu'!$A$1:$A$1000=A41)*('Kalem Kataloğu'!$B$1:$B$1000=E41),0),0)),"?")</f>
        <v/>
      </c>
      <c r="G41" s="6">
        <f>IFERROR(INDEX('Kalem Kataloğu'!$D$1:$D$1000,MATCH(1,INDEX(('Kalem Kataloğu'!$A$1:$A$1000=A41)*('Kalem Kataloğu'!$B$1:$B$1000=E41),0),0)),"?")</f>
        <v/>
      </c>
      <c r="H41" s="7" t="n"/>
      <c r="I41" s="7" t="inlineStr">
        <is>
          <t>Hayır</t>
        </is>
      </c>
      <c r="J41" s="5" t="inlineStr">
        <is>
          <t>Drive foto (Tem. 2024)</t>
        </is>
      </c>
      <c r="K41" s="5" t="inlineStr">
        <is>
          <t>X1 ve X2'de aynı model. X4'te yuvarlak yatak (ayrı kalem). [güven: yüksek]</t>
        </is>
      </c>
    </row>
    <row r="42" ht="26.4" customHeight="1">
      <c r="A42" s="5" t="inlineStr">
        <is>
          <t>Tare Suites Urla</t>
        </is>
      </c>
      <c r="B42" s="5" t="inlineStr">
        <is>
          <t>DFS</t>
        </is>
      </c>
      <c r="C42" s="7" t="n"/>
      <c r="D42" s="6">
        <f>IFERROR(INDEX('Kontrol Adımları'!$D:$D,MATCH(1,INDEX(('Kontrol Adımları'!$A$1:$A$400=B42)*('Kontrol Adımları'!$B$1:$B$400=C42),0),0)),"")</f>
        <v/>
      </c>
      <c r="E42" s="5" t="inlineStr">
        <is>
          <t>asma_klozet</t>
        </is>
      </c>
      <c r="F42" s="6">
        <f>IFERROR(INDEX('Kalem Kataloğu'!$C$1:$C$1000,MATCH(1,INDEX(('Kalem Kataloğu'!$A$1:$A$1000=A42)*('Kalem Kataloğu'!$B$1:$B$1000=E42),0),0)),"?")</f>
        <v/>
      </c>
      <c r="G42" s="6">
        <f>IFERROR(INDEX('Kalem Kataloğu'!$D$1:$D$1000,MATCH(1,INDEX(('Kalem Kataloğu'!$A$1:$A$1000=A42)*('Kalem Kataloğu'!$B$1:$B$1000=E42),0),0)),"?")</f>
        <v/>
      </c>
      <c r="H42" s="7" t="n">
        <v>1</v>
      </c>
      <c r="I42" s="7" t="inlineStr">
        <is>
          <t>Hayır</t>
        </is>
      </c>
      <c r="J42" s="5" t="inlineStr">
        <is>
          <t>Drive foto</t>
        </is>
      </c>
      <c r="K42" s="5" t="inlineStr">
        <is>
          <t xml:space="preserve"> [güven: high]</t>
        </is>
      </c>
    </row>
    <row r="43">
      <c r="A43" s="5" t="inlineStr">
        <is>
          <t>Tare Suites Urla</t>
        </is>
      </c>
      <c r="B43" s="5" t="inlineStr">
        <is>
          <t>DFS</t>
        </is>
      </c>
      <c r="C43" s="7" t="n"/>
      <c r="D43" s="6">
        <f>IFERROR(INDEX('Kontrol Adımları'!$D:$D,MATCH(1,INDEX(('Kontrol Adımları'!$A$1:$A$400=B43)*('Kontrol Adımları'!$B$1:$B$400=C43),0),0)),"")</f>
        <v/>
      </c>
      <c r="E43" s="5" t="inlineStr">
        <is>
          <t>ikram_tepsisi</t>
        </is>
      </c>
      <c r="F43" s="6">
        <f>IFERROR(INDEX('Kalem Kataloğu'!$C$1:$C$1000,MATCH(1,INDEX(('Kalem Kataloğu'!$A$1:$A$1000=A43)*('Kalem Kataloğu'!$B$1:$B$1000=E43),0),0)),"?")</f>
        <v/>
      </c>
      <c r="G43" s="6">
        <f>IFERROR(INDEX('Kalem Kataloğu'!$D$1:$D$1000,MATCH(1,INDEX(('Kalem Kataloğu'!$A$1:$A$1000=A43)*('Kalem Kataloğu'!$B$1:$B$1000=E43),0),0)),"?")</f>
        <v/>
      </c>
      <c r="H43" s="7" t="n">
        <v>1</v>
      </c>
      <c r="I43" s="7" t="inlineStr">
        <is>
          <t>Hayır</t>
        </is>
      </c>
      <c r="J43" s="5" t="inlineStr">
        <is>
          <t>Drive foto</t>
        </is>
      </c>
      <c r="K43" s="5" t="inlineStr">
        <is>
          <t>İçeriği ikram_tepsisi listesinde [güven: high]</t>
        </is>
      </c>
    </row>
    <row r="44">
      <c r="A44" s="5" t="inlineStr">
        <is>
          <t>Tare Suites Urla</t>
        </is>
      </c>
      <c r="B44" s="5" t="inlineStr">
        <is>
          <t>DFS</t>
        </is>
      </c>
      <c r="C44" s="7" t="n"/>
      <c r="D44" s="6">
        <f>IFERROR(INDEX('Kontrol Adımları'!$D:$D,MATCH(1,INDEX(('Kontrol Adımları'!$A$1:$A$400=B44)*('Kontrol Adımları'!$B$1:$B$400=C44),0),0)),"")</f>
        <v/>
      </c>
      <c r="E44" s="5" t="inlineStr">
        <is>
          <t>banyo_aynasi</t>
        </is>
      </c>
      <c r="F44" s="6">
        <f>IFERROR(INDEX('Kalem Kataloğu'!$C$1:$C$1000,MATCH(1,INDEX(('Kalem Kataloğu'!$A$1:$A$1000=A44)*('Kalem Kataloğu'!$B$1:$B$1000=E44),0),0)),"?")</f>
        <v/>
      </c>
      <c r="G44" s="6">
        <f>IFERROR(INDEX('Kalem Kataloğu'!$D$1:$D$1000,MATCH(1,INDEX(('Kalem Kataloğu'!$A$1:$A$1000=A44)*('Kalem Kataloğu'!$B$1:$B$1000=E44),0),0)),"?")</f>
        <v/>
      </c>
      <c r="H44" s="7" t="n">
        <v>1</v>
      </c>
      <c r="I44" s="7" t="inlineStr">
        <is>
          <t>Hayır</t>
        </is>
      </c>
      <c r="J44" s="5" t="inlineStr">
        <is>
          <t>Drive foto</t>
        </is>
      </c>
      <c r="K44" s="5" t="inlineStr">
        <is>
          <t>DSSW yuvarlak hasır çerçeveli; diğerleri ahşap çerçeveli dikdörtgen [güven: high]</t>
        </is>
      </c>
    </row>
    <row r="45">
      <c r="A45" s="5" t="inlineStr">
        <is>
          <t>Tare Suites Urla</t>
        </is>
      </c>
      <c r="B45" s="5" t="inlineStr">
        <is>
          <t>DFS</t>
        </is>
      </c>
      <c r="C45" s="7" t="n"/>
      <c r="D45" s="6">
        <f>IFERROR(INDEX('Kontrol Adımları'!$D:$D,MATCH(1,INDEX(('Kontrol Adımları'!$A$1:$A$400=B45)*('Kontrol Adımları'!$B$1:$B$400=C45),0),0)),"")</f>
        <v/>
      </c>
      <c r="E45" s="5" t="inlineStr">
        <is>
          <t>duman_dedektoru</t>
        </is>
      </c>
      <c r="F45" s="6">
        <f>IFERROR(INDEX('Kalem Kataloğu'!$C$1:$C$1000,MATCH(1,INDEX(('Kalem Kataloğu'!$A$1:$A$1000=A45)*('Kalem Kataloğu'!$B$1:$B$1000=E45),0),0)),"?")</f>
        <v/>
      </c>
      <c r="G45" s="6">
        <f>IFERROR(INDEX('Kalem Kataloğu'!$D$1:$D$1000,MATCH(1,INDEX(('Kalem Kataloğu'!$A$1:$A$1000=A45)*('Kalem Kataloğu'!$B$1:$B$1000=E45),0),0)),"?")</f>
        <v/>
      </c>
      <c r="H45" s="7" t="n">
        <v>1</v>
      </c>
      <c r="I45" s="7" t="inlineStr">
        <is>
          <t>Hayır</t>
        </is>
      </c>
      <c r="J45" s="5" t="inlineStr">
        <is>
          <t>Drive foto</t>
        </is>
      </c>
      <c r="K45" s="5" t="inlineStr">
        <is>
          <t>Tavanda; özellik dosyasında tüm tiplerde var [güven: medium]</t>
        </is>
      </c>
    </row>
    <row r="46">
      <c r="A46" s="5" t="inlineStr">
        <is>
          <t>Tare Suites Urla</t>
        </is>
      </c>
      <c r="B46" s="5" t="inlineStr">
        <is>
          <t>DFS</t>
        </is>
      </c>
      <c r="C46" s="7" t="n"/>
      <c r="D46" s="6">
        <f>IFERROR(INDEX('Kontrol Adımları'!$D:$D,MATCH(1,INDEX(('Kontrol Adımları'!$A$1:$A$400=B46)*('Kontrol Adımları'!$B$1:$B$400=C46),0),0)),"")</f>
        <v/>
      </c>
      <c r="E46" s="5" t="inlineStr">
        <is>
          <t>aplik</t>
        </is>
      </c>
      <c r="F46" s="6">
        <f>IFERROR(INDEX('Kalem Kataloğu'!$C$1:$C$1000,MATCH(1,INDEX(('Kalem Kataloğu'!$A$1:$A$1000=A46)*('Kalem Kataloğu'!$B$1:$B$1000=E46),0),0)),"?")</f>
        <v/>
      </c>
      <c r="G46" s="6">
        <f>IFERROR(INDEX('Kalem Kataloğu'!$D$1:$D$1000,MATCH(1,INDEX(('Kalem Kataloğu'!$A$1:$A$1000=A46)*('Kalem Kataloğu'!$B$1:$B$1000=E46),0),0)),"?")</f>
        <v/>
      </c>
      <c r="H46" s="7" t="n">
        <v>2</v>
      </c>
      <c r="I46" s="7" t="inlineStr">
        <is>
          <t>Hayır</t>
        </is>
      </c>
      <c r="J46" s="5" t="inlineStr">
        <is>
          <t>Drive foto</t>
        </is>
      </c>
      <c r="K46" s="5" t="inlineStr">
        <is>
          <t>Yatak başı iki yanda [güven: medium]</t>
        </is>
      </c>
    </row>
    <row r="47" ht="26.4" customHeight="1">
      <c r="A47" s="5" t="inlineStr">
        <is>
          <t>Tare Suites Urla</t>
        </is>
      </c>
      <c r="B47" s="5" t="inlineStr">
        <is>
          <t>DFS</t>
        </is>
      </c>
      <c r="C47" s="7" t="n"/>
      <c r="D47" s="6">
        <f>IFERROR(INDEX('Kontrol Adımları'!$D:$D,MATCH(1,INDEX(('Kontrol Adımları'!$A$1:$A$400=B47)*('Kontrol Adımları'!$B$1:$B$400=C47),0),0)),"")</f>
        <v/>
      </c>
      <c r="E47" s="5" t="inlineStr">
        <is>
          <t>havlu_rafi</t>
        </is>
      </c>
      <c r="F47" s="6">
        <f>IFERROR(INDEX('Kalem Kataloğu'!$C$1:$C$1000,MATCH(1,INDEX(('Kalem Kataloğu'!$A$1:$A$1000=A47)*('Kalem Kataloğu'!$B$1:$B$1000=E47),0),0)),"?")</f>
        <v/>
      </c>
      <c r="G47" s="6">
        <f>IFERROR(INDEX('Kalem Kataloğu'!$D$1:$D$1000,MATCH(1,INDEX(('Kalem Kataloğu'!$A$1:$A$1000=A47)*('Kalem Kataloğu'!$B$1:$B$1000=E47),0),0)),"?")</f>
        <v/>
      </c>
      <c r="H47" s="7" t="n">
        <v>1</v>
      </c>
      <c r="I47" s="7" t="inlineStr">
        <is>
          <t>Hayır</t>
        </is>
      </c>
      <c r="J47" s="5" t="inlineStr">
        <is>
          <t>Drive foto</t>
        </is>
      </c>
      <c r="K47" s="5" t="inlineStr">
        <is>
          <t xml:space="preserve"> [güven: high]</t>
        </is>
      </c>
    </row>
    <row r="48">
      <c r="A48" s="5" t="inlineStr">
        <is>
          <t>Tare Suites Urla</t>
        </is>
      </c>
      <c r="B48" s="5" t="inlineStr">
        <is>
          <t>DFS</t>
        </is>
      </c>
      <c r="C48" s="7" t="n"/>
      <c r="D48" s="6">
        <f>IFERROR(INDEX('Kontrol Adımları'!$D:$D,MATCH(1,INDEX(('Kontrol Adımları'!$A$1:$A$400=B48)*('Kontrol Adımları'!$B$1:$B$400=C48),0),0)),"")</f>
        <v/>
      </c>
      <c r="E48" s="5" t="inlineStr">
        <is>
          <t>tablo</t>
        </is>
      </c>
      <c r="F48" s="6">
        <f>IFERROR(INDEX('Kalem Kataloğu'!$C$1:$C$1000,MATCH(1,INDEX(('Kalem Kataloğu'!$A$1:$A$1000=A48)*('Kalem Kataloğu'!$B$1:$B$1000=E48),0),0)),"?")</f>
        <v/>
      </c>
      <c r="G48" s="6">
        <f>IFERROR(INDEX('Kalem Kataloğu'!$D$1:$D$1000,MATCH(1,INDEX(('Kalem Kataloğu'!$A$1:$A$1000=A48)*('Kalem Kataloğu'!$B$1:$B$1000=E48),0),0)),"?")</f>
        <v/>
      </c>
      <c r="H48" s="7" t="n">
        <v>1</v>
      </c>
      <c r="I48" s="7" t="inlineStr">
        <is>
          <t>Hayır</t>
        </is>
      </c>
      <c r="J48" s="5" t="inlineStr">
        <is>
          <t>Drive foto</t>
        </is>
      </c>
      <c r="K48" s="5" t="inlineStr">
        <is>
          <t xml:space="preserve"> [güven: high]</t>
        </is>
      </c>
    </row>
    <row r="49">
      <c r="A49" s="5" t="inlineStr">
        <is>
          <t>Tare Suites Urla</t>
        </is>
      </c>
      <c r="B49" s="5" t="inlineStr">
        <is>
          <t>DFS</t>
        </is>
      </c>
      <c r="C49" s="7" t="n"/>
      <c r="D49" s="6">
        <f>IFERROR(INDEX('Kontrol Adımları'!$D:$D,MATCH(1,INDEX(('Kontrol Adımları'!$A$1:$A$400=B49)*('Kontrol Adımları'!$B$1:$B$400=C49),0),0)),"")</f>
        <v/>
      </c>
      <c r="E49" s="5" t="inlineStr">
        <is>
          <t>duvar_tv</t>
        </is>
      </c>
      <c r="F49" s="6">
        <f>IFERROR(INDEX('Kalem Kataloğu'!$C$1:$C$1000,MATCH(1,INDEX(('Kalem Kataloğu'!$A$1:$A$1000=A49)*('Kalem Kataloğu'!$B$1:$B$1000=E49),0),0)),"?")</f>
        <v/>
      </c>
      <c r="G49" s="6">
        <f>IFERROR(INDEX('Kalem Kataloğu'!$D$1:$D$1000,MATCH(1,INDEX(('Kalem Kataloğu'!$A$1:$A$1000=A49)*('Kalem Kataloğu'!$B$1:$B$1000=E49),0),0)),"?")</f>
        <v/>
      </c>
      <c r="H49" s="7" t="n">
        <v>1</v>
      </c>
      <c r="I49" s="7" t="inlineStr">
        <is>
          <t>Hayır</t>
        </is>
      </c>
      <c r="J49" s="5" t="inlineStr">
        <is>
          <t>Drive foto</t>
        </is>
      </c>
      <c r="K49" s="5" t="inlineStr">
        <is>
          <t xml:space="preserve"> [güven: high]</t>
        </is>
      </c>
    </row>
    <row r="50" ht="26.4" customHeight="1">
      <c r="A50" s="5" t="inlineStr">
        <is>
          <t>Tare Suites Urla</t>
        </is>
      </c>
      <c r="B50" s="5" t="inlineStr">
        <is>
          <t>DFS</t>
        </is>
      </c>
      <c r="C50" s="7" t="n"/>
      <c r="D50" s="6">
        <f>IFERROR(INDEX('Kontrol Adımları'!$D:$D,MATCH(1,INDEX(('Kontrol Adımları'!$A$1:$A$400=B50)*('Kontrol Adımları'!$B$1:$B$400=C50),0),0)),"")</f>
        <v/>
      </c>
      <c r="E50" s="5" t="inlineStr">
        <is>
          <t>sivi_sabun_dispenser</t>
        </is>
      </c>
      <c r="F50" s="6">
        <f>IFERROR(INDEX('Kalem Kataloğu'!$C$1:$C$1000,MATCH(1,INDEX(('Kalem Kataloğu'!$A$1:$A$1000=A50)*('Kalem Kataloğu'!$B$1:$B$1000=E50),0),0)),"?")</f>
        <v/>
      </c>
      <c r="G50" s="6">
        <f>IFERROR(INDEX('Kalem Kataloğu'!$D$1:$D$1000,MATCH(1,INDEX(('Kalem Kataloğu'!$A$1:$A$1000=A50)*('Kalem Kataloğu'!$B$1:$B$1000=E50),0),0)),"?")</f>
        <v/>
      </c>
      <c r="H50" s="7" t="n"/>
      <c r="I50" s="7" t="inlineStr">
        <is>
          <t>Hayır</t>
        </is>
      </c>
      <c r="J50" s="5" t="inlineStr">
        <is>
          <t>Drive foto</t>
        </is>
      </c>
      <c r="K50" s="5" t="inlineStr">
        <is>
          <t>DS fotoğraflarında 1 adet görünüyor (sabun); şampuan/duş jeli dispenserleri duş içinde olabilir [güven: medium]</t>
        </is>
      </c>
    </row>
    <row r="51" ht="26.4" customHeight="1">
      <c r="A51" s="5" t="inlineStr">
        <is>
          <t>Tare Suites Urla</t>
        </is>
      </c>
      <c r="B51" s="5" t="inlineStr">
        <is>
          <t>DFS</t>
        </is>
      </c>
      <c r="C51" s="7" t="n"/>
      <c r="D51" s="6">
        <f>IFERROR(INDEX('Kontrol Adımları'!$D:$D,MATCH(1,INDEX(('Kontrol Adımları'!$A$1:$A$400=B51)*('Kontrol Adımları'!$B$1:$B$400=C51),0),0)),"")</f>
        <v/>
      </c>
      <c r="E51" s="5" t="inlineStr">
        <is>
          <t>dus_rafi</t>
        </is>
      </c>
      <c r="F51" s="6">
        <f>IFERROR(INDEX('Kalem Kataloğu'!$C$1:$C$1000,MATCH(1,INDEX(('Kalem Kataloğu'!$A$1:$A$1000=A51)*('Kalem Kataloğu'!$B$1:$B$1000=E51),0),0)),"?")</f>
        <v/>
      </c>
      <c r="G51" s="6">
        <f>IFERROR(INDEX('Kalem Kataloğu'!$D$1:$D$1000,MATCH(1,INDEX(('Kalem Kataloğu'!$A$1:$A$1000=A51)*('Kalem Kataloğu'!$B$1:$B$1000=E51),0),0)),"?")</f>
        <v/>
      </c>
      <c r="H51" s="7" t="n"/>
      <c r="I51" s="7" t="inlineStr">
        <is>
          <t>Hayır</t>
        </is>
      </c>
      <c r="J51" s="5" t="inlineStr">
        <is>
          <t>Drive foto</t>
        </is>
      </c>
      <c r="K51" s="5" t="inlineStr">
        <is>
          <t xml:space="preserve"> [güven: medium]</t>
        </is>
      </c>
    </row>
    <row r="52" ht="26.4" customHeight="1">
      <c r="A52" s="5" t="inlineStr">
        <is>
          <t>Tare Suites Urla</t>
        </is>
      </c>
      <c r="B52" s="5" t="inlineStr">
        <is>
          <t>DFS</t>
        </is>
      </c>
      <c r="C52" s="7" t="n"/>
      <c r="D52" s="6">
        <f>IFERROR(INDEX('Kontrol Adımları'!$D:$D,MATCH(1,INDEX(('Kontrol Adımları'!$A$1:$A$400=B52)*('Kontrol Adımları'!$B$1:$B$400=C52),0),0)),"")</f>
        <v/>
      </c>
      <c r="E52" s="5" t="inlineStr">
        <is>
          <t>dus_kabini</t>
        </is>
      </c>
      <c r="F52" s="6">
        <f>IFERROR(INDEX('Kalem Kataloğu'!$C$1:$C$1000,MATCH(1,INDEX(('Kalem Kataloğu'!$A$1:$A$1000=A52)*('Kalem Kataloğu'!$B$1:$B$1000=E52),0),0)),"?")</f>
        <v/>
      </c>
      <c r="G52" s="6">
        <f>IFERROR(INDEX('Kalem Kataloğu'!$D$1:$D$1000,MATCH(1,INDEX(('Kalem Kataloğu'!$A$1:$A$1000=A52)*('Kalem Kataloğu'!$B$1:$B$1000=E52),0),0)),"?")</f>
        <v/>
      </c>
      <c r="H52" s="7" t="n">
        <v>1</v>
      </c>
      <c r="I52" s="7" t="inlineStr">
        <is>
          <t>Hayır</t>
        </is>
      </c>
      <c r="J52" s="5" t="inlineStr">
        <is>
          <t>Drive foto</t>
        </is>
      </c>
      <c r="K52" s="5" t="inlineStr">
        <is>
          <t xml:space="preserve"> [güven: high]</t>
        </is>
      </c>
    </row>
    <row r="53" ht="26.4" customHeight="1">
      <c r="A53" s="5" t="inlineStr">
        <is>
          <t>Tare Suites Urla</t>
        </is>
      </c>
      <c r="B53" s="5" t="inlineStr">
        <is>
          <t>DFS</t>
        </is>
      </c>
      <c r="C53" s="7" t="n"/>
      <c r="D53" s="6">
        <f>IFERROR(INDEX('Kontrol Adımları'!$D:$D,MATCH(1,INDEX(('Kontrol Adımları'!$A$1:$A$400=B53)*('Kontrol Adımları'!$B$1:$B$400=C53),0),0)),"")</f>
        <v/>
      </c>
      <c r="E53" s="5" t="inlineStr">
        <is>
          <t>gardirop</t>
        </is>
      </c>
      <c r="F53" s="6">
        <f>IFERROR(INDEX('Kalem Kataloğu'!$C$1:$C$1000,MATCH(1,INDEX(('Kalem Kataloğu'!$A$1:$A$1000=A53)*('Kalem Kataloğu'!$B$1:$B$1000=E53),0),0)),"?")</f>
        <v/>
      </c>
      <c r="G53" s="6">
        <f>IFERROR(INDEX('Kalem Kataloğu'!$D$1:$D$1000,MATCH(1,INDEX(('Kalem Kataloğu'!$A$1:$A$1000=A53)*('Kalem Kataloğu'!$B$1:$B$1000=E53),0),0)),"?")</f>
        <v/>
      </c>
      <c r="H53" s="7" t="n"/>
      <c r="I53" s="7" t="inlineStr">
        <is>
          <t>Hayır</t>
        </is>
      </c>
      <c r="J53" s="5" t="inlineStr">
        <is>
          <t>Drive foto</t>
        </is>
      </c>
      <c r="K53" s="5" t="inlineStr">
        <is>
          <t>Özellik dosyasında tüm tiplerde var; yalnız EXSB fotoğrafında görünüyor [güven: medium]</t>
        </is>
      </c>
    </row>
    <row r="54">
      <c r="A54" s="5" t="inlineStr">
        <is>
          <t>Tare Suites Urla</t>
        </is>
      </c>
      <c r="B54" s="5" t="inlineStr">
        <is>
          <t>DFS</t>
        </is>
      </c>
      <c r="C54" s="7" t="n"/>
      <c r="D54" s="6">
        <f>IFERROR(INDEX('Kontrol Adımları'!$D:$D,MATCH(1,INDEX(('Kontrol Adımları'!$A$1:$A$400=B54)*('Kontrol Adımları'!$B$1:$B$400=C54),0),0)),"")</f>
        <v/>
      </c>
      <c r="E54" s="5" t="inlineStr">
        <is>
          <t>komodin</t>
        </is>
      </c>
      <c r="F54" s="6">
        <f>IFERROR(INDEX('Kalem Kataloğu'!$C$1:$C$1000,MATCH(1,INDEX(('Kalem Kataloğu'!$A$1:$A$1000=A54)*('Kalem Kataloğu'!$B$1:$B$1000=E54),0),0)),"?")</f>
        <v/>
      </c>
      <c r="G54" s="6">
        <f>IFERROR(INDEX('Kalem Kataloğu'!$D$1:$D$1000,MATCH(1,INDEX(('Kalem Kataloğu'!$A$1:$A$1000=A54)*('Kalem Kataloğu'!$B$1:$B$1000=E54),0),0)),"?")</f>
        <v/>
      </c>
      <c r="H54" s="7" t="n">
        <v>2</v>
      </c>
      <c r="I54" s="7" t="inlineStr">
        <is>
          <t>Hayır</t>
        </is>
      </c>
      <c r="J54" s="5" t="inlineStr">
        <is>
          <t>Drive foto</t>
        </is>
      </c>
      <c r="K54" s="5" t="inlineStr">
        <is>
          <t>DSSW fotoğrafında yalnız bir yan görünüyor; muhtemelen 2 [güven: medium]</t>
        </is>
      </c>
    </row>
    <row r="55">
      <c r="A55" s="5" t="inlineStr">
        <is>
          <t>Tare Suites Urla</t>
        </is>
      </c>
      <c r="B55" s="5" t="inlineStr">
        <is>
          <t>DFS</t>
        </is>
      </c>
      <c r="C55" s="7" t="n"/>
      <c r="D55" s="6">
        <f>IFERROR(INDEX('Kontrol Adımları'!$D:$D,MATCH(1,INDEX(('Kontrol Adımları'!$A$1:$A$400=B55)*('Kontrol Adımları'!$B$1:$B$400=C55),0),0)),"")</f>
        <v/>
      </c>
      <c r="E55" s="5" t="inlineStr">
        <is>
          <t>calisma_masasi_ayna</t>
        </is>
      </c>
      <c r="F55" s="6">
        <f>IFERROR(INDEX('Kalem Kataloğu'!$C$1:$C$1000,MATCH(1,INDEX(('Kalem Kataloğu'!$A$1:$A$1000=A55)*('Kalem Kataloğu'!$B$1:$B$1000=E55),0),0)),"?")</f>
        <v/>
      </c>
      <c r="G55" s="6">
        <f>IFERROR(INDEX('Kalem Kataloğu'!$D$1:$D$1000,MATCH(1,INDEX(('Kalem Kataloğu'!$A$1:$A$1000=A55)*('Kalem Kataloğu'!$B$1:$B$1000=E55),0),0)),"?")</f>
        <v/>
      </c>
      <c r="H55" s="7" t="n">
        <v>1</v>
      </c>
      <c r="I55" s="7" t="inlineStr">
        <is>
          <t>Hayır</t>
        </is>
      </c>
      <c r="J55" s="5" t="inlineStr">
        <is>
          <t>Drive foto</t>
        </is>
      </c>
      <c r="K55" s="5" t="inlineStr">
        <is>
          <t xml:space="preserve"> [güven: high]</t>
        </is>
      </c>
    </row>
    <row r="56" ht="39.6" customHeight="1">
      <c r="A56" s="5" t="inlineStr">
        <is>
          <t>Tare Suites Urla</t>
        </is>
      </c>
      <c r="B56" s="5" t="inlineStr">
        <is>
          <t>DFS</t>
        </is>
      </c>
      <c r="C56" s="7" t="n"/>
      <c r="D56" s="6">
        <f>IFERROR(INDEX('Kontrol Adımları'!$D:$D,MATCH(1,INDEX(('Kontrol Adımları'!$A$1:$A$400=B56)*('Kontrol Adımları'!$B$1:$B$400=C56),0),0)),"")</f>
        <v/>
      </c>
      <c r="E56" s="5" t="inlineStr">
        <is>
          <t>lavabo_dolabi</t>
        </is>
      </c>
      <c r="F56" s="6">
        <f>IFERROR(INDEX('Kalem Kataloğu'!$C$1:$C$1000,MATCH(1,INDEX(('Kalem Kataloğu'!$A$1:$A$1000=A56)*('Kalem Kataloğu'!$B$1:$B$1000=E56),0),0)),"?")</f>
        <v/>
      </c>
      <c r="G56" s="6">
        <f>IFERROR(INDEX('Kalem Kataloğu'!$D$1:$D$1000,MATCH(1,INDEX(('Kalem Kataloğu'!$A$1:$A$1000=A56)*('Kalem Kataloğu'!$B$1:$B$1000=E56),0),0)),"?")</f>
        <v/>
      </c>
      <c r="H56" s="7" t="n">
        <v>1</v>
      </c>
      <c r="I56" s="7" t="inlineStr">
        <is>
          <t>Hayır</t>
        </is>
      </c>
      <c r="J56" s="5" t="inlineStr">
        <is>
          <t>Drive foto</t>
        </is>
      </c>
      <c r="K56" s="5" t="inlineStr">
        <is>
          <t xml:space="preserve"> [güven: high]</t>
        </is>
      </c>
    </row>
    <row r="57" ht="26.4" customHeight="1">
      <c r="A57" s="5" t="inlineStr">
        <is>
          <t>Tare Suites Urla</t>
        </is>
      </c>
      <c r="B57" s="5" t="inlineStr">
        <is>
          <t>DFS</t>
        </is>
      </c>
      <c r="C57" s="7" t="n"/>
      <c r="D57" s="6">
        <f>IFERROR(INDEX('Kontrol Adımları'!$D:$D,MATCH(1,INDEX(('Kontrol Adımları'!$A$1:$A$400=B57)*('Kontrol Adımları'!$B$1:$B$400=C57),0),0)),"")</f>
        <v/>
      </c>
      <c r="E57" s="5" t="inlineStr">
        <is>
          <t>mini_buzdolabi</t>
        </is>
      </c>
      <c r="F57" s="6">
        <f>IFERROR(INDEX('Kalem Kataloğu'!$C$1:$C$1000,MATCH(1,INDEX(('Kalem Kataloğu'!$A$1:$A$1000=A57)*('Kalem Kataloğu'!$B$1:$B$1000=E57),0),0)),"?")</f>
        <v/>
      </c>
      <c r="G57" s="6">
        <f>IFERROR(INDEX('Kalem Kataloğu'!$D$1:$D$1000,MATCH(1,INDEX(('Kalem Kataloğu'!$A$1:$A$1000=A57)*('Kalem Kataloğu'!$B$1:$B$1000=E57),0),0)),"?")</f>
        <v/>
      </c>
      <c r="H57" s="7" t="n"/>
      <c r="I57" s="7" t="inlineStr">
        <is>
          <t>Hayır</t>
        </is>
      </c>
      <c r="J57" s="5" t="inlineStr">
        <is>
          <t>Drive foto</t>
        </is>
      </c>
      <c r="K57" s="5" t="inlineStr">
        <is>
          <t>Özellik dosyasında Urla Suites için Buzdolabı "-" ama fotoğraflarda masa altında mini buzdolabı var — teyit [güven: high]</t>
        </is>
      </c>
    </row>
    <row r="58" ht="26.4" customHeight="1">
      <c r="A58" s="5" t="inlineStr">
        <is>
          <t>Tare Suites Urla</t>
        </is>
      </c>
      <c r="B58" s="5" t="inlineStr">
        <is>
          <t>DFS</t>
        </is>
      </c>
      <c r="C58" s="7" t="n"/>
      <c r="D58" s="6">
        <f>IFERROR(INDEX('Kontrol Adımları'!$D:$D,MATCH(1,INDEX(('Kontrol Adımları'!$A$1:$A$400=B58)*('Kontrol Adımları'!$B$1:$B$400=C58),0),0)),"")</f>
        <v/>
      </c>
      <c r="E58" s="5" t="inlineStr">
        <is>
          <t>banyo_cop_kovasi</t>
        </is>
      </c>
      <c r="F58" s="6">
        <f>IFERROR(INDEX('Kalem Kataloğu'!$C$1:$C$1000,MATCH(1,INDEX(('Kalem Kataloğu'!$A$1:$A$1000=A58)*('Kalem Kataloğu'!$B$1:$B$1000=E58),0),0)),"?")</f>
        <v/>
      </c>
      <c r="G58" s="6">
        <f>IFERROR(INDEX('Kalem Kataloğu'!$D$1:$D$1000,MATCH(1,INDEX(('Kalem Kataloğu'!$A$1:$A$1000=A58)*('Kalem Kataloğu'!$B$1:$B$1000=E58),0),0)),"?")</f>
        <v/>
      </c>
      <c r="H58" s="7" t="n"/>
      <c r="I58" s="7" t="inlineStr">
        <is>
          <t>Hayır</t>
        </is>
      </c>
      <c r="J58" s="5" t="inlineStr">
        <is>
          <t>Drive foto</t>
        </is>
      </c>
      <c r="K58" s="5" t="inlineStr">
        <is>
          <t xml:space="preserve"> [güven: medium]</t>
        </is>
      </c>
    </row>
    <row r="59" ht="26.4" customHeight="1">
      <c r="A59" s="5" t="inlineStr">
        <is>
          <t>Tare Suites Urla</t>
        </is>
      </c>
      <c r="B59" s="5" t="inlineStr">
        <is>
          <t>DFS</t>
        </is>
      </c>
      <c r="C59" s="7" t="n"/>
      <c r="D59" s="6">
        <f>IFERROR(INDEX('Kontrol Adımları'!$D:$D,MATCH(1,INDEX(('Kontrol Adımları'!$A$1:$A$400=B59)*('Kontrol Adımları'!$B$1:$B$400=C59),0),0)),"")</f>
        <v/>
      </c>
      <c r="E59" s="5" t="inlineStr">
        <is>
          <t>sandalye</t>
        </is>
      </c>
      <c r="F59" s="6">
        <f>IFERROR(INDEX('Kalem Kataloğu'!$C$1:$C$1000,MATCH(1,INDEX(('Kalem Kataloğu'!$A$1:$A$1000=A59)*('Kalem Kataloğu'!$B$1:$B$1000=E59),0),0)),"?")</f>
        <v/>
      </c>
      <c r="G59" s="6">
        <f>IFERROR(INDEX('Kalem Kataloğu'!$D$1:$D$1000,MATCH(1,INDEX(('Kalem Kataloğu'!$A$1:$A$1000=A59)*('Kalem Kataloğu'!$B$1:$B$1000=E59),0),0)),"?")</f>
        <v/>
      </c>
      <c r="H59" s="7" t="n">
        <v>2</v>
      </c>
      <c r="I59" s="7" t="inlineStr">
        <is>
          <t>Hayır</t>
        </is>
      </c>
      <c r="J59" s="5" t="inlineStr">
        <is>
          <t>Drive foto</t>
        </is>
      </c>
      <c r="K59" s="5" t="inlineStr">
        <is>
          <t xml:space="preserve"> [güven: high]</t>
        </is>
      </c>
    </row>
    <row r="60" ht="26.4" customHeight="1">
      <c r="A60" s="5" t="inlineStr">
        <is>
          <t>Tare Suites Urla</t>
        </is>
      </c>
      <c r="B60" s="5" t="inlineStr">
        <is>
          <t>DFS</t>
        </is>
      </c>
      <c r="C60" s="7" t="n"/>
      <c r="D60" s="6">
        <f>IFERROR(INDEX('Kontrol Adımları'!$D:$D,MATCH(1,INDEX(('Kontrol Adımları'!$A$1:$A$400=B60)*('Kontrol Adımları'!$B$1:$B$400=C60),0),0)),"")</f>
        <v/>
      </c>
      <c r="E60" s="5" t="inlineStr">
        <is>
          <t>sac_kurutma</t>
        </is>
      </c>
      <c r="F60" s="6">
        <f>IFERROR(INDEX('Kalem Kataloğu'!$C$1:$C$1000,MATCH(1,INDEX(('Kalem Kataloğu'!$A$1:$A$1000=A60)*('Kalem Kataloğu'!$B$1:$B$1000=E60),0),0)),"?")</f>
        <v/>
      </c>
      <c r="G60" s="6">
        <f>IFERROR(INDEX('Kalem Kataloğu'!$D$1:$D$1000,MATCH(1,INDEX(('Kalem Kataloğu'!$A$1:$A$1000=A60)*('Kalem Kataloğu'!$B$1:$B$1000=E60),0),0)),"?")</f>
        <v/>
      </c>
      <c r="H60" s="7" t="n"/>
      <c r="I60" s="7" t="inlineStr">
        <is>
          <t>Hayır</t>
        </is>
      </c>
      <c r="J60" s="5" t="inlineStr">
        <is>
          <t>Drive foto</t>
        </is>
      </c>
      <c r="K60" s="5" t="inlineStr">
        <is>
          <t>Özellik dosyasında tüm tiplerde var; yalnız EDR fotoğrafında görünüyor [güven: medium]</t>
        </is>
      </c>
    </row>
    <row r="61" ht="26.4" customHeight="1">
      <c r="A61" s="5" t="inlineStr">
        <is>
          <t>Tare Suites Urla</t>
        </is>
      </c>
      <c r="B61" s="5" t="inlineStr">
        <is>
          <t>DFS</t>
        </is>
      </c>
      <c r="C61" s="7" t="n"/>
      <c r="D61" s="6">
        <f>IFERROR(INDEX('Kontrol Adımları'!$D:$D,MATCH(1,INDEX(('Kontrol Adımları'!$A$1:$A$400=B61)*('Kontrol Adımları'!$B$1:$B$400=C61),0),0)),"")</f>
        <v/>
      </c>
      <c r="E61" s="5" t="inlineStr">
        <is>
          <t>klima</t>
        </is>
      </c>
      <c r="F61" s="6">
        <f>IFERROR(INDEX('Kalem Kataloğu'!$C$1:$C$1000,MATCH(1,INDEX(('Kalem Kataloğu'!$A$1:$A$1000=A61)*('Kalem Kataloğu'!$B$1:$B$1000=E61),0),0)),"?")</f>
        <v/>
      </c>
      <c r="G61" s="6">
        <f>IFERROR(INDEX('Kalem Kataloğu'!$D$1:$D$1000,MATCH(1,INDEX(('Kalem Kataloğu'!$A$1:$A$1000=A61)*('Kalem Kataloğu'!$B$1:$B$1000=E61),0),0)),"?")</f>
        <v/>
      </c>
      <c r="H61" s="7" t="n">
        <v>1</v>
      </c>
      <c r="I61" s="7" t="inlineStr">
        <is>
          <t>Hayır</t>
        </is>
      </c>
      <c r="J61" s="5" t="inlineStr">
        <is>
          <t>Drive foto</t>
        </is>
      </c>
      <c r="K61" s="5" t="inlineStr">
        <is>
          <t xml:space="preserve"> [güven: high]</t>
        </is>
      </c>
    </row>
    <row r="62" ht="26.4" customHeight="1">
      <c r="A62" s="5" t="inlineStr">
        <is>
          <t>Tare Suites Urla</t>
        </is>
      </c>
      <c r="B62" s="5" t="inlineStr">
        <is>
          <t>DFS</t>
        </is>
      </c>
      <c r="C62" s="7" t="n"/>
      <c r="D62" s="6">
        <f>IFERROR(INDEX('Kontrol Adımları'!$D:$D,MATCH(1,INDEX(('Kontrol Adımları'!$A$1:$A$400=B62)*('Kontrol Adımları'!$B$1:$B$400=C62),0),0)),"")</f>
        <v/>
      </c>
      <c r="E62" s="5" t="inlineStr">
        <is>
          <t>kettle</t>
        </is>
      </c>
      <c r="F62" s="6">
        <f>IFERROR(INDEX('Kalem Kataloğu'!$C$1:$C$1000,MATCH(1,INDEX(('Kalem Kataloğu'!$A$1:$A$1000=A62)*('Kalem Kataloğu'!$B$1:$B$1000=E62),0),0)),"?")</f>
        <v/>
      </c>
      <c r="G62" s="6">
        <f>IFERROR(INDEX('Kalem Kataloğu'!$D$1:$D$1000,MATCH(1,INDEX(('Kalem Kataloğu'!$A$1:$A$1000=A62)*('Kalem Kataloğu'!$B$1:$B$1000=E62),0),0)),"?")</f>
        <v/>
      </c>
      <c r="H62" s="7" t="n">
        <v>1</v>
      </c>
      <c r="I62" s="7" t="inlineStr">
        <is>
          <t>Hayır</t>
        </is>
      </c>
      <c r="J62" s="5" t="inlineStr">
        <is>
          <t>Drive foto</t>
        </is>
      </c>
      <c r="K62" s="5" t="inlineStr">
        <is>
          <t xml:space="preserve"> [güven: high]</t>
        </is>
      </c>
    </row>
    <row r="63" ht="26.4" customHeight="1">
      <c r="A63" s="5" t="inlineStr">
        <is>
          <t>Tare Suites Urla</t>
        </is>
      </c>
      <c r="B63" s="5" t="inlineStr">
        <is>
          <t>DFS</t>
        </is>
      </c>
      <c r="C63" s="7" t="n"/>
      <c r="D63" s="6">
        <f>IFERROR(INDEX('Kontrol Adımları'!$D:$D,MATCH(1,INDEX(('Kontrol Adımları'!$A$1:$A$400=B63)*('Kontrol Adımları'!$B$1:$B$400=C63),0),0)),"")</f>
        <v/>
      </c>
      <c r="E63" s="5" t="inlineStr">
        <is>
          <t>tuvalet_kagidi_aparati</t>
        </is>
      </c>
      <c r="F63" s="6">
        <f>IFERROR(INDEX('Kalem Kataloğu'!$C$1:$C$1000,MATCH(1,INDEX(('Kalem Kataloğu'!$A$1:$A$1000=A63)*('Kalem Kataloğu'!$B$1:$B$1000=E63),0),0)),"?")</f>
        <v/>
      </c>
      <c r="G63" s="6">
        <f>IFERROR(INDEX('Kalem Kataloğu'!$D$1:$D$1000,MATCH(1,INDEX(('Kalem Kataloğu'!$A$1:$A$1000=A63)*('Kalem Kataloğu'!$B$1:$B$1000=E63),0),0)),"?")</f>
        <v/>
      </c>
      <c r="H63" s="7" t="n">
        <v>1</v>
      </c>
      <c r="I63" s="7" t="inlineStr">
        <is>
          <t>Hayır</t>
        </is>
      </c>
      <c r="J63" s="5" t="inlineStr">
        <is>
          <t>Drive foto</t>
        </is>
      </c>
      <c r="K63" s="5" t="inlineStr">
        <is>
          <t xml:space="preserve"> [güven: high]</t>
        </is>
      </c>
    </row>
    <row r="64" ht="26.4" customHeight="1">
      <c r="A64" s="5" t="inlineStr">
        <is>
          <t>Tare Suites Urla</t>
        </is>
      </c>
      <c r="B64" s="5" t="inlineStr">
        <is>
          <t>DFS</t>
        </is>
      </c>
      <c r="C64" s="7" t="n"/>
      <c r="D64" s="6">
        <f>IFERROR(INDEX('Kontrol Adımları'!$D:$D,MATCH(1,INDEX(('Kontrol Adımları'!$A$1:$A$400=B64)*('Kontrol Adımları'!$B$1:$B$400=C64),0),0)),"")</f>
        <v/>
      </c>
      <c r="E64" s="5" t="inlineStr">
        <is>
          <t>wc_fircasi</t>
        </is>
      </c>
      <c r="F64" s="6">
        <f>IFERROR(INDEX('Kalem Kataloğu'!$C$1:$C$1000,MATCH(1,INDEX(('Kalem Kataloğu'!$A$1:$A$1000=A64)*('Kalem Kataloğu'!$B$1:$B$1000=E64),0),0)),"?")</f>
        <v/>
      </c>
      <c r="G64" s="6">
        <f>IFERROR(INDEX('Kalem Kataloğu'!$D$1:$D$1000,MATCH(1,INDEX(('Kalem Kataloğu'!$A$1:$A$1000=A64)*('Kalem Kataloğu'!$B$1:$B$1000=E64),0),0)),"?")</f>
        <v/>
      </c>
      <c r="H64" s="7" t="n"/>
      <c r="I64" s="7" t="inlineStr">
        <is>
          <t>Hayır</t>
        </is>
      </c>
      <c r="J64" s="5" t="inlineStr">
        <is>
          <t>Drive foto</t>
        </is>
      </c>
      <c r="K64" s="5" t="inlineStr">
        <is>
          <t xml:space="preserve"> [güven: medium]</t>
        </is>
      </c>
    </row>
    <row r="65">
      <c r="A65" s="5" t="inlineStr">
        <is>
          <t>Tare Suites Urla</t>
        </is>
      </c>
      <c r="B65" s="5" t="inlineStr">
        <is>
          <t>DFS</t>
        </is>
      </c>
      <c r="C65" s="7" t="n"/>
      <c r="D65" s="6">
        <f>IFERROR(INDEX('Kontrol Adımları'!$D:$D,MATCH(1,INDEX(('Kontrol Adımları'!$A$1:$A$400=B65)*('Kontrol Adımları'!$B$1:$B$400=C65),0),0)),"")</f>
        <v/>
      </c>
      <c r="E65" s="5" t="inlineStr">
        <is>
          <t>yastik</t>
        </is>
      </c>
      <c r="F65" s="6">
        <f>IFERROR(INDEX('Kalem Kataloğu'!$C$1:$C$1000,MATCH(1,INDEX(('Kalem Kataloğu'!$A$1:$A$1000=A65)*('Kalem Kataloğu'!$B$1:$B$1000=E65),0),0)),"?")</f>
        <v/>
      </c>
      <c r="G65" s="6">
        <f>IFERROR(INDEX('Kalem Kataloğu'!$D$1:$D$1000,MATCH(1,INDEX(('Kalem Kataloğu'!$A$1:$A$1000=A65)*('Kalem Kataloğu'!$B$1:$B$1000=E65),0),0)),"?")</f>
        <v/>
      </c>
      <c r="H65" s="7" t="n">
        <v>4</v>
      </c>
      <c r="I65" s="7" t="inlineStr">
        <is>
          <t>Hayır</t>
        </is>
      </c>
      <c r="J65" s="5" t="inlineStr">
        <is>
          <t>Drive foto</t>
        </is>
      </c>
      <c r="K65" s="5" t="inlineStr">
        <is>
          <t>Yatak başına görünen; EDR/EXSB/DFS 2+2 dizilmiş, DSSW/DS 2. Standart olarak teyit edilmeli [güven: medium]</t>
        </is>
      </c>
    </row>
    <row r="66" ht="26.4" customHeight="1">
      <c r="A66" s="5" t="inlineStr">
        <is>
          <t>Tare Suites Urla</t>
        </is>
      </c>
      <c r="B66" s="5" t="inlineStr">
        <is>
          <t>DFS</t>
        </is>
      </c>
      <c r="C66" s="7" t="n"/>
      <c r="D66" s="6">
        <f>IFERROR(INDEX('Kontrol Adımları'!$D:$D,MATCH(1,INDEX(('Kontrol Adımları'!$A$1:$A$400=B66)*('Kontrol Adımları'!$B$1:$B$400=C66),0),0)),"")</f>
        <v/>
      </c>
      <c r="E66" s="5" t="inlineStr">
        <is>
          <t>masa_sandalye_seti</t>
        </is>
      </c>
      <c r="F66" s="6">
        <f>IFERROR(INDEX('Kalem Kataloğu'!$C$1:$C$1000,MATCH(1,INDEX(('Kalem Kataloğu'!$A$1:$A$1000=A66)*('Kalem Kataloğu'!$B$1:$B$1000=E66),0),0)),"?")</f>
        <v/>
      </c>
      <c r="G66" s="6">
        <f>IFERROR(INDEX('Kalem Kataloğu'!$D$1:$D$1000,MATCH(1,INDEX(('Kalem Kataloğu'!$A$1:$A$1000=A66)*('Kalem Kataloğu'!$B$1:$B$1000=E66),0),0)),"?")</f>
        <v/>
      </c>
      <c r="H66" s="7" t="n">
        <v>1</v>
      </c>
      <c r="I66" s="7" t="inlineStr">
        <is>
          <t>Hayır</t>
        </is>
      </c>
      <c r="J66" s="5" t="inlineStr">
        <is>
          <t>Drive foto</t>
        </is>
      </c>
      <c r="K66" s="5" t="inlineStr">
        <is>
          <t>EDR fotoğraflarında oturma grubu yok (özellik dosyasıyla uyumlu) [güven: high]</t>
        </is>
      </c>
    </row>
    <row r="67">
      <c r="A67" s="5" t="inlineStr">
        <is>
          <t>Tare Suites Urla</t>
        </is>
      </c>
      <c r="B67" s="5" t="inlineStr">
        <is>
          <t>DFS</t>
        </is>
      </c>
      <c r="C67" s="7" t="n"/>
      <c r="D67" s="6">
        <f>IFERROR(INDEX('Kontrol Adımları'!$D:$D,MATCH(1,INDEX(('Kontrol Adımları'!$A$1:$A$400=B67)*('Kontrol Adımları'!$B$1:$B$400=C67),0),0)),"")</f>
        <v/>
      </c>
      <c r="E67" s="5" t="inlineStr">
        <is>
          <t>cift_kisilik_yatak</t>
        </is>
      </c>
      <c r="F67" s="6">
        <f>IFERROR(INDEX('Kalem Kataloğu'!$C$1:$C$1000,MATCH(1,INDEX(('Kalem Kataloğu'!$A$1:$A$1000=A67)*('Kalem Kataloğu'!$B$1:$B$1000=E67),0),0)),"?")</f>
        <v/>
      </c>
      <c r="G67" s="6">
        <f>IFERROR(INDEX('Kalem Kataloğu'!$D$1:$D$1000,MATCH(1,INDEX(('Kalem Kataloğu'!$A$1:$A$1000=A67)*('Kalem Kataloğu'!$B$1:$B$1000=E67),0),0)),"?")</f>
        <v/>
      </c>
      <c r="H67" s="7" t="n">
        <v>1</v>
      </c>
      <c r="I67" s="7" t="inlineStr">
        <is>
          <t>Hayır</t>
        </is>
      </c>
      <c r="J67" s="5" t="inlineStr">
        <is>
          <t>Drive foto</t>
        </is>
      </c>
      <c r="K67" s="5" t="inlineStr">
        <is>
          <t>DFS dubleks: üst katta (asma kat) ek yatak alanı olabilir, fotoğrafta net değil [güven: high]</t>
        </is>
      </c>
    </row>
    <row r="68" ht="39.6" customHeight="1">
      <c r="A68" s="5" t="inlineStr">
        <is>
          <t>Tare Suites Urla</t>
        </is>
      </c>
      <c r="B68" s="5" t="inlineStr">
        <is>
          <t>DS</t>
        </is>
      </c>
      <c r="C68" s="7" t="n"/>
      <c r="D68" s="6">
        <f>IFERROR(INDEX('Kontrol Adımları'!$D:$D,MATCH(1,INDEX(('Kontrol Adımları'!$A$1:$A$400=B68)*('Kontrol Adımları'!$B$1:$B$400=C68),0),0)),"")</f>
        <v/>
      </c>
      <c r="E68" s="5" t="inlineStr">
        <is>
          <t>asma_klozet</t>
        </is>
      </c>
      <c r="F68" s="6">
        <f>IFERROR(INDEX('Kalem Kataloğu'!$C$1:$C$1000,MATCH(1,INDEX(('Kalem Kataloğu'!$A$1:$A$1000=A68)*('Kalem Kataloğu'!$B$1:$B$1000=E68),0),0)),"?")</f>
        <v/>
      </c>
      <c r="G68" s="6">
        <f>IFERROR(INDEX('Kalem Kataloğu'!$D$1:$D$1000,MATCH(1,INDEX(('Kalem Kataloğu'!$A$1:$A$1000=A68)*('Kalem Kataloğu'!$B$1:$B$1000=E68),0),0)),"?")</f>
        <v/>
      </c>
      <c r="H68" s="7" t="n">
        <v>1</v>
      </c>
      <c r="I68" s="7" t="inlineStr">
        <is>
          <t>Hayır</t>
        </is>
      </c>
      <c r="J68" s="5" t="inlineStr">
        <is>
          <t>Drive foto</t>
        </is>
      </c>
      <c r="K68" s="5" t="inlineStr">
        <is>
          <t xml:space="preserve"> [güven: high]</t>
        </is>
      </c>
    </row>
    <row r="69" ht="26.4" customHeight="1">
      <c r="A69" s="5" t="inlineStr">
        <is>
          <t>Tare Suites Urla</t>
        </is>
      </c>
      <c r="B69" s="5" t="inlineStr">
        <is>
          <t>DS</t>
        </is>
      </c>
      <c r="C69" s="7" t="n"/>
      <c r="D69" s="6">
        <f>IFERROR(INDEX('Kontrol Adımları'!$D:$D,MATCH(1,INDEX(('Kontrol Adımları'!$A$1:$A$400=B69)*('Kontrol Adımları'!$B$1:$B$400=C69),0),0)),"")</f>
        <v/>
      </c>
      <c r="E69" s="5" t="inlineStr">
        <is>
          <t>ikram_tepsisi</t>
        </is>
      </c>
      <c r="F69" s="6">
        <f>IFERROR(INDEX('Kalem Kataloğu'!$C$1:$C$1000,MATCH(1,INDEX(('Kalem Kataloğu'!$A$1:$A$1000=A69)*('Kalem Kataloğu'!$B$1:$B$1000=E69),0),0)),"?")</f>
        <v/>
      </c>
      <c r="G69" s="6">
        <f>IFERROR(INDEX('Kalem Kataloğu'!$D$1:$D$1000,MATCH(1,INDEX(('Kalem Kataloğu'!$A$1:$A$1000=A69)*('Kalem Kataloğu'!$B$1:$B$1000=E69),0),0)),"?")</f>
        <v/>
      </c>
      <c r="H69" s="7" t="n">
        <v>1</v>
      </c>
      <c r="I69" s="7" t="inlineStr">
        <is>
          <t>Hayır</t>
        </is>
      </c>
      <c r="J69" s="5" t="inlineStr">
        <is>
          <t>Drive foto</t>
        </is>
      </c>
      <c r="K69" s="5" t="inlineStr">
        <is>
          <t>İçeriği ikram_tepsisi listesinde [güven: high]</t>
        </is>
      </c>
    </row>
    <row r="70" ht="26.4" customHeight="1">
      <c r="A70" s="5" t="inlineStr">
        <is>
          <t>Tare Suites Urla</t>
        </is>
      </c>
      <c r="B70" s="5" t="inlineStr">
        <is>
          <t>DS</t>
        </is>
      </c>
      <c r="C70" s="7" t="n"/>
      <c r="D70" s="6">
        <f>IFERROR(INDEX('Kontrol Adımları'!$D:$D,MATCH(1,INDEX(('Kontrol Adımları'!$A$1:$A$400=B70)*('Kontrol Adımları'!$B$1:$B$400=C70),0),0)),"")</f>
        <v/>
      </c>
      <c r="E70" s="5" t="inlineStr">
        <is>
          <t>banyo_aynasi</t>
        </is>
      </c>
      <c r="F70" s="6">
        <f>IFERROR(INDEX('Kalem Kataloğu'!$C$1:$C$1000,MATCH(1,INDEX(('Kalem Kataloğu'!$A$1:$A$1000=A70)*('Kalem Kataloğu'!$B$1:$B$1000=E70),0),0)),"?")</f>
        <v/>
      </c>
      <c r="G70" s="6">
        <f>IFERROR(INDEX('Kalem Kataloğu'!$D$1:$D$1000,MATCH(1,INDEX(('Kalem Kataloğu'!$A$1:$A$1000=A70)*('Kalem Kataloğu'!$B$1:$B$1000=E70),0),0)),"?")</f>
        <v/>
      </c>
      <c r="H70" s="7" t="n">
        <v>1</v>
      </c>
      <c r="I70" s="7" t="inlineStr">
        <is>
          <t>Hayır</t>
        </is>
      </c>
      <c r="J70" s="5" t="inlineStr">
        <is>
          <t>Drive foto</t>
        </is>
      </c>
      <c r="K70" s="5" t="inlineStr">
        <is>
          <t>DSSW yuvarlak hasır çerçeveli; diğerleri ahşap çerçeveli dikdörtgen [güven: high]</t>
        </is>
      </c>
    </row>
    <row r="71" ht="26.4" customHeight="1">
      <c r="A71" s="5" t="inlineStr">
        <is>
          <t>Tare Suites Urla</t>
        </is>
      </c>
      <c r="B71" s="5" t="inlineStr">
        <is>
          <t>DS</t>
        </is>
      </c>
      <c r="C71" s="7" t="n"/>
      <c r="D71" s="6">
        <f>IFERROR(INDEX('Kontrol Adımları'!$D:$D,MATCH(1,INDEX(('Kontrol Adımları'!$A$1:$A$400=B71)*('Kontrol Adımları'!$B$1:$B$400=C71),0),0)),"")</f>
        <v/>
      </c>
      <c r="E71" s="5" t="inlineStr">
        <is>
          <t>duman_dedektoru</t>
        </is>
      </c>
      <c r="F71" s="6">
        <f>IFERROR(INDEX('Kalem Kataloğu'!$C$1:$C$1000,MATCH(1,INDEX(('Kalem Kataloğu'!$A$1:$A$1000=A71)*('Kalem Kataloğu'!$B$1:$B$1000=E71),0),0)),"?")</f>
        <v/>
      </c>
      <c r="G71" s="6">
        <f>IFERROR(INDEX('Kalem Kataloğu'!$D$1:$D$1000,MATCH(1,INDEX(('Kalem Kataloğu'!$A$1:$A$1000=A71)*('Kalem Kataloğu'!$B$1:$B$1000=E71),0),0)),"?")</f>
        <v/>
      </c>
      <c r="H71" s="7" t="n">
        <v>1</v>
      </c>
      <c r="I71" s="7" t="inlineStr">
        <is>
          <t>Hayır</t>
        </is>
      </c>
      <c r="J71" s="5" t="inlineStr">
        <is>
          <t>Drive foto</t>
        </is>
      </c>
      <c r="K71" s="5" t="inlineStr">
        <is>
          <t>Tavanda; özellik dosyasında tüm tiplerde var [güven: medium]</t>
        </is>
      </c>
    </row>
    <row r="72">
      <c r="A72" s="5" t="inlineStr">
        <is>
          <t>Tare Suites Urla</t>
        </is>
      </c>
      <c r="B72" s="5" t="inlineStr">
        <is>
          <t>DS</t>
        </is>
      </c>
      <c r="C72" s="7" t="n"/>
      <c r="D72" s="6">
        <f>IFERROR(INDEX('Kontrol Adımları'!$D:$D,MATCH(1,INDEX(('Kontrol Adımları'!$A$1:$A$400=B72)*('Kontrol Adımları'!$B$1:$B$400=C72),0),0)),"")</f>
        <v/>
      </c>
      <c r="E72" s="5" t="inlineStr">
        <is>
          <t>aplik</t>
        </is>
      </c>
      <c r="F72" s="6">
        <f>IFERROR(INDEX('Kalem Kataloğu'!$C$1:$C$1000,MATCH(1,INDEX(('Kalem Kataloğu'!$A$1:$A$1000=A72)*('Kalem Kataloğu'!$B$1:$B$1000=E72),0),0)),"?")</f>
        <v/>
      </c>
      <c r="G72" s="6">
        <f>IFERROR(INDEX('Kalem Kataloğu'!$D$1:$D$1000,MATCH(1,INDEX(('Kalem Kataloğu'!$A$1:$A$1000=A72)*('Kalem Kataloğu'!$B$1:$B$1000=E72),0),0)),"?")</f>
        <v/>
      </c>
      <c r="H72" s="7" t="n">
        <v>2</v>
      </c>
      <c r="I72" s="7" t="inlineStr">
        <is>
          <t>Hayır</t>
        </is>
      </c>
      <c r="J72" s="5" t="inlineStr">
        <is>
          <t>Drive foto</t>
        </is>
      </c>
      <c r="K72" s="5" t="inlineStr">
        <is>
          <t>Yatak başı iki yanda [güven: medium]</t>
        </is>
      </c>
    </row>
    <row r="73" ht="26.4" customHeight="1">
      <c r="A73" s="5" t="inlineStr">
        <is>
          <t>Tare Suites Urla</t>
        </is>
      </c>
      <c r="B73" s="5" t="inlineStr">
        <is>
          <t>DS</t>
        </is>
      </c>
      <c r="C73" s="7" t="n"/>
      <c r="D73" s="6">
        <f>IFERROR(INDEX('Kontrol Adımları'!$D:$D,MATCH(1,INDEX(('Kontrol Adımları'!$A$1:$A$400=B73)*('Kontrol Adımları'!$B$1:$B$400=C73),0),0)),"")</f>
        <v/>
      </c>
      <c r="E73" s="5" t="inlineStr">
        <is>
          <t>havlu_rafi</t>
        </is>
      </c>
      <c r="F73" s="6">
        <f>IFERROR(INDEX('Kalem Kataloğu'!$C$1:$C$1000,MATCH(1,INDEX(('Kalem Kataloğu'!$A$1:$A$1000=A73)*('Kalem Kataloğu'!$B$1:$B$1000=E73),0),0)),"?")</f>
        <v/>
      </c>
      <c r="G73" s="6">
        <f>IFERROR(INDEX('Kalem Kataloğu'!$D$1:$D$1000,MATCH(1,INDEX(('Kalem Kataloğu'!$A$1:$A$1000=A73)*('Kalem Kataloğu'!$B$1:$B$1000=E73),0),0)),"?")</f>
        <v/>
      </c>
      <c r="H73" s="7" t="n">
        <v>1</v>
      </c>
      <c r="I73" s="7" t="inlineStr">
        <is>
          <t>Hayır</t>
        </is>
      </c>
      <c r="J73" s="5" t="inlineStr">
        <is>
          <t>Drive foto</t>
        </is>
      </c>
      <c r="K73" s="5" t="inlineStr">
        <is>
          <t xml:space="preserve"> [güven: high]</t>
        </is>
      </c>
    </row>
    <row r="74" ht="26.4" customHeight="1">
      <c r="A74" s="5" t="inlineStr">
        <is>
          <t>Tare Suites Urla</t>
        </is>
      </c>
      <c r="B74" s="5" t="inlineStr">
        <is>
          <t>DS</t>
        </is>
      </c>
      <c r="C74" s="7" t="n"/>
      <c r="D74" s="6">
        <f>IFERROR(INDEX('Kontrol Adımları'!$D:$D,MATCH(1,INDEX(('Kontrol Adımları'!$A$1:$A$400=B74)*('Kontrol Adımları'!$B$1:$B$400=C74),0),0)),"")</f>
        <v/>
      </c>
      <c r="E74" s="5" t="inlineStr">
        <is>
          <t>tablo</t>
        </is>
      </c>
      <c r="F74" s="6">
        <f>IFERROR(INDEX('Kalem Kataloğu'!$C$1:$C$1000,MATCH(1,INDEX(('Kalem Kataloğu'!$A$1:$A$1000=A74)*('Kalem Kataloğu'!$B$1:$B$1000=E74),0),0)),"?")</f>
        <v/>
      </c>
      <c r="G74" s="6">
        <f>IFERROR(INDEX('Kalem Kataloğu'!$D$1:$D$1000,MATCH(1,INDEX(('Kalem Kataloğu'!$A$1:$A$1000=A74)*('Kalem Kataloğu'!$B$1:$B$1000=E74),0),0)),"?")</f>
        <v/>
      </c>
      <c r="H74" s="7" t="n">
        <v>1</v>
      </c>
      <c r="I74" s="7" t="inlineStr">
        <is>
          <t>Hayır</t>
        </is>
      </c>
      <c r="J74" s="5" t="inlineStr">
        <is>
          <t>Drive foto</t>
        </is>
      </c>
      <c r="K74" s="5" t="inlineStr">
        <is>
          <t xml:space="preserve"> [güven: high]</t>
        </is>
      </c>
    </row>
    <row r="75" ht="26.4" customHeight="1">
      <c r="A75" s="5" t="inlineStr">
        <is>
          <t>Tare Suites Urla</t>
        </is>
      </c>
      <c r="B75" s="5" t="inlineStr">
        <is>
          <t>DS</t>
        </is>
      </c>
      <c r="C75" s="7" t="n"/>
      <c r="D75" s="6">
        <f>IFERROR(INDEX('Kontrol Adımları'!$D:$D,MATCH(1,INDEX(('Kontrol Adımları'!$A$1:$A$400=B75)*('Kontrol Adımları'!$B$1:$B$400=C75),0),0)),"")</f>
        <v/>
      </c>
      <c r="E75" s="5" t="inlineStr">
        <is>
          <t>duvar_tv</t>
        </is>
      </c>
      <c r="F75" s="6">
        <f>IFERROR(INDEX('Kalem Kataloğu'!$C$1:$C$1000,MATCH(1,INDEX(('Kalem Kataloğu'!$A$1:$A$1000=A75)*('Kalem Kataloğu'!$B$1:$B$1000=E75),0),0)),"?")</f>
        <v/>
      </c>
      <c r="G75" s="6">
        <f>IFERROR(INDEX('Kalem Kataloğu'!$D$1:$D$1000,MATCH(1,INDEX(('Kalem Kataloğu'!$A$1:$A$1000=A75)*('Kalem Kataloğu'!$B$1:$B$1000=E75),0),0)),"?")</f>
        <v/>
      </c>
      <c r="H75" s="7" t="n">
        <v>1</v>
      </c>
      <c r="I75" s="7" t="inlineStr">
        <is>
          <t>Hayır</t>
        </is>
      </c>
      <c r="J75" s="5" t="inlineStr">
        <is>
          <t>Drive foto</t>
        </is>
      </c>
      <c r="K75" s="5" t="inlineStr">
        <is>
          <t xml:space="preserve"> [güven: high]</t>
        </is>
      </c>
    </row>
    <row r="76" ht="26.4" customHeight="1">
      <c r="A76" s="5" t="inlineStr">
        <is>
          <t>Tare Suites Urla</t>
        </is>
      </c>
      <c r="B76" s="5" t="inlineStr">
        <is>
          <t>DS</t>
        </is>
      </c>
      <c r="C76" s="7" t="n"/>
      <c r="D76" s="6">
        <f>IFERROR(INDEX('Kontrol Adımları'!$D:$D,MATCH(1,INDEX(('Kontrol Adımları'!$A$1:$A$400=B76)*('Kontrol Adımları'!$B$1:$B$400=C76),0),0)),"")</f>
        <v/>
      </c>
      <c r="E76" s="5" t="inlineStr">
        <is>
          <t>sivi_sabun_dispenser</t>
        </is>
      </c>
      <c r="F76" s="6">
        <f>IFERROR(INDEX('Kalem Kataloğu'!$C$1:$C$1000,MATCH(1,INDEX(('Kalem Kataloğu'!$A$1:$A$1000=A76)*('Kalem Kataloğu'!$B$1:$B$1000=E76),0),0)),"?")</f>
        <v/>
      </c>
      <c r="G76" s="6">
        <f>IFERROR(INDEX('Kalem Kataloğu'!$D$1:$D$1000,MATCH(1,INDEX(('Kalem Kataloğu'!$A$1:$A$1000=A76)*('Kalem Kataloğu'!$B$1:$B$1000=E76),0),0)),"?")</f>
        <v/>
      </c>
      <c r="H76" s="7" t="n">
        <v>1</v>
      </c>
      <c r="I76" s="7" t="inlineStr">
        <is>
          <t>Hayır</t>
        </is>
      </c>
      <c r="J76" s="5" t="inlineStr">
        <is>
          <t>Drive foto</t>
        </is>
      </c>
      <c r="K76" s="5" t="inlineStr">
        <is>
          <t>DS fotoğraflarında 1 adet görünüyor (sabun); şampuan/duş jeli dispenserleri duş içinde olabilir [güven: medium]</t>
        </is>
      </c>
    </row>
    <row r="77">
      <c r="A77" s="5" t="inlineStr">
        <is>
          <t>Tare Suites Urla</t>
        </is>
      </c>
      <c r="B77" s="5" t="inlineStr">
        <is>
          <t>DS</t>
        </is>
      </c>
      <c r="C77" s="7" t="n"/>
      <c r="D77" s="6">
        <f>IFERROR(INDEX('Kontrol Adımları'!$D:$D,MATCH(1,INDEX(('Kontrol Adımları'!$A$1:$A$400=B77)*('Kontrol Adımları'!$B$1:$B$400=C77),0),0)),"")</f>
        <v/>
      </c>
      <c r="E77" s="5" t="inlineStr">
        <is>
          <t>dus_rafi</t>
        </is>
      </c>
      <c r="F77" s="6">
        <f>IFERROR(INDEX('Kalem Kataloğu'!$C$1:$C$1000,MATCH(1,INDEX(('Kalem Kataloğu'!$A$1:$A$1000=A77)*('Kalem Kataloğu'!$B$1:$B$1000=E77),0),0)),"?")</f>
        <v/>
      </c>
      <c r="G77" s="6">
        <f>IFERROR(INDEX('Kalem Kataloğu'!$D$1:$D$1000,MATCH(1,INDEX(('Kalem Kataloğu'!$A$1:$A$1000=A77)*('Kalem Kataloğu'!$B$1:$B$1000=E77),0),0)),"?")</f>
        <v/>
      </c>
      <c r="H77" s="7" t="n"/>
      <c r="I77" s="7" t="inlineStr">
        <is>
          <t>Hayır</t>
        </is>
      </c>
      <c r="J77" s="5" t="inlineStr">
        <is>
          <t>Drive foto</t>
        </is>
      </c>
      <c r="K77" s="5" t="inlineStr">
        <is>
          <t xml:space="preserve"> [güven: medium]</t>
        </is>
      </c>
    </row>
    <row r="78" ht="26.4" customHeight="1">
      <c r="A78" s="5" t="inlineStr">
        <is>
          <t>Tare Suites Urla</t>
        </is>
      </c>
      <c r="B78" s="5" t="inlineStr">
        <is>
          <t>DS</t>
        </is>
      </c>
      <c r="C78" s="7" t="n"/>
      <c r="D78" s="6">
        <f>IFERROR(INDEX('Kontrol Adımları'!$D:$D,MATCH(1,INDEX(('Kontrol Adımları'!$A$1:$A$400=B78)*('Kontrol Adımları'!$B$1:$B$400=C78),0),0)),"")</f>
        <v/>
      </c>
      <c r="E78" s="5" t="inlineStr">
        <is>
          <t>dus_kabini</t>
        </is>
      </c>
      <c r="F78" s="6">
        <f>IFERROR(INDEX('Kalem Kataloğu'!$C$1:$C$1000,MATCH(1,INDEX(('Kalem Kataloğu'!$A$1:$A$1000=A78)*('Kalem Kataloğu'!$B$1:$B$1000=E78),0),0)),"?")</f>
        <v/>
      </c>
      <c r="G78" s="6">
        <f>IFERROR(INDEX('Kalem Kataloğu'!$D$1:$D$1000,MATCH(1,INDEX(('Kalem Kataloğu'!$A$1:$A$1000=A78)*('Kalem Kataloğu'!$B$1:$B$1000=E78),0),0)),"?")</f>
        <v/>
      </c>
      <c r="H78" s="7" t="n">
        <v>1</v>
      </c>
      <c r="I78" s="7" t="inlineStr">
        <is>
          <t>Hayır</t>
        </is>
      </c>
      <c r="J78" s="5" t="inlineStr">
        <is>
          <t>Drive foto</t>
        </is>
      </c>
      <c r="K78" s="5" t="inlineStr">
        <is>
          <t xml:space="preserve"> [güven: high]</t>
        </is>
      </c>
    </row>
    <row r="79" ht="26.4" customHeight="1">
      <c r="A79" s="5" t="inlineStr">
        <is>
          <t>Tare Suites Urla</t>
        </is>
      </c>
      <c r="B79" s="5" t="inlineStr">
        <is>
          <t>DS</t>
        </is>
      </c>
      <c r="C79" s="7" t="n"/>
      <c r="D79" s="6">
        <f>IFERROR(INDEX('Kontrol Adımları'!$D:$D,MATCH(1,INDEX(('Kontrol Adımları'!$A$1:$A$400=B79)*('Kontrol Adımları'!$B$1:$B$400=C79),0),0)),"")</f>
        <v/>
      </c>
      <c r="E79" s="5" t="inlineStr">
        <is>
          <t>gardirop</t>
        </is>
      </c>
      <c r="F79" s="6">
        <f>IFERROR(INDEX('Kalem Kataloğu'!$C$1:$C$1000,MATCH(1,INDEX(('Kalem Kataloğu'!$A$1:$A$1000=A79)*('Kalem Kataloğu'!$B$1:$B$1000=E79),0),0)),"?")</f>
        <v/>
      </c>
      <c r="G79" s="6">
        <f>IFERROR(INDEX('Kalem Kataloğu'!$D$1:$D$1000,MATCH(1,INDEX(('Kalem Kataloğu'!$A$1:$A$1000=A79)*('Kalem Kataloğu'!$B$1:$B$1000=E79),0),0)),"?")</f>
        <v/>
      </c>
      <c r="H79" s="7" t="n"/>
      <c r="I79" s="7" t="inlineStr">
        <is>
          <t>Hayır</t>
        </is>
      </c>
      <c r="J79" s="5" t="inlineStr">
        <is>
          <t>Drive foto</t>
        </is>
      </c>
      <c r="K79" s="5" t="inlineStr">
        <is>
          <t>Özellik dosyasında tüm tiplerde var; yalnız EXSB fotoğrafında görünüyor [güven: medium]</t>
        </is>
      </c>
    </row>
    <row r="80" ht="26.4" customHeight="1">
      <c r="A80" s="5" t="inlineStr">
        <is>
          <t>Tare Suites Urla</t>
        </is>
      </c>
      <c r="B80" s="5" t="inlineStr">
        <is>
          <t>DS</t>
        </is>
      </c>
      <c r="C80" s="7" t="n"/>
      <c r="D80" s="6">
        <f>IFERROR(INDEX('Kontrol Adımları'!$D:$D,MATCH(1,INDEX(('Kontrol Adımları'!$A$1:$A$400=B80)*('Kontrol Adımları'!$B$1:$B$400=C80),0),0)),"")</f>
        <v/>
      </c>
      <c r="E80" s="5" t="inlineStr">
        <is>
          <t>komodin</t>
        </is>
      </c>
      <c r="F80" s="6">
        <f>IFERROR(INDEX('Kalem Kataloğu'!$C$1:$C$1000,MATCH(1,INDEX(('Kalem Kataloğu'!$A$1:$A$1000=A80)*('Kalem Kataloğu'!$B$1:$B$1000=E80),0),0)),"?")</f>
        <v/>
      </c>
      <c r="G80" s="6">
        <f>IFERROR(INDEX('Kalem Kataloğu'!$D$1:$D$1000,MATCH(1,INDEX(('Kalem Kataloğu'!$A$1:$A$1000=A80)*('Kalem Kataloğu'!$B$1:$B$1000=E80),0),0)),"?")</f>
        <v/>
      </c>
      <c r="H80" s="7" t="n">
        <v>2</v>
      </c>
      <c r="I80" s="7" t="inlineStr">
        <is>
          <t>Hayır</t>
        </is>
      </c>
      <c r="J80" s="5" t="inlineStr">
        <is>
          <t>Drive foto</t>
        </is>
      </c>
      <c r="K80" s="5" t="inlineStr">
        <is>
          <t>DSSW fotoğrafında yalnız bir yan görünüyor; muhtemelen 2 [güven: medium]</t>
        </is>
      </c>
    </row>
    <row r="81" ht="26.4" customHeight="1">
      <c r="A81" s="5" t="inlineStr">
        <is>
          <t>Tare Suites Urla</t>
        </is>
      </c>
      <c r="B81" s="5" t="inlineStr">
        <is>
          <t>DS</t>
        </is>
      </c>
      <c r="C81" s="7" t="n"/>
      <c r="D81" s="6">
        <f>IFERROR(INDEX('Kontrol Adımları'!$D:$D,MATCH(1,INDEX(('Kontrol Adımları'!$A$1:$A$400=B81)*('Kontrol Adımları'!$B$1:$B$400=C81),0),0)),"")</f>
        <v/>
      </c>
      <c r="E81" s="5" t="inlineStr">
        <is>
          <t>calisma_masasi_ayna</t>
        </is>
      </c>
      <c r="F81" s="6">
        <f>IFERROR(INDEX('Kalem Kataloğu'!$C$1:$C$1000,MATCH(1,INDEX(('Kalem Kataloğu'!$A$1:$A$1000=A81)*('Kalem Kataloğu'!$B$1:$B$1000=E81),0),0)),"?")</f>
        <v/>
      </c>
      <c r="G81" s="6">
        <f>IFERROR(INDEX('Kalem Kataloğu'!$D$1:$D$1000,MATCH(1,INDEX(('Kalem Kataloğu'!$A$1:$A$1000=A81)*('Kalem Kataloğu'!$B$1:$B$1000=E81),0),0)),"?")</f>
        <v/>
      </c>
      <c r="H81" s="7" t="n">
        <v>1</v>
      </c>
      <c r="I81" s="7" t="inlineStr">
        <is>
          <t>Hayır</t>
        </is>
      </c>
      <c r="J81" s="5" t="inlineStr">
        <is>
          <t>Drive foto</t>
        </is>
      </c>
      <c r="K81" s="5" t="inlineStr">
        <is>
          <t xml:space="preserve"> [güven: high]</t>
        </is>
      </c>
    </row>
    <row r="82">
      <c r="A82" s="5" t="inlineStr">
        <is>
          <t>Tare Suites Urla</t>
        </is>
      </c>
      <c r="B82" s="5" t="inlineStr">
        <is>
          <t>DS</t>
        </is>
      </c>
      <c r="C82" s="7" t="n"/>
      <c r="D82" s="6">
        <f>IFERROR(INDEX('Kontrol Adımları'!$D:$D,MATCH(1,INDEX(('Kontrol Adımları'!$A$1:$A$400=B82)*('Kontrol Adımları'!$B$1:$B$400=C82),0),0)),"")</f>
        <v/>
      </c>
      <c r="E82" s="5" t="inlineStr">
        <is>
          <t>lavabo_dolabi</t>
        </is>
      </c>
      <c r="F82" s="6">
        <f>IFERROR(INDEX('Kalem Kataloğu'!$C$1:$C$1000,MATCH(1,INDEX(('Kalem Kataloğu'!$A$1:$A$1000=A82)*('Kalem Kataloğu'!$B$1:$B$1000=E82),0),0)),"?")</f>
        <v/>
      </c>
      <c r="G82" s="6">
        <f>IFERROR(INDEX('Kalem Kataloğu'!$D$1:$D$1000,MATCH(1,INDEX(('Kalem Kataloğu'!$A$1:$A$1000=A82)*('Kalem Kataloğu'!$B$1:$B$1000=E82),0),0)),"?")</f>
        <v/>
      </c>
      <c r="H82" s="7" t="n">
        <v>1</v>
      </c>
      <c r="I82" s="7" t="inlineStr">
        <is>
          <t>Hayır</t>
        </is>
      </c>
      <c r="J82" s="5" t="inlineStr">
        <is>
          <t>Drive foto</t>
        </is>
      </c>
      <c r="K82" s="5" t="inlineStr">
        <is>
          <t xml:space="preserve"> [güven: high]</t>
        </is>
      </c>
    </row>
    <row r="83">
      <c r="A83" s="5" t="inlineStr">
        <is>
          <t>Tare Suites Urla</t>
        </is>
      </c>
      <c r="B83" s="5" t="inlineStr">
        <is>
          <t>DS</t>
        </is>
      </c>
      <c r="C83" s="7" t="n"/>
      <c r="D83" s="6">
        <f>IFERROR(INDEX('Kontrol Adımları'!$D:$D,MATCH(1,INDEX(('Kontrol Adımları'!$A$1:$A$400=B83)*('Kontrol Adımları'!$B$1:$B$400=C83),0),0)),"")</f>
        <v/>
      </c>
      <c r="E83" s="5" t="inlineStr">
        <is>
          <t>mini_buzdolabi</t>
        </is>
      </c>
      <c r="F83" s="6">
        <f>IFERROR(INDEX('Kalem Kataloğu'!$C$1:$C$1000,MATCH(1,INDEX(('Kalem Kataloğu'!$A$1:$A$1000=A83)*('Kalem Kataloğu'!$B$1:$B$1000=E83),0),0)),"?")</f>
        <v/>
      </c>
      <c r="G83" s="6">
        <f>IFERROR(INDEX('Kalem Kataloğu'!$D$1:$D$1000,MATCH(1,INDEX(('Kalem Kataloğu'!$A$1:$A$1000=A83)*('Kalem Kataloğu'!$B$1:$B$1000=E83),0),0)),"?")</f>
        <v/>
      </c>
      <c r="H83" s="7" t="n">
        <v>1</v>
      </c>
      <c r="I83" s="7" t="inlineStr">
        <is>
          <t>Hayır</t>
        </is>
      </c>
      <c r="J83" s="5" t="inlineStr">
        <is>
          <t>Drive foto</t>
        </is>
      </c>
      <c r="K83" s="5" t="inlineStr">
        <is>
          <t>Özellik dosyasında Urla Suites için Buzdolabı "-" ama fotoğraflarda masa altında mini buzdolabı var — teyit [güven: high]</t>
        </is>
      </c>
    </row>
    <row r="84">
      <c r="A84" s="5" t="inlineStr">
        <is>
          <t>Tare Suites Urla</t>
        </is>
      </c>
      <c r="B84" s="5" t="inlineStr">
        <is>
          <t>DS</t>
        </is>
      </c>
      <c r="C84" s="7" t="n"/>
      <c r="D84" s="6">
        <f>IFERROR(INDEX('Kontrol Adımları'!$D:$D,MATCH(1,INDEX(('Kontrol Adımları'!$A$1:$A$400=B84)*('Kontrol Adımları'!$B$1:$B$400=C84),0),0)),"")</f>
        <v/>
      </c>
      <c r="E84" s="5" t="inlineStr">
        <is>
          <t>banyo_cop_kovasi</t>
        </is>
      </c>
      <c r="F84" s="6">
        <f>IFERROR(INDEX('Kalem Kataloğu'!$C$1:$C$1000,MATCH(1,INDEX(('Kalem Kataloğu'!$A$1:$A$1000=A84)*('Kalem Kataloğu'!$B$1:$B$1000=E84),0),0)),"?")</f>
        <v/>
      </c>
      <c r="G84" s="6">
        <f>IFERROR(INDEX('Kalem Kataloğu'!$D$1:$D$1000,MATCH(1,INDEX(('Kalem Kataloğu'!$A$1:$A$1000=A84)*('Kalem Kataloğu'!$B$1:$B$1000=E84),0),0)),"?")</f>
        <v/>
      </c>
      <c r="H84" s="7" t="n">
        <v>1</v>
      </c>
      <c r="I84" s="7" t="inlineStr">
        <is>
          <t>Hayır</t>
        </is>
      </c>
      <c r="J84" s="5" t="inlineStr">
        <is>
          <t>Drive foto</t>
        </is>
      </c>
      <c r="K84" s="5" t="inlineStr">
        <is>
          <t xml:space="preserve"> [güven: medium]</t>
        </is>
      </c>
    </row>
    <row r="85">
      <c r="A85" s="5" t="inlineStr">
        <is>
          <t>Tare Suites Urla</t>
        </is>
      </c>
      <c r="B85" s="5" t="inlineStr">
        <is>
          <t>DS</t>
        </is>
      </c>
      <c r="C85" s="7" t="n"/>
      <c r="D85" s="6">
        <f>IFERROR(INDEX('Kontrol Adımları'!$D:$D,MATCH(1,INDEX(('Kontrol Adımları'!$A$1:$A$400=B85)*('Kontrol Adımları'!$B$1:$B$400=C85),0),0)),"")</f>
        <v/>
      </c>
      <c r="E85" s="5" t="inlineStr">
        <is>
          <t>sandalye</t>
        </is>
      </c>
      <c r="F85" s="6">
        <f>IFERROR(INDEX('Kalem Kataloğu'!$C$1:$C$1000,MATCH(1,INDEX(('Kalem Kataloğu'!$A$1:$A$1000=A85)*('Kalem Kataloğu'!$B$1:$B$1000=E85),0),0)),"?")</f>
        <v/>
      </c>
      <c r="G85" s="6">
        <f>IFERROR(INDEX('Kalem Kataloğu'!$D$1:$D$1000,MATCH(1,INDEX(('Kalem Kataloğu'!$A$1:$A$1000=A85)*('Kalem Kataloğu'!$B$1:$B$1000=E85),0),0)),"?")</f>
        <v/>
      </c>
      <c r="H85" s="7" t="n">
        <v>2</v>
      </c>
      <c r="I85" s="7" t="inlineStr">
        <is>
          <t>Hayır</t>
        </is>
      </c>
      <c r="J85" s="5" t="inlineStr">
        <is>
          <t>Drive foto</t>
        </is>
      </c>
      <c r="K85" s="5" t="inlineStr">
        <is>
          <t xml:space="preserve"> [güven: high]</t>
        </is>
      </c>
    </row>
    <row r="86">
      <c r="A86" s="5" t="inlineStr">
        <is>
          <t>Tare Suites Urla</t>
        </is>
      </c>
      <c r="B86" s="5" t="inlineStr">
        <is>
          <t>DS</t>
        </is>
      </c>
      <c r="C86" s="7" t="n"/>
      <c r="D86" s="6">
        <f>IFERROR(INDEX('Kontrol Adımları'!$D:$D,MATCH(1,INDEX(('Kontrol Adımları'!$A$1:$A$400=B86)*('Kontrol Adımları'!$B$1:$B$400=C86),0),0)),"")</f>
        <v/>
      </c>
      <c r="E86" s="5" t="inlineStr">
        <is>
          <t>sac_kurutma</t>
        </is>
      </c>
      <c r="F86" s="6">
        <f>IFERROR(INDEX('Kalem Kataloğu'!$C$1:$C$1000,MATCH(1,INDEX(('Kalem Kataloğu'!$A$1:$A$1000=A86)*('Kalem Kataloğu'!$B$1:$B$1000=E86),0),0)),"?")</f>
        <v/>
      </c>
      <c r="G86" s="6">
        <f>IFERROR(INDEX('Kalem Kataloğu'!$D$1:$D$1000,MATCH(1,INDEX(('Kalem Kataloğu'!$A$1:$A$1000=A86)*('Kalem Kataloğu'!$B$1:$B$1000=E86),0),0)),"?")</f>
        <v/>
      </c>
      <c r="H86" s="7" t="n"/>
      <c r="I86" s="7" t="inlineStr">
        <is>
          <t>Hayır</t>
        </is>
      </c>
      <c r="J86" s="5" t="inlineStr">
        <is>
          <t>Drive foto</t>
        </is>
      </c>
      <c r="K86" s="5" t="inlineStr">
        <is>
          <t>Özellik dosyasında tüm tiplerde var; yalnız EDR fotoğrafında görünüyor [güven: medium]</t>
        </is>
      </c>
    </row>
    <row r="87">
      <c r="A87" s="5" t="inlineStr">
        <is>
          <t>Tare Suites Urla</t>
        </is>
      </c>
      <c r="B87" s="5" t="inlineStr">
        <is>
          <t>DS</t>
        </is>
      </c>
      <c r="C87" s="7" t="n"/>
      <c r="D87" s="6">
        <f>IFERROR(INDEX('Kontrol Adımları'!$D:$D,MATCH(1,INDEX(('Kontrol Adımları'!$A$1:$A$400=B87)*('Kontrol Adımları'!$B$1:$B$400=C87),0),0)),"")</f>
        <v/>
      </c>
      <c r="E87" s="5" t="inlineStr">
        <is>
          <t>klima</t>
        </is>
      </c>
      <c r="F87" s="6">
        <f>IFERROR(INDEX('Kalem Kataloğu'!$C$1:$C$1000,MATCH(1,INDEX(('Kalem Kataloğu'!$A$1:$A$1000=A87)*('Kalem Kataloğu'!$B$1:$B$1000=E87),0),0)),"?")</f>
        <v/>
      </c>
      <c r="G87" s="6">
        <f>IFERROR(INDEX('Kalem Kataloğu'!$D$1:$D$1000,MATCH(1,INDEX(('Kalem Kataloğu'!$A$1:$A$1000=A87)*('Kalem Kataloğu'!$B$1:$B$1000=E87),0),0)),"?")</f>
        <v/>
      </c>
      <c r="H87" s="7" t="n">
        <v>1</v>
      </c>
      <c r="I87" s="7" t="inlineStr">
        <is>
          <t>Hayır</t>
        </is>
      </c>
      <c r="J87" s="5" t="inlineStr">
        <is>
          <t>Drive foto</t>
        </is>
      </c>
      <c r="K87" s="5" t="inlineStr">
        <is>
          <t xml:space="preserve"> [güven: high]</t>
        </is>
      </c>
    </row>
    <row r="88">
      <c r="A88" s="5" t="inlineStr">
        <is>
          <t>Tare Suites Urla</t>
        </is>
      </c>
      <c r="B88" s="5" t="inlineStr">
        <is>
          <t>DS</t>
        </is>
      </c>
      <c r="C88" s="7" t="n"/>
      <c r="D88" s="6">
        <f>IFERROR(INDEX('Kontrol Adımları'!$D:$D,MATCH(1,INDEX(('Kontrol Adımları'!$A$1:$A$400=B88)*('Kontrol Adımları'!$B$1:$B$400=C88),0),0)),"")</f>
        <v/>
      </c>
      <c r="E88" s="5" t="inlineStr">
        <is>
          <t>kettle</t>
        </is>
      </c>
      <c r="F88" s="6">
        <f>IFERROR(INDEX('Kalem Kataloğu'!$C$1:$C$1000,MATCH(1,INDEX(('Kalem Kataloğu'!$A$1:$A$1000=A88)*('Kalem Kataloğu'!$B$1:$B$1000=E88),0),0)),"?")</f>
        <v/>
      </c>
      <c r="G88" s="6">
        <f>IFERROR(INDEX('Kalem Kataloğu'!$D$1:$D$1000,MATCH(1,INDEX(('Kalem Kataloğu'!$A$1:$A$1000=A88)*('Kalem Kataloğu'!$B$1:$B$1000=E88),0),0)),"?")</f>
        <v/>
      </c>
      <c r="H88" s="7" t="n">
        <v>1</v>
      </c>
      <c r="I88" s="7" t="inlineStr">
        <is>
          <t>Hayır</t>
        </is>
      </c>
      <c r="J88" s="5" t="inlineStr">
        <is>
          <t>Drive foto</t>
        </is>
      </c>
      <c r="K88" s="5" t="inlineStr">
        <is>
          <t xml:space="preserve"> [güven: high]</t>
        </is>
      </c>
    </row>
    <row r="89" ht="26.4" customHeight="1">
      <c r="A89" s="5" t="inlineStr">
        <is>
          <t>Tare Suites Urla</t>
        </is>
      </c>
      <c r="B89" s="5" t="inlineStr">
        <is>
          <t>DS</t>
        </is>
      </c>
      <c r="C89" s="7" t="n"/>
      <c r="D89" s="6">
        <f>IFERROR(INDEX('Kontrol Adımları'!$D:$D,MATCH(1,INDEX(('Kontrol Adımları'!$A$1:$A$400=B89)*('Kontrol Adımları'!$B$1:$B$400=C89),0),0)),"")</f>
        <v/>
      </c>
      <c r="E89" s="5" t="inlineStr">
        <is>
          <t>terlik</t>
        </is>
      </c>
      <c r="F89" s="6">
        <f>IFERROR(INDEX('Kalem Kataloğu'!$C$1:$C$1000,MATCH(1,INDEX(('Kalem Kataloğu'!$A$1:$A$1000=A89)*('Kalem Kataloğu'!$B$1:$B$1000=E89),0),0)),"?")</f>
        <v/>
      </c>
      <c r="G89" s="6">
        <f>IFERROR(INDEX('Kalem Kataloğu'!$D$1:$D$1000,MATCH(1,INDEX(('Kalem Kataloğu'!$A$1:$A$1000=A89)*('Kalem Kataloğu'!$B$1:$B$1000=E89),0),0)),"?")</f>
        <v/>
      </c>
      <c r="H89" s="7" t="n">
        <v>2</v>
      </c>
      <c r="I89" s="7" t="inlineStr">
        <is>
          <t>Hayır</t>
        </is>
      </c>
      <c r="J89" s="5" t="inlineStr">
        <is>
          <t>Drive foto</t>
        </is>
      </c>
      <c r="K89" s="5" t="inlineStr">
        <is>
          <t>DS komodin rafında 1-2 çift görünüyor; standart adet teyit edilmeli [güven: low]</t>
        </is>
      </c>
    </row>
    <row r="90">
      <c r="A90" s="5" t="inlineStr">
        <is>
          <t>Tare Suites Urla</t>
        </is>
      </c>
      <c r="B90" s="5" t="inlineStr">
        <is>
          <t>DS</t>
        </is>
      </c>
      <c r="C90" s="7" t="n"/>
      <c r="D90" s="6">
        <f>IFERROR(INDEX('Kontrol Adımları'!$D:$D,MATCH(1,INDEX(('Kontrol Adımları'!$A$1:$A$400=B90)*('Kontrol Adımları'!$B$1:$B$400=C90),0),0)),"")</f>
        <v/>
      </c>
      <c r="E90" s="5" t="inlineStr">
        <is>
          <t>tuvalet_kagidi_aparati</t>
        </is>
      </c>
      <c r="F90" s="6">
        <f>IFERROR(INDEX('Kalem Kataloğu'!$C$1:$C$1000,MATCH(1,INDEX(('Kalem Kataloğu'!$A$1:$A$1000=A90)*('Kalem Kataloğu'!$B$1:$B$1000=E90),0),0)),"?")</f>
        <v/>
      </c>
      <c r="G90" s="6">
        <f>IFERROR(INDEX('Kalem Kataloğu'!$D$1:$D$1000,MATCH(1,INDEX(('Kalem Kataloğu'!$A$1:$A$1000=A90)*('Kalem Kataloğu'!$B$1:$B$1000=E90),0),0)),"?")</f>
        <v/>
      </c>
      <c r="H90" s="7" t="n">
        <v>1</v>
      </c>
      <c r="I90" s="7" t="inlineStr">
        <is>
          <t>Hayır</t>
        </is>
      </c>
      <c r="J90" s="5" t="inlineStr">
        <is>
          <t>Drive foto</t>
        </is>
      </c>
      <c r="K90" s="5" t="inlineStr">
        <is>
          <t xml:space="preserve"> [güven: high]</t>
        </is>
      </c>
    </row>
    <row r="91">
      <c r="A91" s="5" t="inlineStr">
        <is>
          <t>Tare Suites Urla</t>
        </is>
      </c>
      <c r="B91" s="5" t="inlineStr">
        <is>
          <t>DS</t>
        </is>
      </c>
      <c r="C91" s="7" t="n"/>
      <c r="D91" s="6">
        <f>IFERROR(INDEX('Kontrol Adımları'!$D:$D,MATCH(1,INDEX(('Kontrol Adımları'!$A$1:$A$400=B91)*('Kontrol Adımları'!$B$1:$B$400=C91),0),0)),"")</f>
        <v/>
      </c>
      <c r="E91" s="5" t="inlineStr">
        <is>
          <t>wc_fircasi</t>
        </is>
      </c>
      <c r="F91" s="6">
        <f>IFERROR(INDEX('Kalem Kataloğu'!$C$1:$C$1000,MATCH(1,INDEX(('Kalem Kataloğu'!$A$1:$A$1000=A91)*('Kalem Kataloğu'!$B$1:$B$1000=E91),0),0)),"?")</f>
        <v/>
      </c>
      <c r="G91" s="6">
        <f>IFERROR(INDEX('Kalem Kataloğu'!$D$1:$D$1000,MATCH(1,INDEX(('Kalem Kataloğu'!$A$1:$A$1000=A91)*('Kalem Kataloğu'!$B$1:$B$1000=E91),0),0)),"?")</f>
        <v/>
      </c>
      <c r="H91" s="7" t="n">
        <v>1</v>
      </c>
      <c r="I91" s="7" t="inlineStr">
        <is>
          <t>Hayır</t>
        </is>
      </c>
      <c r="J91" s="5" t="inlineStr">
        <is>
          <t>Drive foto</t>
        </is>
      </c>
      <c r="K91" s="5" t="inlineStr">
        <is>
          <t xml:space="preserve"> [güven: medium]</t>
        </is>
      </c>
    </row>
    <row r="92">
      <c r="A92" s="5" t="inlineStr">
        <is>
          <t>Tare Suites Urla</t>
        </is>
      </c>
      <c r="B92" s="5" t="inlineStr">
        <is>
          <t>DS</t>
        </is>
      </c>
      <c r="C92" s="7" t="n"/>
      <c r="D92" s="6">
        <f>IFERROR(INDEX('Kontrol Adımları'!$D:$D,MATCH(1,INDEX(('Kontrol Adımları'!$A$1:$A$400=B92)*('Kontrol Adımları'!$B$1:$B$400=C92),0),0)),"")</f>
        <v/>
      </c>
      <c r="E92" s="5" t="inlineStr">
        <is>
          <t>yastik</t>
        </is>
      </c>
      <c r="F92" s="6">
        <f>IFERROR(INDEX('Kalem Kataloğu'!$C$1:$C$1000,MATCH(1,INDEX(('Kalem Kataloğu'!$A$1:$A$1000=A92)*('Kalem Kataloğu'!$B$1:$B$1000=E92),0),0)),"?")</f>
        <v/>
      </c>
      <c r="G92" s="6">
        <f>IFERROR(INDEX('Kalem Kataloğu'!$D$1:$D$1000,MATCH(1,INDEX(('Kalem Kataloğu'!$A$1:$A$1000=A92)*('Kalem Kataloğu'!$B$1:$B$1000=E92),0),0)),"?")</f>
        <v/>
      </c>
      <c r="H92" s="7" t="n">
        <v>2</v>
      </c>
      <c r="I92" s="7" t="inlineStr">
        <is>
          <t>Hayır</t>
        </is>
      </c>
      <c r="J92" s="5" t="inlineStr">
        <is>
          <t>Drive foto</t>
        </is>
      </c>
      <c r="K92" s="5" t="inlineStr">
        <is>
          <t>Yatak başına görünen; EDR/EXSB/DFS 2+2 dizilmiş, DSSW/DS 2. Standart olarak teyit edilmeli [güven: medium]</t>
        </is>
      </c>
    </row>
    <row r="93">
      <c r="A93" s="5" t="inlineStr">
        <is>
          <t>Tare Suites Urla</t>
        </is>
      </c>
      <c r="B93" s="5" t="inlineStr">
        <is>
          <t>DS</t>
        </is>
      </c>
      <c r="C93" s="7" t="n"/>
      <c r="D93" s="6">
        <f>IFERROR(INDEX('Kontrol Adımları'!$D:$D,MATCH(1,INDEX(('Kontrol Adımları'!$A$1:$A$400=B93)*('Kontrol Adımları'!$B$1:$B$400=C93),0),0)),"")</f>
        <v/>
      </c>
      <c r="E93" s="5" t="inlineStr">
        <is>
          <t>masa_sandalye_seti</t>
        </is>
      </c>
      <c r="F93" s="6">
        <f>IFERROR(INDEX('Kalem Kataloğu'!$C$1:$C$1000,MATCH(1,INDEX(('Kalem Kataloğu'!$A$1:$A$1000=A93)*('Kalem Kataloğu'!$B$1:$B$1000=E93),0),0)),"?")</f>
        <v/>
      </c>
      <c r="G93" s="6">
        <f>IFERROR(INDEX('Kalem Kataloğu'!$D$1:$D$1000,MATCH(1,INDEX(('Kalem Kataloğu'!$A$1:$A$1000=A93)*('Kalem Kataloğu'!$B$1:$B$1000=E93),0),0)),"?")</f>
        <v/>
      </c>
      <c r="H93" s="7" t="n">
        <v>1</v>
      </c>
      <c r="I93" s="7" t="inlineStr">
        <is>
          <t>Hayır</t>
        </is>
      </c>
      <c r="J93" s="5" t="inlineStr">
        <is>
          <t>Drive foto</t>
        </is>
      </c>
      <c r="K93" s="5" t="inlineStr">
        <is>
          <t>EDR fotoğraflarında oturma grubu yok (özellik dosyasıyla uyumlu) [güven: high]</t>
        </is>
      </c>
    </row>
    <row r="94">
      <c r="A94" s="5" t="inlineStr">
        <is>
          <t>Tare Suites Urla</t>
        </is>
      </c>
      <c r="B94" s="5" t="inlineStr">
        <is>
          <t>DS</t>
        </is>
      </c>
      <c r="C94" s="7" t="n"/>
      <c r="D94" s="6">
        <f>IFERROR(INDEX('Kontrol Adımları'!$D:$D,MATCH(1,INDEX(('Kontrol Adımları'!$A$1:$A$400=B94)*('Kontrol Adımları'!$B$1:$B$400=C94),0),0)),"")</f>
        <v/>
      </c>
      <c r="E94" s="5" t="inlineStr">
        <is>
          <t>cift_kisilik_yatak</t>
        </is>
      </c>
      <c r="F94" s="6">
        <f>IFERROR(INDEX('Kalem Kataloğu'!$C$1:$C$1000,MATCH(1,INDEX(('Kalem Kataloğu'!$A$1:$A$1000=A94)*('Kalem Kataloğu'!$B$1:$B$1000=E94),0),0)),"?")</f>
        <v/>
      </c>
      <c r="G94" s="6">
        <f>IFERROR(INDEX('Kalem Kataloğu'!$D$1:$D$1000,MATCH(1,INDEX(('Kalem Kataloğu'!$A$1:$A$1000=A94)*('Kalem Kataloğu'!$B$1:$B$1000=E94),0),0)),"?")</f>
        <v/>
      </c>
      <c r="H94" s="7" t="n">
        <v>1</v>
      </c>
      <c r="I94" s="7" t="inlineStr">
        <is>
          <t>Hayır</t>
        </is>
      </c>
      <c r="J94" s="5" t="inlineStr">
        <is>
          <t>Drive foto</t>
        </is>
      </c>
      <c r="K94" s="5" t="inlineStr">
        <is>
          <t>DFS dubleks: üst katta (asma kat) ek yatak alanı olabilir, fotoğrafta net değil [güven: high]</t>
        </is>
      </c>
    </row>
    <row r="95">
      <c r="A95" s="5" t="inlineStr">
        <is>
          <t>Tare Suites Urla</t>
        </is>
      </c>
      <c r="B95" s="5" t="inlineStr">
        <is>
          <t>DSSW</t>
        </is>
      </c>
      <c r="C95" s="7" t="n"/>
      <c r="D95" s="6">
        <f>IFERROR(INDEX('Kontrol Adımları'!$D:$D,MATCH(1,INDEX(('Kontrol Adımları'!$A$1:$A$400=B95)*('Kontrol Adımları'!$B$1:$B$400=C95),0),0)),"")</f>
        <v/>
      </c>
      <c r="E95" s="5" t="inlineStr">
        <is>
          <t>asma_klozet</t>
        </is>
      </c>
      <c r="F95" s="6">
        <f>IFERROR(INDEX('Kalem Kataloğu'!$C$1:$C$1000,MATCH(1,INDEX(('Kalem Kataloğu'!$A$1:$A$1000=A95)*('Kalem Kataloğu'!$B$1:$B$1000=E95),0),0)),"?")</f>
        <v/>
      </c>
      <c r="G95" s="6">
        <f>IFERROR(INDEX('Kalem Kataloğu'!$D$1:$D$1000,MATCH(1,INDEX(('Kalem Kataloğu'!$A$1:$A$1000=A95)*('Kalem Kataloğu'!$B$1:$B$1000=E95),0),0)),"?")</f>
        <v/>
      </c>
      <c r="H95" s="7" t="n">
        <v>1</v>
      </c>
      <c r="I95" s="7" t="inlineStr">
        <is>
          <t>Hayır</t>
        </is>
      </c>
      <c r="J95" s="5" t="inlineStr">
        <is>
          <t>Drive foto</t>
        </is>
      </c>
      <c r="K95" s="5" t="inlineStr">
        <is>
          <t xml:space="preserve"> [güven: high]</t>
        </is>
      </c>
    </row>
    <row r="96">
      <c r="A96" s="5" t="inlineStr">
        <is>
          <t>Tare Suites Urla</t>
        </is>
      </c>
      <c r="B96" s="5" t="inlineStr">
        <is>
          <t>DSSW</t>
        </is>
      </c>
      <c r="C96" s="7" t="n"/>
      <c r="D96" s="6">
        <f>IFERROR(INDEX('Kontrol Adımları'!$D:$D,MATCH(1,INDEX(('Kontrol Adımları'!$A$1:$A$400=B96)*('Kontrol Adımları'!$B$1:$B$400=C96),0),0)),"")</f>
        <v/>
      </c>
      <c r="E96" s="5" t="inlineStr">
        <is>
          <t>ikram_tepsisi</t>
        </is>
      </c>
      <c r="F96" s="6">
        <f>IFERROR(INDEX('Kalem Kataloğu'!$C$1:$C$1000,MATCH(1,INDEX(('Kalem Kataloğu'!$A$1:$A$1000=A96)*('Kalem Kataloğu'!$B$1:$B$1000=E96),0),0)),"?")</f>
        <v/>
      </c>
      <c r="G96" s="6">
        <f>IFERROR(INDEX('Kalem Kataloğu'!$D$1:$D$1000,MATCH(1,INDEX(('Kalem Kataloğu'!$A$1:$A$1000=A96)*('Kalem Kataloğu'!$B$1:$B$1000=E96),0),0)),"?")</f>
        <v/>
      </c>
      <c r="H96" s="7" t="n">
        <v>1</v>
      </c>
      <c r="I96" s="7" t="inlineStr">
        <is>
          <t>Hayır</t>
        </is>
      </c>
      <c r="J96" s="5" t="inlineStr">
        <is>
          <t>Drive foto</t>
        </is>
      </c>
      <c r="K96" s="5" t="inlineStr">
        <is>
          <t>İçeriği ikram_tepsisi listesinde [güven: high]</t>
        </is>
      </c>
    </row>
    <row r="97">
      <c r="A97" s="5" t="inlineStr">
        <is>
          <t>Tare Suites Urla</t>
        </is>
      </c>
      <c r="B97" s="5" t="inlineStr">
        <is>
          <t>DSSW</t>
        </is>
      </c>
      <c r="C97" s="7" t="n"/>
      <c r="D97" s="6">
        <f>IFERROR(INDEX('Kontrol Adımları'!$D:$D,MATCH(1,INDEX(('Kontrol Adımları'!$A$1:$A$400=B97)*('Kontrol Adımları'!$B$1:$B$400=C97),0),0)),"")</f>
        <v/>
      </c>
      <c r="E97" s="5" t="inlineStr">
        <is>
          <t>banyo_aynasi</t>
        </is>
      </c>
      <c r="F97" s="6">
        <f>IFERROR(INDEX('Kalem Kataloğu'!$C$1:$C$1000,MATCH(1,INDEX(('Kalem Kataloğu'!$A$1:$A$1000=A97)*('Kalem Kataloğu'!$B$1:$B$1000=E97),0),0)),"?")</f>
        <v/>
      </c>
      <c r="G97" s="6">
        <f>IFERROR(INDEX('Kalem Kataloğu'!$D$1:$D$1000,MATCH(1,INDEX(('Kalem Kataloğu'!$A$1:$A$1000=A97)*('Kalem Kataloğu'!$B$1:$B$1000=E97),0),0)),"?")</f>
        <v/>
      </c>
      <c r="H97" s="7" t="n">
        <v>1</v>
      </c>
      <c r="I97" s="7" t="inlineStr">
        <is>
          <t>Hayır</t>
        </is>
      </c>
      <c r="J97" s="5" t="inlineStr">
        <is>
          <t>Drive foto</t>
        </is>
      </c>
      <c r="K97" s="5" t="inlineStr">
        <is>
          <t>DSSW yuvarlak hasır çerçeveli; diğerleri ahşap çerçeveli dikdörtgen [güven: high]</t>
        </is>
      </c>
    </row>
    <row r="98">
      <c r="A98" s="5" t="inlineStr">
        <is>
          <t>Tare Suites Urla</t>
        </is>
      </c>
      <c r="B98" s="5" t="inlineStr">
        <is>
          <t>DSSW</t>
        </is>
      </c>
      <c r="C98" s="7" t="n"/>
      <c r="D98" s="6">
        <f>IFERROR(INDEX('Kontrol Adımları'!$D:$D,MATCH(1,INDEX(('Kontrol Adımları'!$A$1:$A$400=B98)*('Kontrol Adımları'!$B$1:$B$400=C98),0),0)),"")</f>
        <v/>
      </c>
      <c r="E98" s="5" t="inlineStr">
        <is>
          <t>duman_dedektoru</t>
        </is>
      </c>
      <c r="F98" s="6">
        <f>IFERROR(INDEX('Kalem Kataloğu'!$C$1:$C$1000,MATCH(1,INDEX(('Kalem Kataloğu'!$A$1:$A$1000=A98)*('Kalem Kataloğu'!$B$1:$B$1000=E98),0),0)),"?")</f>
        <v/>
      </c>
      <c r="G98" s="6">
        <f>IFERROR(INDEX('Kalem Kataloğu'!$D$1:$D$1000,MATCH(1,INDEX(('Kalem Kataloğu'!$A$1:$A$1000=A98)*('Kalem Kataloğu'!$B$1:$B$1000=E98),0),0)),"?")</f>
        <v/>
      </c>
      <c r="H98" s="7" t="n">
        <v>1</v>
      </c>
      <c r="I98" s="7" t="inlineStr">
        <is>
          <t>Hayır</t>
        </is>
      </c>
      <c r="J98" s="5" t="inlineStr">
        <is>
          <t>Drive foto</t>
        </is>
      </c>
      <c r="K98" s="5" t="inlineStr">
        <is>
          <t>Tavanda; özellik dosyasında tüm tiplerde var [güven: medium]</t>
        </is>
      </c>
    </row>
    <row r="99">
      <c r="A99" s="5" t="inlineStr">
        <is>
          <t>Tare Suites Urla</t>
        </is>
      </c>
      <c r="B99" s="5" t="inlineStr">
        <is>
          <t>DSSW</t>
        </is>
      </c>
      <c r="C99" s="7" t="n"/>
      <c r="D99" s="6">
        <f>IFERROR(INDEX('Kontrol Adımları'!$D:$D,MATCH(1,INDEX(('Kontrol Adımları'!$A$1:$A$400=B99)*('Kontrol Adımları'!$B$1:$B$400=C99),0),0)),"")</f>
        <v/>
      </c>
      <c r="E99" s="5" t="inlineStr">
        <is>
          <t>aplik</t>
        </is>
      </c>
      <c r="F99" s="6">
        <f>IFERROR(INDEX('Kalem Kataloğu'!$C$1:$C$1000,MATCH(1,INDEX(('Kalem Kataloğu'!$A$1:$A$1000=A99)*('Kalem Kataloğu'!$B$1:$B$1000=E99),0),0)),"?")</f>
        <v/>
      </c>
      <c r="G99" s="6">
        <f>IFERROR(INDEX('Kalem Kataloğu'!$D$1:$D$1000,MATCH(1,INDEX(('Kalem Kataloğu'!$A$1:$A$1000=A99)*('Kalem Kataloğu'!$B$1:$B$1000=E99),0),0)),"?")</f>
        <v/>
      </c>
      <c r="H99" s="7" t="n">
        <v>2</v>
      </c>
      <c r="I99" s="7" t="inlineStr">
        <is>
          <t>Hayır</t>
        </is>
      </c>
      <c r="J99" s="5" t="inlineStr">
        <is>
          <t>Drive foto</t>
        </is>
      </c>
      <c r="K99" s="5" t="inlineStr">
        <is>
          <t>Yatak başı iki yanda [güven: medium]</t>
        </is>
      </c>
    </row>
    <row r="100">
      <c r="A100" s="5" t="inlineStr">
        <is>
          <t>Tare Suites Urla</t>
        </is>
      </c>
      <c r="B100" s="5" t="inlineStr">
        <is>
          <t>DSSW</t>
        </is>
      </c>
      <c r="C100" s="7" t="n"/>
      <c r="D100" s="6">
        <f>IFERROR(INDEX('Kontrol Adımları'!$D:$D,MATCH(1,INDEX(('Kontrol Adımları'!$A$1:$A$400=B100)*('Kontrol Adımları'!$B$1:$B$400=C100),0),0)),"")</f>
        <v/>
      </c>
      <c r="E100" s="5" t="inlineStr">
        <is>
          <t>havlu_rafi</t>
        </is>
      </c>
      <c r="F100" s="6">
        <f>IFERROR(INDEX('Kalem Kataloğu'!$C$1:$C$1000,MATCH(1,INDEX(('Kalem Kataloğu'!$A$1:$A$1000=A100)*('Kalem Kataloğu'!$B$1:$B$1000=E100),0),0)),"?")</f>
        <v/>
      </c>
      <c r="G100" s="6">
        <f>IFERROR(INDEX('Kalem Kataloğu'!$D$1:$D$1000,MATCH(1,INDEX(('Kalem Kataloğu'!$A$1:$A$1000=A100)*('Kalem Kataloğu'!$B$1:$B$1000=E100),0),0)),"?")</f>
        <v/>
      </c>
      <c r="H100" s="7" t="n">
        <v>1</v>
      </c>
      <c r="I100" s="7" t="inlineStr">
        <is>
          <t>Hayır</t>
        </is>
      </c>
      <c r="J100" s="5" t="inlineStr">
        <is>
          <t>Drive foto</t>
        </is>
      </c>
      <c r="K100" s="5" t="inlineStr">
        <is>
          <t xml:space="preserve"> [güven: high]</t>
        </is>
      </c>
    </row>
    <row r="101">
      <c r="A101" s="5" t="inlineStr">
        <is>
          <t>Tare Suites Urla</t>
        </is>
      </c>
      <c r="B101" s="5" t="inlineStr">
        <is>
          <t>DSSW</t>
        </is>
      </c>
      <c r="C101" s="7" t="n"/>
      <c r="D101" s="6">
        <f>IFERROR(INDEX('Kontrol Adımları'!$D:$D,MATCH(1,INDEX(('Kontrol Adımları'!$A$1:$A$400=B101)*('Kontrol Adımları'!$B$1:$B$400=C101),0),0)),"")</f>
        <v/>
      </c>
      <c r="E101" s="5" t="inlineStr">
        <is>
          <t>tablo</t>
        </is>
      </c>
      <c r="F101" s="6">
        <f>IFERROR(INDEX('Kalem Kataloğu'!$C$1:$C$1000,MATCH(1,INDEX(('Kalem Kataloğu'!$A$1:$A$1000=A101)*('Kalem Kataloğu'!$B$1:$B$1000=E101),0),0)),"?")</f>
        <v/>
      </c>
      <c r="G101" s="6">
        <f>IFERROR(INDEX('Kalem Kataloğu'!$D$1:$D$1000,MATCH(1,INDEX(('Kalem Kataloğu'!$A$1:$A$1000=A101)*('Kalem Kataloğu'!$B$1:$B$1000=E101),0),0)),"?")</f>
        <v/>
      </c>
      <c r="H101" s="7" t="n">
        <v>1</v>
      </c>
      <c r="I101" s="7" t="inlineStr">
        <is>
          <t>Hayır</t>
        </is>
      </c>
      <c r="J101" s="5" t="inlineStr">
        <is>
          <t>Drive foto</t>
        </is>
      </c>
      <c r="K101" s="5" t="inlineStr">
        <is>
          <t xml:space="preserve"> [güven: high]</t>
        </is>
      </c>
    </row>
    <row r="102">
      <c r="A102" s="5" t="inlineStr">
        <is>
          <t>Tare Suites Urla</t>
        </is>
      </c>
      <c r="B102" s="5" t="inlineStr">
        <is>
          <t>DSSW</t>
        </is>
      </c>
      <c r="C102" s="7" t="n"/>
      <c r="D102" s="6">
        <f>IFERROR(INDEX('Kontrol Adımları'!$D:$D,MATCH(1,INDEX(('Kontrol Adımları'!$A$1:$A$400=B102)*('Kontrol Adımları'!$B$1:$B$400=C102),0),0)),"")</f>
        <v/>
      </c>
      <c r="E102" s="5" t="inlineStr">
        <is>
          <t>duvar_tv</t>
        </is>
      </c>
      <c r="F102" s="6">
        <f>IFERROR(INDEX('Kalem Kataloğu'!$C$1:$C$1000,MATCH(1,INDEX(('Kalem Kataloğu'!$A$1:$A$1000=A102)*('Kalem Kataloğu'!$B$1:$B$1000=E102),0),0)),"?")</f>
        <v/>
      </c>
      <c r="G102" s="6">
        <f>IFERROR(INDEX('Kalem Kataloğu'!$D$1:$D$1000,MATCH(1,INDEX(('Kalem Kataloğu'!$A$1:$A$1000=A102)*('Kalem Kataloğu'!$B$1:$B$1000=E102),0),0)),"?")</f>
        <v/>
      </c>
      <c r="H102" s="7" t="n">
        <v>1</v>
      </c>
      <c r="I102" s="7" t="inlineStr">
        <is>
          <t>Hayır</t>
        </is>
      </c>
      <c r="J102" s="5" t="inlineStr">
        <is>
          <t>Drive foto</t>
        </is>
      </c>
      <c r="K102" s="5" t="inlineStr">
        <is>
          <t xml:space="preserve"> [güven: high]</t>
        </is>
      </c>
    </row>
    <row r="103" ht="26.4" customHeight="1">
      <c r="A103" s="5" t="inlineStr">
        <is>
          <t>Tare Suites Urla</t>
        </is>
      </c>
      <c r="B103" s="5" t="inlineStr">
        <is>
          <t>DSSW</t>
        </is>
      </c>
      <c r="C103" s="7" t="n"/>
      <c r="D103" s="6">
        <f>IFERROR(INDEX('Kontrol Adımları'!$D:$D,MATCH(1,INDEX(('Kontrol Adımları'!$A$1:$A$400=B103)*('Kontrol Adımları'!$B$1:$B$400=C103),0),0)),"")</f>
        <v/>
      </c>
      <c r="E103" s="5" t="inlineStr">
        <is>
          <t>sivi_sabun_dispenser</t>
        </is>
      </c>
      <c r="F103" s="6">
        <f>IFERROR(INDEX('Kalem Kataloğu'!$C$1:$C$1000,MATCH(1,INDEX(('Kalem Kataloğu'!$A$1:$A$1000=A103)*('Kalem Kataloğu'!$B$1:$B$1000=E103),0),0)),"?")</f>
        <v/>
      </c>
      <c r="G103" s="6">
        <f>IFERROR(INDEX('Kalem Kataloğu'!$D$1:$D$1000,MATCH(1,INDEX(('Kalem Kataloğu'!$A$1:$A$1000=A103)*('Kalem Kataloğu'!$B$1:$B$1000=E103),0),0)),"?")</f>
        <v/>
      </c>
      <c r="H103" s="7" t="n"/>
      <c r="I103" s="7" t="inlineStr">
        <is>
          <t>Hayır</t>
        </is>
      </c>
      <c r="J103" s="5" t="inlineStr">
        <is>
          <t>Drive foto</t>
        </is>
      </c>
      <c r="K103" s="5" t="inlineStr">
        <is>
          <t>DS fotoğraflarında 1 adet görünüyor (sabun); şampuan/duş jeli dispenserleri duş içinde olabilir [güven: medium]</t>
        </is>
      </c>
    </row>
    <row r="104">
      <c r="A104" s="5" t="inlineStr">
        <is>
          <t>Tare Suites Urla</t>
        </is>
      </c>
      <c r="B104" s="5" t="inlineStr">
        <is>
          <t>DSSW</t>
        </is>
      </c>
      <c r="C104" s="7" t="n"/>
      <c r="D104" s="6">
        <f>IFERROR(INDEX('Kontrol Adımları'!$D:$D,MATCH(1,INDEX(('Kontrol Adımları'!$A$1:$A$400=B104)*('Kontrol Adımları'!$B$1:$B$400=C104),0),0)),"")</f>
        <v/>
      </c>
      <c r="E104" s="5" t="inlineStr">
        <is>
          <t>dus_rafi</t>
        </is>
      </c>
      <c r="F104" s="6">
        <f>IFERROR(INDEX('Kalem Kataloğu'!$C$1:$C$1000,MATCH(1,INDEX(('Kalem Kataloğu'!$A$1:$A$1000=A104)*('Kalem Kataloğu'!$B$1:$B$1000=E104),0),0)),"?")</f>
        <v/>
      </c>
      <c r="G104" s="6">
        <f>IFERROR(INDEX('Kalem Kataloğu'!$D$1:$D$1000,MATCH(1,INDEX(('Kalem Kataloğu'!$A$1:$A$1000=A104)*('Kalem Kataloğu'!$B$1:$B$1000=E104),0),0)),"?")</f>
        <v/>
      </c>
      <c r="H104" s="7" t="n">
        <v>1</v>
      </c>
      <c r="I104" s="7" t="inlineStr">
        <is>
          <t>Hayır</t>
        </is>
      </c>
      <c r="J104" s="5" t="inlineStr">
        <is>
          <t>Drive foto</t>
        </is>
      </c>
      <c r="K104" s="5" t="inlineStr">
        <is>
          <t xml:space="preserve"> [güven: medium]</t>
        </is>
      </c>
    </row>
    <row r="105">
      <c r="A105" s="5" t="inlineStr">
        <is>
          <t>Tare Suites Urla</t>
        </is>
      </c>
      <c r="B105" s="5" t="inlineStr">
        <is>
          <t>DSSW</t>
        </is>
      </c>
      <c r="C105" s="7" t="n"/>
      <c r="D105" s="6">
        <f>IFERROR(INDEX('Kontrol Adımları'!$D:$D,MATCH(1,INDEX(('Kontrol Adımları'!$A$1:$A$400=B105)*('Kontrol Adımları'!$B$1:$B$400=C105),0),0)),"")</f>
        <v/>
      </c>
      <c r="E105" s="5" t="inlineStr">
        <is>
          <t>dus_kabini</t>
        </is>
      </c>
      <c r="F105" s="6">
        <f>IFERROR(INDEX('Kalem Kataloğu'!$C$1:$C$1000,MATCH(1,INDEX(('Kalem Kataloğu'!$A$1:$A$1000=A105)*('Kalem Kataloğu'!$B$1:$B$1000=E105),0),0)),"?")</f>
        <v/>
      </c>
      <c r="G105" s="6">
        <f>IFERROR(INDEX('Kalem Kataloğu'!$D$1:$D$1000,MATCH(1,INDEX(('Kalem Kataloğu'!$A$1:$A$1000=A105)*('Kalem Kataloğu'!$B$1:$B$1000=E105),0),0)),"?")</f>
        <v/>
      </c>
      <c r="H105" s="7" t="n">
        <v>1</v>
      </c>
      <c r="I105" s="7" t="inlineStr">
        <is>
          <t>Hayır</t>
        </is>
      </c>
      <c r="J105" s="5" t="inlineStr">
        <is>
          <t>Drive foto</t>
        </is>
      </c>
      <c r="K105" s="5" t="inlineStr">
        <is>
          <t xml:space="preserve"> [güven: high]</t>
        </is>
      </c>
    </row>
    <row r="106" ht="26.4" customHeight="1">
      <c r="A106" s="5" t="inlineStr">
        <is>
          <t>Tare Suites Urla</t>
        </is>
      </c>
      <c r="B106" s="5" t="inlineStr">
        <is>
          <t>DSSW</t>
        </is>
      </c>
      <c r="C106" s="7" t="n"/>
      <c r="D106" s="6">
        <f>IFERROR(INDEX('Kontrol Adımları'!$D:$D,MATCH(1,INDEX(('Kontrol Adımları'!$A$1:$A$400=B106)*('Kontrol Adımları'!$B$1:$B$400=C106),0),0)),"")</f>
        <v/>
      </c>
      <c r="E106" s="5" t="inlineStr">
        <is>
          <t>gardirop</t>
        </is>
      </c>
      <c r="F106" s="6">
        <f>IFERROR(INDEX('Kalem Kataloğu'!$C$1:$C$1000,MATCH(1,INDEX(('Kalem Kataloğu'!$A$1:$A$1000=A106)*('Kalem Kataloğu'!$B$1:$B$1000=E106),0),0)),"?")</f>
        <v/>
      </c>
      <c r="G106" s="6">
        <f>IFERROR(INDEX('Kalem Kataloğu'!$D$1:$D$1000,MATCH(1,INDEX(('Kalem Kataloğu'!$A$1:$A$1000=A106)*('Kalem Kataloğu'!$B$1:$B$1000=E106),0),0)),"?")</f>
        <v/>
      </c>
      <c r="H106" s="7" t="n"/>
      <c r="I106" s="7" t="inlineStr">
        <is>
          <t>Hayır</t>
        </is>
      </c>
      <c r="J106" s="5" t="inlineStr">
        <is>
          <t>Drive foto</t>
        </is>
      </c>
      <c r="K106" s="5" t="inlineStr">
        <is>
          <t>Özellik dosyasında tüm tiplerde var; yalnız EXSB fotoğrafında görünüyor [güven: medium]</t>
        </is>
      </c>
    </row>
    <row r="107">
      <c r="A107" s="5" t="inlineStr">
        <is>
          <t>Tare Suites Urla</t>
        </is>
      </c>
      <c r="B107" s="5" t="inlineStr">
        <is>
          <t>DSSW</t>
        </is>
      </c>
      <c r="C107" s="7" t="n"/>
      <c r="D107" s="6">
        <f>IFERROR(INDEX('Kontrol Adımları'!$D:$D,MATCH(1,INDEX(('Kontrol Adımları'!$A$1:$A$400=B107)*('Kontrol Adımları'!$B$1:$B$400=C107),0),0)),"")</f>
        <v/>
      </c>
      <c r="E107" s="5" t="inlineStr">
        <is>
          <t>komodin</t>
        </is>
      </c>
      <c r="F107" s="6">
        <f>IFERROR(INDEX('Kalem Kataloğu'!$C$1:$C$1000,MATCH(1,INDEX(('Kalem Kataloğu'!$A$1:$A$1000=A107)*('Kalem Kataloğu'!$B$1:$B$1000=E107),0),0)),"?")</f>
        <v/>
      </c>
      <c r="G107" s="6">
        <f>IFERROR(INDEX('Kalem Kataloğu'!$D$1:$D$1000,MATCH(1,INDEX(('Kalem Kataloğu'!$A$1:$A$1000=A107)*('Kalem Kataloğu'!$B$1:$B$1000=E107),0),0)),"?")</f>
        <v/>
      </c>
      <c r="H107" s="7" t="n">
        <v>1</v>
      </c>
      <c r="I107" s="7" t="inlineStr">
        <is>
          <t>Hayır</t>
        </is>
      </c>
      <c r="J107" s="5" t="inlineStr">
        <is>
          <t>Drive foto</t>
        </is>
      </c>
      <c r="K107" s="5" t="inlineStr">
        <is>
          <t>DSSW fotoğrafında yalnız bir yan görünüyor; muhtemelen 2 [güven: medium]</t>
        </is>
      </c>
    </row>
    <row r="108">
      <c r="A108" s="5" t="inlineStr">
        <is>
          <t>Tare Suites Urla</t>
        </is>
      </c>
      <c r="B108" s="5" t="inlineStr">
        <is>
          <t>DSSW</t>
        </is>
      </c>
      <c r="C108" s="7" t="n"/>
      <c r="D108" s="6">
        <f>IFERROR(INDEX('Kontrol Adımları'!$D:$D,MATCH(1,INDEX(('Kontrol Adımları'!$A$1:$A$400=B108)*('Kontrol Adımları'!$B$1:$B$400=C108),0),0)),"")</f>
        <v/>
      </c>
      <c r="E108" s="5" t="inlineStr">
        <is>
          <t>calisma_masasi_ayna</t>
        </is>
      </c>
      <c r="F108" s="6">
        <f>IFERROR(INDEX('Kalem Kataloğu'!$C$1:$C$1000,MATCH(1,INDEX(('Kalem Kataloğu'!$A$1:$A$1000=A108)*('Kalem Kataloğu'!$B$1:$B$1000=E108),0),0)),"?")</f>
        <v/>
      </c>
      <c r="G108" s="6">
        <f>IFERROR(INDEX('Kalem Kataloğu'!$D$1:$D$1000,MATCH(1,INDEX(('Kalem Kataloğu'!$A$1:$A$1000=A108)*('Kalem Kataloğu'!$B$1:$B$1000=E108),0),0)),"?")</f>
        <v/>
      </c>
      <c r="H108" s="7" t="n">
        <v>1</v>
      </c>
      <c r="I108" s="7" t="inlineStr">
        <is>
          <t>Hayır</t>
        </is>
      </c>
      <c r="J108" s="5" t="inlineStr">
        <is>
          <t>Drive foto</t>
        </is>
      </c>
      <c r="K108" s="5" t="inlineStr">
        <is>
          <t xml:space="preserve"> [güven: high]</t>
        </is>
      </c>
    </row>
    <row r="109" ht="26.4" customHeight="1">
      <c r="A109" s="5" t="inlineStr">
        <is>
          <t>Tare Suites Urla</t>
        </is>
      </c>
      <c r="B109" s="5" t="inlineStr">
        <is>
          <t>DSSW</t>
        </is>
      </c>
      <c r="C109" s="7" t="n"/>
      <c r="D109" s="6">
        <f>IFERROR(INDEX('Kontrol Adımları'!$D:$D,MATCH(1,INDEX(('Kontrol Adımları'!$A$1:$A$400=B109)*('Kontrol Adımları'!$B$1:$B$400=C109),0),0)),"")</f>
        <v/>
      </c>
      <c r="E109" s="5" t="inlineStr">
        <is>
          <t>lavabo_dolabi</t>
        </is>
      </c>
      <c r="F109" s="6">
        <f>IFERROR(INDEX('Kalem Kataloğu'!$C$1:$C$1000,MATCH(1,INDEX(('Kalem Kataloğu'!$A$1:$A$1000=A109)*('Kalem Kataloğu'!$B$1:$B$1000=E109),0),0)),"?")</f>
        <v/>
      </c>
      <c r="G109" s="6">
        <f>IFERROR(INDEX('Kalem Kataloğu'!$D$1:$D$1000,MATCH(1,INDEX(('Kalem Kataloğu'!$A$1:$A$1000=A109)*('Kalem Kataloğu'!$B$1:$B$1000=E109),0),0)),"?")</f>
        <v/>
      </c>
      <c r="H109" s="7" t="n">
        <v>1</v>
      </c>
      <c r="I109" s="7" t="inlineStr">
        <is>
          <t>Hayır</t>
        </is>
      </c>
      <c r="J109" s="5" t="inlineStr">
        <is>
          <t>Drive foto</t>
        </is>
      </c>
      <c r="K109" s="5" t="inlineStr">
        <is>
          <t xml:space="preserve"> [güven: high]</t>
        </is>
      </c>
    </row>
    <row r="110" ht="26.4" customHeight="1">
      <c r="A110" s="5" t="inlineStr">
        <is>
          <t>Tare Suites Urla</t>
        </is>
      </c>
      <c r="B110" s="5" t="inlineStr">
        <is>
          <t>DSSW</t>
        </is>
      </c>
      <c r="C110" s="7" t="n"/>
      <c r="D110" s="6">
        <f>IFERROR(INDEX('Kontrol Adımları'!$D:$D,MATCH(1,INDEX(('Kontrol Adımları'!$A$1:$A$400=B110)*('Kontrol Adımları'!$B$1:$B$400=C110),0),0)),"")</f>
        <v/>
      </c>
      <c r="E110" s="5" t="inlineStr">
        <is>
          <t>mini_buzdolabi</t>
        </is>
      </c>
      <c r="F110" s="6">
        <f>IFERROR(INDEX('Kalem Kataloğu'!$C$1:$C$1000,MATCH(1,INDEX(('Kalem Kataloğu'!$A$1:$A$1000=A110)*('Kalem Kataloğu'!$B$1:$B$1000=E110),0),0)),"?")</f>
        <v/>
      </c>
      <c r="G110" s="6">
        <f>IFERROR(INDEX('Kalem Kataloğu'!$D$1:$D$1000,MATCH(1,INDEX(('Kalem Kataloğu'!$A$1:$A$1000=A110)*('Kalem Kataloğu'!$B$1:$B$1000=E110),0),0)),"?")</f>
        <v/>
      </c>
      <c r="H110" s="7" t="n">
        <v>1</v>
      </c>
      <c r="I110" s="7" t="inlineStr">
        <is>
          <t>Hayır</t>
        </is>
      </c>
      <c r="J110" s="5" t="inlineStr">
        <is>
          <t>Drive foto</t>
        </is>
      </c>
      <c r="K110" s="5" t="inlineStr">
        <is>
          <t>Özellik dosyasında Urla Suites için Buzdolabı "-" ama fotoğraflarda masa altında mini buzdolabı var — teyit [güven: high]</t>
        </is>
      </c>
    </row>
    <row r="111" ht="26.4" customHeight="1">
      <c r="A111" s="5" t="inlineStr">
        <is>
          <t>Tare Suites Urla</t>
        </is>
      </c>
      <c r="B111" s="5" t="inlineStr">
        <is>
          <t>DSSW</t>
        </is>
      </c>
      <c r="C111" s="7" t="n"/>
      <c r="D111" s="6">
        <f>IFERROR(INDEX('Kontrol Adımları'!$D:$D,MATCH(1,INDEX(('Kontrol Adımları'!$A$1:$A$400=B111)*('Kontrol Adımları'!$B$1:$B$400=C111),0),0)),"")</f>
        <v/>
      </c>
      <c r="E111" s="5" t="inlineStr">
        <is>
          <t>banyo_cop_kovasi</t>
        </is>
      </c>
      <c r="F111" s="6">
        <f>IFERROR(INDEX('Kalem Kataloğu'!$C$1:$C$1000,MATCH(1,INDEX(('Kalem Kataloğu'!$A$1:$A$1000=A111)*('Kalem Kataloğu'!$B$1:$B$1000=E111),0),0)),"?")</f>
        <v/>
      </c>
      <c r="G111" s="6">
        <f>IFERROR(INDEX('Kalem Kataloğu'!$D$1:$D$1000,MATCH(1,INDEX(('Kalem Kataloğu'!$A$1:$A$1000=A111)*('Kalem Kataloğu'!$B$1:$B$1000=E111),0),0)),"?")</f>
        <v/>
      </c>
      <c r="H111" s="7" t="n"/>
      <c r="I111" s="7" t="inlineStr">
        <is>
          <t>Hayır</t>
        </is>
      </c>
      <c r="J111" s="5" t="inlineStr">
        <is>
          <t>Drive foto</t>
        </is>
      </c>
      <c r="K111" s="5" t="inlineStr">
        <is>
          <t xml:space="preserve"> [güven: medium]</t>
        </is>
      </c>
    </row>
    <row r="112">
      <c r="A112" s="5" t="inlineStr">
        <is>
          <t>Tare Suites Urla</t>
        </is>
      </c>
      <c r="B112" s="5" t="inlineStr">
        <is>
          <t>DSSW</t>
        </is>
      </c>
      <c r="C112" s="7" t="n"/>
      <c r="D112" s="6">
        <f>IFERROR(INDEX('Kontrol Adımları'!$D:$D,MATCH(1,INDEX(('Kontrol Adımları'!$A$1:$A$400=B112)*('Kontrol Adımları'!$B$1:$B$400=C112),0),0)),"")</f>
        <v/>
      </c>
      <c r="E112" s="5" t="inlineStr">
        <is>
          <t>sandalye</t>
        </is>
      </c>
      <c r="F112" s="6">
        <f>IFERROR(INDEX('Kalem Kataloğu'!$C$1:$C$1000,MATCH(1,INDEX(('Kalem Kataloğu'!$A$1:$A$1000=A112)*('Kalem Kataloğu'!$B$1:$B$1000=E112),0),0)),"?")</f>
        <v/>
      </c>
      <c r="G112" s="6">
        <f>IFERROR(INDEX('Kalem Kataloğu'!$D$1:$D$1000,MATCH(1,INDEX(('Kalem Kataloğu'!$A$1:$A$1000=A112)*('Kalem Kataloğu'!$B$1:$B$1000=E112),0),0)),"?")</f>
        <v/>
      </c>
      <c r="H112" s="7" t="n">
        <v>2</v>
      </c>
      <c r="I112" s="7" t="inlineStr">
        <is>
          <t>Hayır</t>
        </is>
      </c>
      <c r="J112" s="5" t="inlineStr">
        <is>
          <t>Drive foto</t>
        </is>
      </c>
      <c r="K112" s="5" t="inlineStr">
        <is>
          <t xml:space="preserve"> [güven: high]</t>
        </is>
      </c>
    </row>
    <row r="113">
      <c r="A113" s="5" t="inlineStr">
        <is>
          <t>Tare Suites Urla</t>
        </is>
      </c>
      <c r="B113" s="5" t="inlineStr">
        <is>
          <t>DSSW</t>
        </is>
      </c>
      <c r="C113" s="7" t="n"/>
      <c r="D113" s="6">
        <f>IFERROR(INDEX('Kontrol Adımları'!$D:$D,MATCH(1,INDEX(('Kontrol Adımları'!$A$1:$A$400=B113)*('Kontrol Adımları'!$B$1:$B$400=C113),0),0)),"")</f>
        <v/>
      </c>
      <c r="E113" s="5" t="inlineStr">
        <is>
          <t>sac_kurutma</t>
        </is>
      </c>
      <c r="F113" s="6">
        <f>IFERROR(INDEX('Kalem Kataloğu'!$C$1:$C$1000,MATCH(1,INDEX(('Kalem Kataloğu'!$A$1:$A$1000=A113)*('Kalem Kataloğu'!$B$1:$B$1000=E113),0),0)),"?")</f>
        <v/>
      </c>
      <c r="G113" s="6">
        <f>IFERROR(INDEX('Kalem Kataloğu'!$D$1:$D$1000,MATCH(1,INDEX(('Kalem Kataloğu'!$A$1:$A$1000=A113)*('Kalem Kataloğu'!$B$1:$B$1000=E113),0),0)),"?")</f>
        <v/>
      </c>
      <c r="H113" s="7" t="n"/>
      <c r="I113" s="7" t="inlineStr">
        <is>
          <t>Hayır</t>
        </is>
      </c>
      <c r="J113" s="5" t="inlineStr">
        <is>
          <t>Drive foto</t>
        </is>
      </c>
      <c r="K113" s="5" t="inlineStr">
        <is>
          <t>Özellik dosyasında tüm tiplerde var; yalnız EDR fotoğrafında görünüyor [güven: medium]</t>
        </is>
      </c>
    </row>
    <row r="114" ht="39.6" customHeight="1">
      <c r="A114" s="5" t="inlineStr">
        <is>
          <t>Tare Suites Urla</t>
        </is>
      </c>
      <c r="B114" s="5" t="inlineStr">
        <is>
          <t>DSSW</t>
        </is>
      </c>
      <c r="C114" s="7" t="n"/>
      <c r="D114" s="6">
        <f>IFERROR(INDEX('Kontrol Adımları'!$D:$D,MATCH(1,INDEX(('Kontrol Adımları'!$A$1:$A$400=B114)*('Kontrol Adımları'!$B$1:$B$400=C114),0),0)),"")</f>
        <v/>
      </c>
      <c r="E114" s="5" t="inlineStr">
        <is>
          <t>klima</t>
        </is>
      </c>
      <c r="F114" s="6">
        <f>IFERROR(INDEX('Kalem Kataloğu'!$C$1:$C$1000,MATCH(1,INDEX(('Kalem Kataloğu'!$A$1:$A$1000=A114)*('Kalem Kataloğu'!$B$1:$B$1000=E114),0),0)),"?")</f>
        <v/>
      </c>
      <c r="G114" s="6">
        <f>IFERROR(INDEX('Kalem Kataloğu'!$D$1:$D$1000,MATCH(1,INDEX(('Kalem Kataloğu'!$A$1:$A$1000=A114)*('Kalem Kataloğu'!$B$1:$B$1000=E114),0),0)),"?")</f>
        <v/>
      </c>
      <c r="H114" s="7" t="n">
        <v>1</v>
      </c>
      <c r="I114" s="7" t="inlineStr">
        <is>
          <t>Hayır</t>
        </is>
      </c>
      <c r="J114" s="5" t="inlineStr">
        <is>
          <t>Drive foto</t>
        </is>
      </c>
      <c r="K114" s="5" t="inlineStr">
        <is>
          <t xml:space="preserve"> [güven: high]</t>
        </is>
      </c>
    </row>
    <row r="115" ht="26.4" customHeight="1">
      <c r="A115" s="5" t="inlineStr">
        <is>
          <t>Tare Suites Urla</t>
        </is>
      </c>
      <c r="B115" s="5" t="inlineStr">
        <is>
          <t>DSSW</t>
        </is>
      </c>
      <c r="C115" s="7" t="n"/>
      <c r="D115" s="6">
        <f>IFERROR(INDEX('Kontrol Adımları'!$D:$D,MATCH(1,INDEX(('Kontrol Adımları'!$A$1:$A$400=B115)*('Kontrol Adımları'!$B$1:$B$400=C115),0),0)),"")</f>
        <v/>
      </c>
      <c r="E115" s="5" t="inlineStr">
        <is>
          <t>kettle</t>
        </is>
      </c>
      <c r="F115" s="6">
        <f>IFERROR(INDEX('Kalem Kataloğu'!$C$1:$C$1000,MATCH(1,INDEX(('Kalem Kataloğu'!$A$1:$A$1000=A115)*('Kalem Kataloğu'!$B$1:$B$1000=E115),0),0)),"?")</f>
        <v/>
      </c>
      <c r="G115" s="6">
        <f>IFERROR(INDEX('Kalem Kataloğu'!$D$1:$D$1000,MATCH(1,INDEX(('Kalem Kataloğu'!$A$1:$A$1000=A115)*('Kalem Kataloğu'!$B$1:$B$1000=E115),0),0)),"?")</f>
        <v/>
      </c>
      <c r="H115" s="7" t="n">
        <v>1</v>
      </c>
      <c r="I115" s="7" t="inlineStr">
        <is>
          <t>Hayır</t>
        </is>
      </c>
      <c r="J115" s="5" t="inlineStr">
        <is>
          <t>Drive foto</t>
        </is>
      </c>
      <c r="K115" s="5" t="inlineStr">
        <is>
          <t xml:space="preserve"> [güven: high]</t>
        </is>
      </c>
    </row>
    <row r="116" ht="26.4" customHeight="1">
      <c r="A116" s="5" t="inlineStr">
        <is>
          <t>Tare Suites Urla</t>
        </is>
      </c>
      <c r="B116" s="5" t="inlineStr">
        <is>
          <t>DSSW</t>
        </is>
      </c>
      <c r="C116" s="7" t="n"/>
      <c r="D116" s="6">
        <f>IFERROR(INDEX('Kontrol Adımları'!$D:$D,MATCH(1,INDEX(('Kontrol Adımları'!$A$1:$A$400=B116)*('Kontrol Adımları'!$B$1:$B$400=C116),0),0)),"")</f>
        <v/>
      </c>
      <c r="E116" s="5" t="inlineStr">
        <is>
          <t>tuvalet_kagidi_aparati</t>
        </is>
      </c>
      <c r="F116" s="6">
        <f>IFERROR(INDEX('Kalem Kataloğu'!$C$1:$C$1000,MATCH(1,INDEX(('Kalem Kataloğu'!$A$1:$A$1000=A116)*('Kalem Kataloğu'!$B$1:$B$1000=E116),0),0)),"?")</f>
        <v/>
      </c>
      <c r="G116" s="6">
        <f>IFERROR(INDEX('Kalem Kataloğu'!$D$1:$D$1000,MATCH(1,INDEX(('Kalem Kataloğu'!$A$1:$A$1000=A116)*('Kalem Kataloğu'!$B$1:$B$1000=E116),0),0)),"?")</f>
        <v/>
      </c>
      <c r="H116" s="7" t="n"/>
      <c r="I116" s="7" t="inlineStr">
        <is>
          <t>Hayır</t>
        </is>
      </c>
      <c r="J116" s="5" t="inlineStr">
        <is>
          <t>Drive foto</t>
        </is>
      </c>
      <c r="K116" s="5" t="inlineStr">
        <is>
          <t xml:space="preserve"> [güven: high]</t>
        </is>
      </c>
    </row>
    <row r="117" ht="26.4" customHeight="1">
      <c r="A117" s="5" t="inlineStr">
        <is>
          <t>Tare Suites Urla</t>
        </is>
      </c>
      <c r="B117" s="5" t="inlineStr">
        <is>
          <t>DSSW</t>
        </is>
      </c>
      <c r="C117" s="7" t="n"/>
      <c r="D117" s="6">
        <f>IFERROR(INDEX('Kontrol Adımları'!$D:$D,MATCH(1,INDEX(('Kontrol Adımları'!$A$1:$A$400=B117)*('Kontrol Adımları'!$B$1:$B$400=C117),0),0)),"")</f>
        <v/>
      </c>
      <c r="E117" s="5" t="inlineStr">
        <is>
          <t>wc_fircasi</t>
        </is>
      </c>
      <c r="F117" s="6">
        <f>IFERROR(INDEX('Kalem Kataloğu'!$C$1:$C$1000,MATCH(1,INDEX(('Kalem Kataloğu'!$A$1:$A$1000=A117)*('Kalem Kataloğu'!$B$1:$B$1000=E117),0),0)),"?")</f>
        <v/>
      </c>
      <c r="G117" s="6">
        <f>IFERROR(INDEX('Kalem Kataloğu'!$D$1:$D$1000,MATCH(1,INDEX(('Kalem Kataloğu'!$A$1:$A$1000=A117)*('Kalem Kataloğu'!$B$1:$B$1000=E117),0),0)),"?")</f>
        <v/>
      </c>
      <c r="H117" s="7" t="n">
        <v>1</v>
      </c>
      <c r="I117" s="7" t="inlineStr">
        <is>
          <t>Hayır</t>
        </is>
      </c>
      <c r="J117" s="5" t="inlineStr">
        <is>
          <t>Drive foto</t>
        </is>
      </c>
      <c r="K117" s="5" t="inlineStr">
        <is>
          <t xml:space="preserve"> [güven: medium]</t>
        </is>
      </c>
    </row>
    <row r="118" ht="26.4" customHeight="1">
      <c r="A118" s="5" t="inlineStr">
        <is>
          <t>Tare Suites Urla</t>
        </is>
      </c>
      <c r="B118" s="5" t="inlineStr">
        <is>
          <t>DSSW</t>
        </is>
      </c>
      <c r="C118" s="7" t="n"/>
      <c r="D118" s="6">
        <f>IFERROR(INDEX('Kontrol Adımları'!$D:$D,MATCH(1,INDEX(('Kontrol Adımları'!$A$1:$A$400=B118)*('Kontrol Adımları'!$B$1:$B$400=C118),0),0)),"")</f>
        <v/>
      </c>
      <c r="E118" s="5" t="inlineStr">
        <is>
          <t>yastik</t>
        </is>
      </c>
      <c r="F118" s="6">
        <f>IFERROR(INDEX('Kalem Kataloğu'!$C$1:$C$1000,MATCH(1,INDEX(('Kalem Kataloğu'!$A$1:$A$1000=A118)*('Kalem Kataloğu'!$B$1:$B$1000=E118),0),0)),"?")</f>
        <v/>
      </c>
      <c r="G118" s="6">
        <f>IFERROR(INDEX('Kalem Kataloğu'!$D$1:$D$1000,MATCH(1,INDEX(('Kalem Kataloğu'!$A$1:$A$1000=A118)*('Kalem Kataloğu'!$B$1:$B$1000=E118),0),0)),"?")</f>
        <v/>
      </c>
      <c r="H118" s="7" t="n">
        <v>2</v>
      </c>
      <c r="I118" s="7" t="inlineStr">
        <is>
          <t>Hayır</t>
        </is>
      </c>
      <c r="J118" s="5" t="inlineStr">
        <is>
          <t>Drive foto</t>
        </is>
      </c>
      <c r="K118" s="5" t="inlineStr">
        <is>
          <t>Yatak başına görünen; EDR/EXSB/DFS 2+2 dizilmiş, DSSW/DS 2. Standart olarak teyit edilmeli [güven: medium]</t>
        </is>
      </c>
    </row>
    <row r="119" ht="26.4" customHeight="1">
      <c r="A119" s="5" t="inlineStr">
        <is>
          <t>Tare Suites Urla</t>
        </is>
      </c>
      <c r="B119" s="5" t="inlineStr">
        <is>
          <t>DSSW</t>
        </is>
      </c>
      <c r="C119" s="7" t="n"/>
      <c r="D119" s="6">
        <f>IFERROR(INDEX('Kontrol Adımları'!$D:$D,MATCH(1,INDEX(('Kontrol Adımları'!$A$1:$A$400=B119)*('Kontrol Adımları'!$B$1:$B$400=C119),0),0)),"")</f>
        <v/>
      </c>
      <c r="E119" s="5" t="inlineStr">
        <is>
          <t>masa_sandalye_seti</t>
        </is>
      </c>
      <c r="F119" s="6">
        <f>IFERROR(INDEX('Kalem Kataloğu'!$C$1:$C$1000,MATCH(1,INDEX(('Kalem Kataloğu'!$A$1:$A$1000=A119)*('Kalem Kataloğu'!$B$1:$B$1000=E119),0),0)),"?")</f>
        <v/>
      </c>
      <c r="G119" s="6">
        <f>IFERROR(INDEX('Kalem Kataloğu'!$D$1:$D$1000,MATCH(1,INDEX(('Kalem Kataloğu'!$A$1:$A$1000=A119)*('Kalem Kataloğu'!$B$1:$B$1000=E119),0),0)),"?")</f>
        <v/>
      </c>
      <c r="H119" s="7" t="n">
        <v>1</v>
      </c>
      <c r="I119" s="7" t="inlineStr">
        <is>
          <t>Hayır</t>
        </is>
      </c>
      <c r="J119" s="5" t="inlineStr">
        <is>
          <t>Drive foto</t>
        </is>
      </c>
      <c r="K119" s="5" t="inlineStr">
        <is>
          <t>EDR fotoğraflarında oturma grubu yok (özellik dosyasıyla uyumlu) [güven: high]</t>
        </is>
      </c>
    </row>
    <row r="120">
      <c r="A120" s="5" t="inlineStr">
        <is>
          <t>Tare Suites Urla</t>
        </is>
      </c>
      <c r="B120" s="5" t="inlineStr">
        <is>
          <t>DSSW</t>
        </is>
      </c>
      <c r="C120" s="7" t="n"/>
      <c r="D120" s="6">
        <f>IFERROR(INDEX('Kontrol Adımları'!$D:$D,MATCH(1,INDEX(('Kontrol Adımları'!$A$1:$A$400=B120)*('Kontrol Adımları'!$B$1:$B$400=C120),0),0)),"")</f>
        <v/>
      </c>
      <c r="E120" s="5" t="inlineStr">
        <is>
          <t>cift_kisilik_yatak</t>
        </is>
      </c>
      <c r="F120" s="6">
        <f>IFERROR(INDEX('Kalem Kataloğu'!$C$1:$C$1000,MATCH(1,INDEX(('Kalem Kataloğu'!$A$1:$A$1000=A120)*('Kalem Kataloğu'!$B$1:$B$1000=E120),0),0)),"?")</f>
        <v/>
      </c>
      <c r="G120" s="6">
        <f>IFERROR(INDEX('Kalem Kataloğu'!$D$1:$D$1000,MATCH(1,INDEX(('Kalem Kataloğu'!$A$1:$A$1000=A120)*('Kalem Kataloğu'!$B$1:$B$1000=E120),0),0)),"?")</f>
        <v/>
      </c>
      <c r="H120" s="7" t="n">
        <v>1</v>
      </c>
      <c r="I120" s="7" t="inlineStr">
        <is>
          <t>Hayır</t>
        </is>
      </c>
      <c r="J120" s="5" t="inlineStr">
        <is>
          <t>Drive foto</t>
        </is>
      </c>
      <c r="K120" s="5" t="inlineStr">
        <is>
          <t>DFS dubleks: üst katta (asma kat) ek yatak alanı olabilir, fotoğrafta net değil [güven: high]</t>
        </is>
      </c>
    </row>
    <row r="121" ht="26.4" customHeight="1">
      <c r="A121" s="5" t="inlineStr">
        <is>
          <t>Tare Suites Urla</t>
        </is>
      </c>
      <c r="B121" s="5" t="inlineStr">
        <is>
          <t>EDR</t>
        </is>
      </c>
      <c r="C121" s="7" t="n"/>
      <c r="D121" s="6">
        <f>IFERROR(INDEX('Kontrol Adımları'!$D:$D,MATCH(1,INDEX(('Kontrol Adımları'!$A$1:$A$400=B121)*('Kontrol Adımları'!$B$1:$B$400=C121),0),0)),"")</f>
        <v/>
      </c>
      <c r="E121" s="5" t="inlineStr">
        <is>
          <t>asma_klozet</t>
        </is>
      </c>
      <c r="F121" s="6">
        <f>IFERROR(INDEX('Kalem Kataloğu'!$C$1:$C$1000,MATCH(1,INDEX(('Kalem Kataloğu'!$A$1:$A$1000=A121)*('Kalem Kataloğu'!$B$1:$B$1000=E121),0),0)),"?")</f>
        <v/>
      </c>
      <c r="G121" s="6">
        <f>IFERROR(INDEX('Kalem Kataloğu'!$D$1:$D$1000,MATCH(1,INDEX(('Kalem Kataloğu'!$A$1:$A$1000=A121)*('Kalem Kataloğu'!$B$1:$B$1000=E121),0),0)),"?")</f>
        <v/>
      </c>
      <c r="H121" s="7" t="n">
        <v>1</v>
      </c>
      <c r="I121" s="7" t="inlineStr">
        <is>
          <t>Hayır</t>
        </is>
      </c>
      <c r="J121" s="5" t="inlineStr">
        <is>
          <t>Drive foto</t>
        </is>
      </c>
      <c r="K121" s="5" t="inlineStr">
        <is>
          <t xml:space="preserve"> [güven: high]</t>
        </is>
      </c>
    </row>
    <row r="122">
      <c r="A122" s="5" t="inlineStr">
        <is>
          <t>Tare Suites Urla</t>
        </is>
      </c>
      <c r="B122" s="5" t="inlineStr">
        <is>
          <t>EDR</t>
        </is>
      </c>
      <c r="C122" s="7" t="n"/>
      <c r="D122" s="6">
        <f>IFERROR(INDEX('Kontrol Adımları'!$D:$D,MATCH(1,INDEX(('Kontrol Adımları'!$A$1:$A$400=B122)*('Kontrol Adımları'!$B$1:$B$400=C122),0),0)),"")</f>
        <v/>
      </c>
      <c r="E122" s="5" t="inlineStr">
        <is>
          <t>ikram_tepsisi</t>
        </is>
      </c>
      <c r="F122" s="6">
        <f>IFERROR(INDEX('Kalem Kataloğu'!$C$1:$C$1000,MATCH(1,INDEX(('Kalem Kataloğu'!$A$1:$A$1000=A122)*('Kalem Kataloğu'!$B$1:$B$1000=E122),0),0)),"?")</f>
        <v/>
      </c>
      <c r="G122" s="6">
        <f>IFERROR(INDEX('Kalem Kataloğu'!$D$1:$D$1000,MATCH(1,INDEX(('Kalem Kataloğu'!$A$1:$A$1000=A122)*('Kalem Kataloğu'!$B$1:$B$1000=E122),0),0)),"?")</f>
        <v/>
      </c>
      <c r="H122" s="7" t="n">
        <v>1</v>
      </c>
      <c r="I122" s="7" t="inlineStr">
        <is>
          <t>Hayır</t>
        </is>
      </c>
      <c r="J122" s="5" t="inlineStr">
        <is>
          <t>Drive foto</t>
        </is>
      </c>
      <c r="K122" s="5" t="inlineStr">
        <is>
          <t>İçeriği ikram_tepsisi listesinde [güven: high]</t>
        </is>
      </c>
    </row>
    <row r="123" ht="26.4" customHeight="1">
      <c r="A123" s="5" t="inlineStr">
        <is>
          <t>Tare Suites Urla</t>
        </is>
      </c>
      <c r="B123" s="5" t="inlineStr">
        <is>
          <t>EDR</t>
        </is>
      </c>
      <c r="C123" s="7" t="n"/>
      <c r="D123" s="6">
        <f>IFERROR(INDEX('Kontrol Adımları'!$D:$D,MATCH(1,INDEX(('Kontrol Adımları'!$A$1:$A$400=B123)*('Kontrol Adımları'!$B$1:$B$400=C123),0),0)),"")</f>
        <v/>
      </c>
      <c r="E123" s="5" t="inlineStr">
        <is>
          <t>banyo_aynasi</t>
        </is>
      </c>
      <c r="F123" s="6">
        <f>IFERROR(INDEX('Kalem Kataloğu'!$C$1:$C$1000,MATCH(1,INDEX(('Kalem Kataloğu'!$A$1:$A$1000=A123)*('Kalem Kataloğu'!$B$1:$B$1000=E123),0),0)),"?")</f>
        <v/>
      </c>
      <c r="G123" s="6">
        <f>IFERROR(INDEX('Kalem Kataloğu'!$D$1:$D$1000,MATCH(1,INDEX(('Kalem Kataloğu'!$A$1:$A$1000=A123)*('Kalem Kataloğu'!$B$1:$B$1000=E123),0),0)),"?")</f>
        <v/>
      </c>
      <c r="H123" s="7" t="n">
        <v>1</v>
      </c>
      <c r="I123" s="7" t="inlineStr">
        <is>
          <t>Hayır</t>
        </is>
      </c>
      <c r="J123" s="5" t="inlineStr">
        <is>
          <t>Drive foto</t>
        </is>
      </c>
      <c r="K123" s="5" t="inlineStr">
        <is>
          <t>DSSW yuvarlak hasır çerçeveli; diğerleri ahşap çerçeveli dikdörtgen [güven: high]</t>
        </is>
      </c>
    </row>
    <row r="124" ht="26.4" customHeight="1">
      <c r="A124" s="5" t="inlineStr">
        <is>
          <t>Tare Suites Urla</t>
        </is>
      </c>
      <c r="B124" s="5" t="inlineStr">
        <is>
          <t>EDR</t>
        </is>
      </c>
      <c r="C124" s="7" t="n"/>
      <c r="D124" s="6">
        <f>IFERROR(INDEX('Kontrol Adımları'!$D:$D,MATCH(1,INDEX(('Kontrol Adımları'!$A$1:$A$400=B124)*('Kontrol Adımları'!$B$1:$B$400=C124),0),0)),"")</f>
        <v/>
      </c>
      <c r="E124" s="5" t="inlineStr">
        <is>
          <t>duman_dedektoru</t>
        </is>
      </c>
      <c r="F124" s="6">
        <f>IFERROR(INDEX('Kalem Kataloğu'!$C$1:$C$1000,MATCH(1,INDEX(('Kalem Kataloğu'!$A$1:$A$1000=A124)*('Kalem Kataloğu'!$B$1:$B$1000=E124),0),0)),"?")</f>
        <v/>
      </c>
      <c r="G124" s="6">
        <f>IFERROR(INDEX('Kalem Kataloğu'!$D$1:$D$1000,MATCH(1,INDEX(('Kalem Kataloğu'!$A$1:$A$1000=A124)*('Kalem Kataloğu'!$B$1:$B$1000=E124),0),0)),"?")</f>
        <v/>
      </c>
      <c r="H124" s="7" t="n">
        <v>1</v>
      </c>
      <c r="I124" s="7" t="inlineStr">
        <is>
          <t>Hayır</t>
        </is>
      </c>
      <c r="J124" s="5" t="inlineStr">
        <is>
          <t>Drive foto</t>
        </is>
      </c>
      <c r="K124" s="5" t="inlineStr">
        <is>
          <t>Tavanda; özellik dosyasında tüm tiplerde var [güven: medium]</t>
        </is>
      </c>
    </row>
    <row r="125" ht="26.4" customHeight="1">
      <c r="A125" s="5" t="inlineStr">
        <is>
          <t>Tare Suites Urla</t>
        </is>
      </c>
      <c r="B125" s="5" t="inlineStr">
        <is>
          <t>EDR</t>
        </is>
      </c>
      <c r="C125" s="7" t="n"/>
      <c r="D125" s="6">
        <f>IFERROR(INDEX('Kontrol Adımları'!$D:$D,MATCH(1,INDEX(('Kontrol Adımları'!$A$1:$A$400=B125)*('Kontrol Adımları'!$B$1:$B$400=C125),0),0)),"")</f>
        <v/>
      </c>
      <c r="E125" s="5" t="inlineStr">
        <is>
          <t>aplik</t>
        </is>
      </c>
      <c r="F125" s="6">
        <f>IFERROR(INDEX('Kalem Kataloğu'!$C$1:$C$1000,MATCH(1,INDEX(('Kalem Kataloğu'!$A$1:$A$1000=A125)*('Kalem Kataloğu'!$B$1:$B$1000=E125),0),0)),"?")</f>
        <v/>
      </c>
      <c r="G125" s="6">
        <f>IFERROR(INDEX('Kalem Kataloğu'!$D$1:$D$1000,MATCH(1,INDEX(('Kalem Kataloğu'!$A$1:$A$1000=A125)*('Kalem Kataloğu'!$B$1:$B$1000=E125),0),0)),"?")</f>
        <v/>
      </c>
      <c r="H125" s="7" t="n">
        <v>2</v>
      </c>
      <c r="I125" s="7" t="inlineStr">
        <is>
          <t>Hayır</t>
        </is>
      </c>
      <c r="J125" s="5" t="inlineStr">
        <is>
          <t>Drive foto</t>
        </is>
      </c>
      <c r="K125" s="5" t="inlineStr">
        <is>
          <t>Yatak başı iki yanda [güven: medium]</t>
        </is>
      </c>
    </row>
    <row r="126">
      <c r="A126" s="5" t="inlineStr">
        <is>
          <t>Tare Suites Urla</t>
        </is>
      </c>
      <c r="B126" s="5" t="inlineStr">
        <is>
          <t>EDR</t>
        </is>
      </c>
      <c r="C126" s="7" t="n"/>
      <c r="D126" s="6">
        <f>IFERROR(INDEX('Kontrol Adımları'!$D:$D,MATCH(1,INDEX(('Kontrol Adımları'!$A$1:$A$400=B126)*('Kontrol Adımları'!$B$1:$B$400=C126),0),0)),"")</f>
        <v/>
      </c>
      <c r="E126" s="5" t="inlineStr">
        <is>
          <t>havlu_rafi</t>
        </is>
      </c>
      <c r="F126" s="6">
        <f>IFERROR(INDEX('Kalem Kataloğu'!$C$1:$C$1000,MATCH(1,INDEX(('Kalem Kataloğu'!$A$1:$A$1000=A126)*('Kalem Kataloğu'!$B$1:$B$1000=E126),0),0)),"?")</f>
        <v/>
      </c>
      <c r="G126" s="6">
        <f>IFERROR(INDEX('Kalem Kataloğu'!$D$1:$D$1000,MATCH(1,INDEX(('Kalem Kataloğu'!$A$1:$A$1000=A126)*('Kalem Kataloğu'!$B$1:$B$1000=E126),0),0)),"?")</f>
        <v/>
      </c>
      <c r="H126" s="7" t="n">
        <v>1</v>
      </c>
      <c r="I126" s="7" t="inlineStr">
        <is>
          <t>Hayır</t>
        </is>
      </c>
      <c r="J126" s="5" t="inlineStr">
        <is>
          <t>Drive foto</t>
        </is>
      </c>
      <c r="K126" s="5" t="inlineStr">
        <is>
          <t xml:space="preserve"> [güven: high]</t>
        </is>
      </c>
    </row>
    <row r="127" ht="26.4" customHeight="1">
      <c r="A127" s="5" t="inlineStr">
        <is>
          <t>Tare Suites Urla</t>
        </is>
      </c>
      <c r="B127" s="5" t="inlineStr">
        <is>
          <t>EDR</t>
        </is>
      </c>
      <c r="C127" s="7" t="n"/>
      <c r="D127" s="6">
        <f>IFERROR(INDEX('Kontrol Adımları'!$D:$D,MATCH(1,INDEX(('Kontrol Adımları'!$A$1:$A$400=B127)*('Kontrol Adımları'!$B$1:$B$400=C127),0),0)),"")</f>
        <v/>
      </c>
      <c r="E127" s="5" t="inlineStr">
        <is>
          <t>tablo</t>
        </is>
      </c>
      <c r="F127" s="6">
        <f>IFERROR(INDEX('Kalem Kataloğu'!$C$1:$C$1000,MATCH(1,INDEX(('Kalem Kataloğu'!$A$1:$A$1000=A127)*('Kalem Kataloğu'!$B$1:$B$1000=E127),0),0)),"?")</f>
        <v/>
      </c>
      <c r="G127" s="6">
        <f>IFERROR(INDEX('Kalem Kataloğu'!$D$1:$D$1000,MATCH(1,INDEX(('Kalem Kataloğu'!$A$1:$A$1000=A127)*('Kalem Kataloğu'!$B$1:$B$1000=E127),0),0)),"?")</f>
        <v/>
      </c>
      <c r="H127" s="7" t="n">
        <v>1</v>
      </c>
      <c r="I127" s="7" t="inlineStr">
        <is>
          <t>Hayır</t>
        </is>
      </c>
      <c r="J127" s="5" t="inlineStr">
        <is>
          <t>Drive foto</t>
        </is>
      </c>
      <c r="K127" s="5" t="inlineStr">
        <is>
          <t xml:space="preserve"> [güven: high]</t>
        </is>
      </c>
    </row>
    <row r="128" ht="26.4" customHeight="1">
      <c r="A128" s="5" t="inlineStr">
        <is>
          <t>Tare Suites Urla</t>
        </is>
      </c>
      <c r="B128" s="5" t="inlineStr">
        <is>
          <t>EDR</t>
        </is>
      </c>
      <c r="C128" s="7" t="n"/>
      <c r="D128" s="6">
        <f>IFERROR(INDEX('Kontrol Adımları'!$D:$D,MATCH(1,INDEX(('Kontrol Adımları'!$A$1:$A$400=B128)*('Kontrol Adımları'!$B$1:$B$400=C128),0),0)),"")</f>
        <v/>
      </c>
      <c r="E128" s="5" t="inlineStr">
        <is>
          <t>duvar_tv</t>
        </is>
      </c>
      <c r="F128" s="6">
        <f>IFERROR(INDEX('Kalem Kataloğu'!$C$1:$C$1000,MATCH(1,INDEX(('Kalem Kataloğu'!$A$1:$A$1000=A128)*('Kalem Kataloğu'!$B$1:$B$1000=E128),0),0)),"?")</f>
        <v/>
      </c>
      <c r="G128" s="6">
        <f>IFERROR(INDEX('Kalem Kataloğu'!$D$1:$D$1000,MATCH(1,INDEX(('Kalem Kataloğu'!$A$1:$A$1000=A128)*('Kalem Kataloğu'!$B$1:$B$1000=E128),0),0)),"?")</f>
        <v/>
      </c>
      <c r="H128" s="7" t="n">
        <v>1</v>
      </c>
      <c r="I128" s="7" t="inlineStr">
        <is>
          <t>Hayır</t>
        </is>
      </c>
      <c r="J128" s="5" t="inlineStr">
        <is>
          <t>Drive foto</t>
        </is>
      </c>
      <c r="K128" s="5" t="inlineStr">
        <is>
          <t xml:space="preserve"> [güven: high]</t>
        </is>
      </c>
    </row>
    <row r="129">
      <c r="A129" s="5" t="inlineStr">
        <is>
          <t>Tare Suites Urla</t>
        </is>
      </c>
      <c r="B129" s="5" t="inlineStr">
        <is>
          <t>EDR</t>
        </is>
      </c>
      <c r="C129" s="7" t="n"/>
      <c r="D129" s="6">
        <f>IFERROR(INDEX('Kontrol Adımları'!$D:$D,MATCH(1,INDEX(('Kontrol Adımları'!$A$1:$A$400=B129)*('Kontrol Adımları'!$B$1:$B$400=C129),0),0)),"")</f>
        <v/>
      </c>
      <c r="E129" s="5" t="inlineStr">
        <is>
          <t>sivi_sabun_dispenser</t>
        </is>
      </c>
      <c r="F129" s="6">
        <f>IFERROR(INDEX('Kalem Kataloğu'!$C$1:$C$1000,MATCH(1,INDEX(('Kalem Kataloğu'!$A$1:$A$1000=A129)*('Kalem Kataloğu'!$B$1:$B$1000=E129),0),0)),"?")</f>
        <v/>
      </c>
      <c r="G129" s="6">
        <f>IFERROR(INDEX('Kalem Kataloğu'!$D$1:$D$1000,MATCH(1,INDEX(('Kalem Kataloğu'!$A$1:$A$1000=A129)*('Kalem Kataloğu'!$B$1:$B$1000=E129),0),0)),"?")</f>
        <v/>
      </c>
      <c r="H129" s="7" t="n"/>
      <c r="I129" s="7" t="inlineStr">
        <is>
          <t>Hayır</t>
        </is>
      </c>
      <c r="J129" s="5" t="inlineStr">
        <is>
          <t>Drive foto</t>
        </is>
      </c>
      <c r="K129" s="5" t="inlineStr">
        <is>
          <t>DS fotoğraflarında 1 adet görünüyor (sabun); şampuan/duş jeli dispenserleri duş içinde olabilir [güven: medium]</t>
        </is>
      </c>
    </row>
    <row r="130" ht="26.4" customHeight="1">
      <c r="A130" s="5" t="inlineStr">
        <is>
          <t>Tare Suites Urla</t>
        </is>
      </c>
      <c r="B130" s="5" t="inlineStr">
        <is>
          <t>EDR</t>
        </is>
      </c>
      <c r="C130" s="7" t="n"/>
      <c r="D130" s="6">
        <f>IFERROR(INDEX('Kontrol Adımları'!$D:$D,MATCH(1,INDEX(('Kontrol Adımları'!$A$1:$A$400=B130)*('Kontrol Adımları'!$B$1:$B$400=C130),0),0)),"")</f>
        <v/>
      </c>
      <c r="E130" s="5" t="inlineStr">
        <is>
          <t>dus_rafi</t>
        </is>
      </c>
      <c r="F130" s="6">
        <f>IFERROR(INDEX('Kalem Kataloğu'!$C$1:$C$1000,MATCH(1,INDEX(('Kalem Kataloğu'!$A$1:$A$1000=A130)*('Kalem Kataloğu'!$B$1:$B$1000=E130),0),0)),"?")</f>
        <v/>
      </c>
      <c r="G130" s="6">
        <f>IFERROR(INDEX('Kalem Kataloğu'!$D$1:$D$1000,MATCH(1,INDEX(('Kalem Kataloğu'!$A$1:$A$1000=A130)*('Kalem Kataloğu'!$B$1:$B$1000=E130),0),0)),"?")</f>
        <v/>
      </c>
      <c r="H130" s="7" t="n">
        <v>1</v>
      </c>
      <c r="I130" s="7" t="inlineStr">
        <is>
          <t>Hayır</t>
        </is>
      </c>
      <c r="J130" s="5" t="inlineStr">
        <is>
          <t>Drive foto</t>
        </is>
      </c>
      <c r="K130" s="5" t="inlineStr">
        <is>
          <t xml:space="preserve"> [güven: medium]</t>
        </is>
      </c>
    </row>
    <row r="131" ht="26.4" customHeight="1">
      <c r="A131" s="5" t="inlineStr">
        <is>
          <t>Tare Suites Urla</t>
        </is>
      </c>
      <c r="B131" s="5" t="inlineStr">
        <is>
          <t>EDR</t>
        </is>
      </c>
      <c r="C131" s="7" t="n"/>
      <c r="D131" s="6">
        <f>IFERROR(INDEX('Kontrol Adımları'!$D:$D,MATCH(1,INDEX(('Kontrol Adımları'!$A$1:$A$400=B131)*('Kontrol Adımları'!$B$1:$B$400=C131),0),0)),"")</f>
        <v/>
      </c>
      <c r="E131" s="5" t="inlineStr">
        <is>
          <t>dus_kabini</t>
        </is>
      </c>
      <c r="F131" s="6">
        <f>IFERROR(INDEX('Kalem Kataloğu'!$C$1:$C$1000,MATCH(1,INDEX(('Kalem Kataloğu'!$A$1:$A$1000=A131)*('Kalem Kataloğu'!$B$1:$B$1000=E131),0),0)),"?")</f>
        <v/>
      </c>
      <c r="G131" s="6">
        <f>IFERROR(INDEX('Kalem Kataloğu'!$D$1:$D$1000,MATCH(1,INDEX(('Kalem Kataloğu'!$A$1:$A$1000=A131)*('Kalem Kataloğu'!$B$1:$B$1000=E131),0),0)),"?")</f>
        <v/>
      </c>
      <c r="H131" s="7" t="n">
        <v>1</v>
      </c>
      <c r="I131" s="7" t="inlineStr">
        <is>
          <t>Hayır</t>
        </is>
      </c>
      <c r="J131" s="5" t="inlineStr">
        <is>
          <t>Drive foto</t>
        </is>
      </c>
      <c r="K131" s="5" t="inlineStr">
        <is>
          <t xml:space="preserve"> [güven: high]</t>
        </is>
      </c>
    </row>
    <row r="132" ht="26.4" customHeight="1">
      <c r="A132" s="5" t="inlineStr">
        <is>
          <t>Tare Suites Urla</t>
        </is>
      </c>
      <c r="B132" s="5" t="inlineStr">
        <is>
          <t>EDR</t>
        </is>
      </c>
      <c r="C132" s="7" t="n"/>
      <c r="D132" s="6">
        <f>IFERROR(INDEX('Kontrol Adımları'!$D:$D,MATCH(1,INDEX(('Kontrol Adımları'!$A$1:$A$400=B132)*('Kontrol Adımları'!$B$1:$B$400=C132),0),0)),"")</f>
        <v/>
      </c>
      <c r="E132" s="5" t="inlineStr">
        <is>
          <t>gardirop</t>
        </is>
      </c>
      <c r="F132" s="6">
        <f>IFERROR(INDEX('Kalem Kataloğu'!$C$1:$C$1000,MATCH(1,INDEX(('Kalem Kataloğu'!$A$1:$A$1000=A132)*('Kalem Kataloğu'!$B$1:$B$1000=E132),0),0)),"?")</f>
        <v/>
      </c>
      <c r="G132" s="6">
        <f>IFERROR(INDEX('Kalem Kataloğu'!$D$1:$D$1000,MATCH(1,INDEX(('Kalem Kataloğu'!$A$1:$A$1000=A132)*('Kalem Kataloğu'!$B$1:$B$1000=E132),0),0)),"?")</f>
        <v/>
      </c>
      <c r="H132" s="7" t="n"/>
      <c r="I132" s="7" t="inlineStr">
        <is>
          <t>Hayır</t>
        </is>
      </c>
      <c r="J132" s="5" t="inlineStr">
        <is>
          <t>Drive foto</t>
        </is>
      </c>
      <c r="K132" s="5" t="inlineStr">
        <is>
          <t>Özellik dosyasında tüm tiplerde var; yalnız EXSB fotoğrafında görünüyor [güven: medium]</t>
        </is>
      </c>
    </row>
    <row r="133" ht="26.4" customHeight="1">
      <c r="A133" s="5" t="inlineStr">
        <is>
          <t>Tare Suites Urla</t>
        </is>
      </c>
      <c r="B133" s="5" t="inlineStr">
        <is>
          <t>EDR</t>
        </is>
      </c>
      <c r="C133" s="7" t="n"/>
      <c r="D133" s="6">
        <f>IFERROR(INDEX('Kontrol Adımları'!$D:$D,MATCH(1,INDEX(('Kontrol Adımları'!$A$1:$A$400=B133)*('Kontrol Adımları'!$B$1:$B$400=C133),0),0)),"")</f>
        <v/>
      </c>
      <c r="E133" s="5" t="inlineStr">
        <is>
          <t>komodin</t>
        </is>
      </c>
      <c r="F133" s="6">
        <f>IFERROR(INDEX('Kalem Kataloğu'!$C$1:$C$1000,MATCH(1,INDEX(('Kalem Kataloğu'!$A$1:$A$1000=A133)*('Kalem Kataloğu'!$B$1:$B$1000=E133),0),0)),"?")</f>
        <v/>
      </c>
      <c r="G133" s="6">
        <f>IFERROR(INDEX('Kalem Kataloğu'!$D$1:$D$1000,MATCH(1,INDEX(('Kalem Kataloğu'!$A$1:$A$1000=A133)*('Kalem Kataloğu'!$B$1:$B$1000=E133),0),0)),"?")</f>
        <v/>
      </c>
      <c r="H133" s="7" t="n">
        <v>2</v>
      </c>
      <c r="I133" s="7" t="inlineStr">
        <is>
          <t>Hayır</t>
        </is>
      </c>
      <c r="J133" s="5" t="inlineStr">
        <is>
          <t>Drive foto</t>
        </is>
      </c>
      <c r="K133" s="5" t="inlineStr">
        <is>
          <t>DSSW fotoğrafında yalnız bir yan görünüyor; muhtemelen 2 [güven: medium]</t>
        </is>
      </c>
    </row>
    <row r="134" ht="26.4" customHeight="1">
      <c r="A134" s="5" t="inlineStr">
        <is>
          <t>Tare Suites Urla</t>
        </is>
      </c>
      <c r="B134" s="5" t="inlineStr">
        <is>
          <t>EDR</t>
        </is>
      </c>
      <c r="C134" s="7" t="n"/>
      <c r="D134" s="6">
        <f>IFERROR(INDEX('Kontrol Adımları'!$D:$D,MATCH(1,INDEX(('Kontrol Adımları'!$A$1:$A$400=B134)*('Kontrol Adımları'!$B$1:$B$400=C134),0),0)),"")</f>
        <v/>
      </c>
      <c r="E134" s="5" t="inlineStr">
        <is>
          <t>calisma_masasi_ayna</t>
        </is>
      </c>
      <c r="F134" s="6">
        <f>IFERROR(INDEX('Kalem Kataloğu'!$C$1:$C$1000,MATCH(1,INDEX(('Kalem Kataloğu'!$A$1:$A$1000=A134)*('Kalem Kataloğu'!$B$1:$B$1000=E134),0),0)),"?")</f>
        <v/>
      </c>
      <c r="G134" s="6">
        <f>IFERROR(INDEX('Kalem Kataloğu'!$D$1:$D$1000,MATCH(1,INDEX(('Kalem Kataloğu'!$A$1:$A$1000=A134)*('Kalem Kataloğu'!$B$1:$B$1000=E134),0),0)),"?")</f>
        <v/>
      </c>
      <c r="H134" s="7" t="n">
        <v>1</v>
      </c>
      <c r="I134" s="7" t="inlineStr">
        <is>
          <t>Hayır</t>
        </is>
      </c>
      <c r="J134" s="5" t="inlineStr">
        <is>
          <t>Drive foto</t>
        </is>
      </c>
      <c r="K134" s="5" t="inlineStr">
        <is>
          <t xml:space="preserve"> [güven: high]</t>
        </is>
      </c>
    </row>
    <row r="135">
      <c r="A135" s="5" t="inlineStr">
        <is>
          <t>Tare Suites Urla</t>
        </is>
      </c>
      <c r="B135" s="5" t="inlineStr">
        <is>
          <t>EDR</t>
        </is>
      </c>
      <c r="C135" s="7" t="n"/>
      <c r="D135" s="6">
        <f>IFERROR(INDEX('Kontrol Adımları'!$D:$D,MATCH(1,INDEX(('Kontrol Adımları'!$A$1:$A$400=B135)*('Kontrol Adımları'!$B$1:$B$400=C135),0),0)),"")</f>
        <v/>
      </c>
      <c r="E135" s="5" t="inlineStr">
        <is>
          <t>lavabo_dolabi</t>
        </is>
      </c>
      <c r="F135" s="6">
        <f>IFERROR(INDEX('Kalem Kataloğu'!$C$1:$C$1000,MATCH(1,INDEX(('Kalem Kataloğu'!$A$1:$A$1000=A135)*('Kalem Kataloğu'!$B$1:$B$1000=E135),0),0)),"?")</f>
        <v/>
      </c>
      <c r="G135" s="6">
        <f>IFERROR(INDEX('Kalem Kataloğu'!$D$1:$D$1000,MATCH(1,INDEX(('Kalem Kataloğu'!$A$1:$A$1000=A135)*('Kalem Kataloğu'!$B$1:$B$1000=E135),0),0)),"?")</f>
        <v/>
      </c>
      <c r="H135" s="7" t="n">
        <v>1</v>
      </c>
      <c r="I135" s="7" t="inlineStr">
        <is>
          <t>Hayır</t>
        </is>
      </c>
      <c r="J135" s="5" t="inlineStr">
        <is>
          <t>Drive foto</t>
        </is>
      </c>
      <c r="K135" s="5" t="inlineStr">
        <is>
          <t xml:space="preserve"> [güven: high]</t>
        </is>
      </c>
    </row>
    <row r="136">
      <c r="A136" s="5" t="inlineStr">
        <is>
          <t>Tare Suites Urla</t>
        </is>
      </c>
      <c r="B136" s="5" t="inlineStr">
        <is>
          <t>EDR</t>
        </is>
      </c>
      <c r="C136" s="7" t="n"/>
      <c r="D136" s="6">
        <f>IFERROR(INDEX('Kontrol Adımları'!$D:$D,MATCH(1,INDEX(('Kontrol Adımları'!$A$1:$A$400=B136)*('Kontrol Adımları'!$B$1:$B$400=C136),0),0)),"")</f>
        <v/>
      </c>
      <c r="E136" s="5" t="inlineStr">
        <is>
          <t>mini_buzdolabi</t>
        </is>
      </c>
      <c r="F136" s="6">
        <f>IFERROR(INDEX('Kalem Kataloğu'!$C$1:$C$1000,MATCH(1,INDEX(('Kalem Kataloğu'!$A$1:$A$1000=A136)*('Kalem Kataloğu'!$B$1:$B$1000=E136),0),0)),"?")</f>
        <v/>
      </c>
      <c r="G136" s="6">
        <f>IFERROR(INDEX('Kalem Kataloğu'!$D$1:$D$1000,MATCH(1,INDEX(('Kalem Kataloğu'!$A$1:$A$1000=A136)*('Kalem Kataloğu'!$B$1:$B$1000=E136),0),0)),"?")</f>
        <v/>
      </c>
      <c r="H136" s="7" t="n">
        <v>1</v>
      </c>
      <c r="I136" s="7" t="inlineStr">
        <is>
          <t>Hayır</t>
        </is>
      </c>
      <c r="J136" s="5" t="inlineStr">
        <is>
          <t>Drive foto</t>
        </is>
      </c>
      <c r="K136" s="5" t="inlineStr">
        <is>
          <t>Özellik dosyasında Urla Suites için Buzdolabı "-" ama fotoğraflarda masa altında mini buzdolabı var — teyit [güven: high]</t>
        </is>
      </c>
    </row>
    <row r="137">
      <c r="A137" s="5" t="inlineStr">
        <is>
          <t>Tare Suites Urla</t>
        </is>
      </c>
      <c r="B137" s="5" t="inlineStr">
        <is>
          <t>EDR</t>
        </is>
      </c>
      <c r="C137" s="7" t="n"/>
      <c r="D137" s="6">
        <f>IFERROR(INDEX('Kontrol Adımları'!$D:$D,MATCH(1,INDEX(('Kontrol Adımları'!$A$1:$A$400=B137)*('Kontrol Adımları'!$B$1:$B$400=C137),0),0)),"")</f>
        <v/>
      </c>
      <c r="E137" s="5" t="inlineStr">
        <is>
          <t>banyo_cop_kovasi</t>
        </is>
      </c>
      <c r="F137" s="6">
        <f>IFERROR(INDEX('Kalem Kataloğu'!$C$1:$C$1000,MATCH(1,INDEX(('Kalem Kataloğu'!$A$1:$A$1000=A137)*('Kalem Kataloğu'!$B$1:$B$1000=E137),0),0)),"?")</f>
        <v/>
      </c>
      <c r="G137" s="6">
        <f>IFERROR(INDEX('Kalem Kataloğu'!$D$1:$D$1000,MATCH(1,INDEX(('Kalem Kataloğu'!$A$1:$A$1000=A137)*('Kalem Kataloğu'!$B$1:$B$1000=E137),0),0)),"?")</f>
        <v/>
      </c>
      <c r="H137" s="7" t="n">
        <v>1</v>
      </c>
      <c r="I137" s="7" t="inlineStr">
        <is>
          <t>Hayır</t>
        </is>
      </c>
      <c r="J137" s="5" t="inlineStr">
        <is>
          <t>Drive foto</t>
        </is>
      </c>
      <c r="K137" s="5" t="inlineStr">
        <is>
          <t xml:space="preserve"> [güven: medium]</t>
        </is>
      </c>
    </row>
    <row r="138">
      <c r="A138" s="5" t="inlineStr">
        <is>
          <t>Tare Suites Urla</t>
        </is>
      </c>
      <c r="B138" s="5" t="inlineStr">
        <is>
          <t>EDR</t>
        </is>
      </c>
      <c r="C138" s="7" t="n"/>
      <c r="D138" s="6">
        <f>IFERROR(INDEX('Kontrol Adımları'!$D:$D,MATCH(1,INDEX(('Kontrol Adımları'!$A$1:$A$400=B138)*('Kontrol Adımları'!$B$1:$B$400=C138),0),0)),"")</f>
        <v/>
      </c>
      <c r="E138" s="5" t="inlineStr">
        <is>
          <t>sandalye</t>
        </is>
      </c>
      <c r="F138" s="6">
        <f>IFERROR(INDEX('Kalem Kataloğu'!$C$1:$C$1000,MATCH(1,INDEX(('Kalem Kataloğu'!$A$1:$A$1000=A138)*('Kalem Kataloğu'!$B$1:$B$1000=E138),0),0)),"?")</f>
        <v/>
      </c>
      <c r="G138" s="6">
        <f>IFERROR(INDEX('Kalem Kataloğu'!$D$1:$D$1000,MATCH(1,INDEX(('Kalem Kataloğu'!$A$1:$A$1000=A138)*('Kalem Kataloğu'!$B$1:$B$1000=E138),0),0)),"?")</f>
        <v/>
      </c>
      <c r="H138" s="7" t="n">
        <v>0</v>
      </c>
      <c r="I138" s="7" t="inlineStr">
        <is>
          <t>Hayır</t>
        </is>
      </c>
      <c r="J138" s="5" t="inlineStr">
        <is>
          <t>Drive foto</t>
        </is>
      </c>
      <c r="K138" s="5" t="inlineStr">
        <is>
          <t xml:space="preserve"> [güven: high]</t>
        </is>
      </c>
    </row>
    <row r="139" ht="26.4" customHeight="1">
      <c r="A139" s="5" t="inlineStr">
        <is>
          <t>Tare Suites Urla</t>
        </is>
      </c>
      <c r="B139" s="5" t="inlineStr">
        <is>
          <t>EDR</t>
        </is>
      </c>
      <c r="C139" s="7" t="n"/>
      <c r="D139" s="6">
        <f>IFERROR(INDEX('Kontrol Adımları'!$D:$D,MATCH(1,INDEX(('Kontrol Adımları'!$A$1:$A$400=B139)*('Kontrol Adımları'!$B$1:$B$400=C139),0),0)),"")</f>
        <v/>
      </c>
      <c r="E139" s="5" t="inlineStr">
        <is>
          <t>sac_kurutma</t>
        </is>
      </c>
      <c r="F139" s="6">
        <f>IFERROR(INDEX('Kalem Kataloğu'!$C$1:$C$1000,MATCH(1,INDEX(('Kalem Kataloğu'!$A$1:$A$1000=A139)*('Kalem Kataloğu'!$B$1:$B$1000=E139),0),0)),"?")</f>
        <v/>
      </c>
      <c r="G139" s="6">
        <f>IFERROR(INDEX('Kalem Kataloğu'!$D$1:$D$1000,MATCH(1,INDEX(('Kalem Kataloğu'!$A$1:$A$1000=A139)*('Kalem Kataloğu'!$B$1:$B$1000=E139),0),0)),"?")</f>
        <v/>
      </c>
      <c r="H139" s="7" t="n">
        <v>1</v>
      </c>
      <c r="I139" s="7" t="inlineStr">
        <is>
          <t>Hayır</t>
        </is>
      </c>
      <c r="J139" s="5" t="inlineStr">
        <is>
          <t>Drive foto</t>
        </is>
      </c>
      <c r="K139" s="5" t="inlineStr">
        <is>
          <t>Özellik dosyasında tüm tiplerde var; yalnız EDR fotoğrafında görünüyor [güven: medium]</t>
        </is>
      </c>
    </row>
    <row r="140">
      <c r="A140" s="5" t="inlineStr">
        <is>
          <t>Tare Suites Urla</t>
        </is>
      </c>
      <c r="B140" s="5" t="inlineStr">
        <is>
          <t>EDR</t>
        </is>
      </c>
      <c r="C140" s="7" t="n"/>
      <c r="D140" s="6">
        <f>IFERROR(INDEX('Kontrol Adımları'!$D:$D,MATCH(1,INDEX(('Kontrol Adımları'!$A$1:$A$400=B140)*('Kontrol Adımları'!$B$1:$B$400=C140),0),0)),"")</f>
        <v/>
      </c>
      <c r="E140" s="5" t="inlineStr">
        <is>
          <t>klima</t>
        </is>
      </c>
      <c r="F140" s="6">
        <f>IFERROR(INDEX('Kalem Kataloğu'!$C$1:$C$1000,MATCH(1,INDEX(('Kalem Kataloğu'!$A$1:$A$1000=A140)*('Kalem Kataloğu'!$B$1:$B$1000=E140),0),0)),"?")</f>
        <v/>
      </c>
      <c r="G140" s="6">
        <f>IFERROR(INDEX('Kalem Kataloğu'!$D$1:$D$1000,MATCH(1,INDEX(('Kalem Kataloğu'!$A$1:$A$1000=A140)*('Kalem Kataloğu'!$B$1:$B$1000=E140),0),0)),"?")</f>
        <v/>
      </c>
      <c r="H140" s="7" t="n">
        <v>1</v>
      </c>
      <c r="I140" s="7" t="inlineStr">
        <is>
          <t>Hayır</t>
        </is>
      </c>
      <c r="J140" s="5" t="inlineStr">
        <is>
          <t>Drive foto</t>
        </is>
      </c>
      <c r="K140" s="5" t="inlineStr">
        <is>
          <t xml:space="preserve"> [güven: high]</t>
        </is>
      </c>
    </row>
    <row r="141">
      <c r="A141" s="5" t="inlineStr">
        <is>
          <t>Tare Suites Urla</t>
        </is>
      </c>
      <c r="B141" s="5" t="inlineStr">
        <is>
          <t>EDR</t>
        </is>
      </c>
      <c r="C141" s="7" t="n"/>
      <c r="D141" s="6">
        <f>IFERROR(INDEX('Kontrol Adımları'!$D:$D,MATCH(1,INDEX(('Kontrol Adımları'!$A$1:$A$400=B141)*('Kontrol Adımları'!$B$1:$B$400=C141),0),0)),"")</f>
        <v/>
      </c>
      <c r="E141" s="5" t="inlineStr">
        <is>
          <t>kettle</t>
        </is>
      </c>
      <c r="F141" s="6">
        <f>IFERROR(INDEX('Kalem Kataloğu'!$C$1:$C$1000,MATCH(1,INDEX(('Kalem Kataloğu'!$A$1:$A$1000=A141)*('Kalem Kataloğu'!$B$1:$B$1000=E141),0),0)),"?")</f>
        <v/>
      </c>
      <c r="G141" s="6">
        <f>IFERROR(INDEX('Kalem Kataloğu'!$D$1:$D$1000,MATCH(1,INDEX(('Kalem Kataloğu'!$A$1:$A$1000=A141)*('Kalem Kataloğu'!$B$1:$B$1000=E141),0),0)),"?")</f>
        <v/>
      </c>
      <c r="H141" s="7" t="n">
        <v>1</v>
      </c>
      <c r="I141" s="7" t="inlineStr">
        <is>
          <t>Hayır</t>
        </is>
      </c>
      <c r="J141" s="5" t="inlineStr">
        <is>
          <t>Drive foto</t>
        </is>
      </c>
      <c r="K141" s="5" t="inlineStr">
        <is>
          <t xml:space="preserve"> [güven: high]</t>
        </is>
      </c>
    </row>
    <row r="142" ht="26.4" customHeight="1">
      <c r="A142" s="5" t="inlineStr">
        <is>
          <t>Tare Suites Urla</t>
        </is>
      </c>
      <c r="B142" s="5" t="inlineStr">
        <is>
          <t>EDR</t>
        </is>
      </c>
      <c r="C142" s="7" t="n"/>
      <c r="D142" s="6">
        <f>IFERROR(INDEX('Kontrol Adımları'!$D:$D,MATCH(1,INDEX(('Kontrol Adımları'!$A$1:$A$400=B142)*('Kontrol Adımları'!$B$1:$B$400=C142),0),0)),"")</f>
        <v/>
      </c>
      <c r="E142" s="5" t="inlineStr">
        <is>
          <t>tuvalet_kagidi_aparati</t>
        </is>
      </c>
      <c r="F142" s="6">
        <f>IFERROR(INDEX('Kalem Kataloğu'!$C$1:$C$1000,MATCH(1,INDEX(('Kalem Kataloğu'!$A$1:$A$1000=A142)*('Kalem Kataloğu'!$B$1:$B$1000=E142),0),0)),"?")</f>
        <v/>
      </c>
      <c r="G142" s="6">
        <f>IFERROR(INDEX('Kalem Kataloğu'!$D$1:$D$1000,MATCH(1,INDEX(('Kalem Kataloğu'!$A$1:$A$1000=A142)*('Kalem Kataloğu'!$B$1:$B$1000=E142),0),0)),"?")</f>
        <v/>
      </c>
      <c r="H142" s="7" t="n">
        <v>1</v>
      </c>
      <c r="I142" s="7" t="inlineStr">
        <is>
          <t>Hayır</t>
        </is>
      </c>
      <c r="J142" s="5" t="inlineStr">
        <is>
          <t>Drive foto</t>
        </is>
      </c>
      <c r="K142" s="5" t="inlineStr">
        <is>
          <t xml:space="preserve"> [güven: high]</t>
        </is>
      </c>
    </row>
    <row r="143" ht="26.4" customHeight="1">
      <c r="A143" s="5" t="inlineStr">
        <is>
          <t>Tare Suites Urla</t>
        </is>
      </c>
      <c r="B143" s="5" t="inlineStr">
        <is>
          <t>EDR</t>
        </is>
      </c>
      <c r="C143" s="7" t="n"/>
      <c r="D143" s="6">
        <f>IFERROR(INDEX('Kontrol Adımları'!$D:$D,MATCH(1,INDEX(('Kontrol Adımları'!$A$1:$A$400=B143)*('Kontrol Adımları'!$B$1:$B$400=C143),0),0)),"")</f>
        <v/>
      </c>
      <c r="E143" s="5" t="inlineStr">
        <is>
          <t>wc_fircasi</t>
        </is>
      </c>
      <c r="F143" s="6">
        <f>IFERROR(INDEX('Kalem Kataloğu'!$C$1:$C$1000,MATCH(1,INDEX(('Kalem Kataloğu'!$A$1:$A$1000=A143)*('Kalem Kataloğu'!$B$1:$B$1000=E143),0),0)),"?")</f>
        <v/>
      </c>
      <c r="G143" s="6">
        <f>IFERROR(INDEX('Kalem Kataloğu'!$D$1:$D$1000,MATCH(1,INDEX(('Kalem Kataloğu'!$A$1:$A$1000=A143)*('Kalem Kataloğu'!$B$1:$B$1000=E143),0),0)),"?")</f>
        <v/>
      </c>
      <c r="H143" s="7" t="n">
        <v>1</v>
      </c>
      <c r="I143" s="7" t="inlineStr">
        <is>
          <t>Hayır</t>
        </is>
      </c>
      <c r="J143" s="5" t="inlineStr">
        <is>
          <t>Drive foto</t>
        </is>
      </c>
      <c r="K143" s="5" t="inlineStr">
        <is>
          <t xml:space="preserve"> [güven: medium]</t>
        </is>
      </c>
    </row>
    <row r="144" ht="26.4" customHeight="1">
      <c r="A144" s="5" t="inlineStr">
        <is>
          <t>Tare Suites Urla</t>
        </is>
      </c>
      <c r="B144" s="5" t="inlineStr">
        <is>
          <t>EDR</t>
        </is>
      </c>
      <c r="C144" s="7" t="n"/>
      <c r="D144" s="6">
        <f>IFERROR(INDEX('Kontrol Adımları'!$D:$D,MATCH(1,INDEX(('Kontrol Adımları'!$A$1:$A$400=B144)*('Kontrol Adımları'!$B$1:$B$400=C144),0),0)),"")</f>
        <v/>
      </c>
      <c r="E144" s="5" t="inlineStr">
        <is>
          <t>yastik</t>
        </is>
      </c>
      <c r="F144" s="6">
        <f>IFERROR(INDEX('Kalem Kataloğu'!$C$1:$C$1000,MATCH(1,INDEX(('Kalem Kataloğu'!$A$1:$A$1000=A144)*('Kalem Kataloğu'!$B$1:$B$1000=E144),0),0)),"?")</f>
        <v/>
      </c>
      <c r="G144" s="6">
        <f>IFERROR(INDEX('Kalem Kataloğu'!$D$1:$D$1000,MATCH(1,INDEX(('Kalem Kataloğu'!$A$1:$A$1000=A144)*('Kalem Kataloğu'!$B$1:$B$1000=E144),0),0)),"?")</f>
        <v/>
      </c>
      <c r="H144" s="7" t="n">
        <v>4</v>
      </c>
      <c r="I144" s="7" t="inlineStr">
        <is>
          <t>Hayır</t>
        </is>
      </c>
      <c r="J144" s="5" t="inlineStr">
        <is>
          <t>Drive foto</t>
        </is>
      </c>
      <c r="K144" s="5" t="inlineStr">
        <is>
          <t>Yatak başına görünen; EDR/EXSB/DFS 2+2 dizilmiş, DSSW/DS 2. Standart olarak teyit edilmeli [güven: medium]</t>
        </is>
      </c>
    </row>
    <row r="145" ht="26.4" customHeight="1">
      <c r="A145" s="5" t="inlineStr">
        <is>
          <t>Tare Suites Urla</t>
        </is>
      </c>
      <c r="B145" s="5" t="inlineStr">
        <is>
          <t>EDR</t>
        </is>
      </c>
      <c r="C145" s="7" t="n"/>
      <c r="D145" s="6">
        <f>IFERROR(INDEX('Kontrol Adımları'!$D:$D,MATCH(1,INDEX(('Kontrol Adımları'!$A$1:$A$400=B145)*('Kontrol Adımları'!$B$1:$B$400=C145),0),0)),"")</f>
        <v/>
      </c>
      <c r="E145" s="5" t="inlineStr">
        <is>
          <t>masa_sandalye_seti</t>
        </is>
      </c>
      <c r="F145" s="6">
        <f>IFERROR(INDEX('Kalem Kataloğu'!$C$1:$C$1000,MATCH(1,INDEX(('Kalem Kataloğu'!$A$1:$A$1000=A145)*('Kalem Kataloğu'!$B$1:$B$1000=E145),0),0)),"?")</f>
        <v/>
      </c>
      <c r="G145" s="6">
        <f>IFERROR(INDEX('Kalem Kataloğu'!$D$1:$D$1000,MATCH(1,INDEX(('Kalem Kataloğu'!$A$1:$A$1000=A145)*('Kalem Kataloğu'!$B$1:$B$1000=E145),0),0)),"?")</f>
        <v/>
      </c>
      <c r="H145" s="7" t="n">
        <v>0</v>
      </c>
      <c r="I145" s="7" t="inlineStr">
        <is>
          <t>Hayır</t>
        </is>
      </c>
      <c r="J145" s="5" t="inlineStr">
        <is>
          <t>Drive foto</t>
        </is>
      </c>
      <c r="K145" s="5" t="inlineStr">
        <is>
          <t>EDR fotoğraflarında oturma grubu yok (özellik dosyasıyla uyumlu) [güven: high]</t>
        </is>
      </c>
    </row>
    <row r="146">
      <c r="A146" s="5" t="inlineStr">
        <is>
          <t>Tare Suites Urla</t>
        </is>
      </c>
      <c r="B146" s="5" t="inlineStr">
        <is>
          <t>EDR</t>
        </is>
      </c>
      <c r="C146" s="7" t="n"/>
      <c r="D146" s="6">
        <f>IFERROR(INDEX('Kontrol Adımları'!$D:$D,MATCH(1,INDEX(('Kontrol Adımları'!$A$1:$A$400=B146)*('Kontrol Adımları'!$B$1:$B$400=C146),0),0)),"")</f>
        <v/>
      </c>
      <c r="E146" s="5" t="inlineStr">
        <is>
          <t>cift_kisilik_yatak</t>
        </is>
      </c>
      <c r="F146" s="6">
        <f>IFERROR(INDEX('Kalem Kataloğu'!$C$1:$C$1000,MATCH(1,INDEX(('Kalem Kataloğu'!$A$1:$A$1000=A146)*('Kalem Kataloğu'!$B$1:$B$1000=E146),0),0)),"?")</f>
        <v/>
      </c>
      <c r="G146" s="6">
        <f>IFERROR(INDEX('Kalem Kataloğu'!$D$1:$D$1000,MATCH(1,INDEX(('Kalem Kataloğu'!$A$1:$A$1000=A146)*('Kalem Kataloğu'!$B$1:$B$1000=E146),0),0)),"?")</f>
        <v/>
      </c>
      <c r="H146" s="7" t="n">
        <v>1</v>
      </c>
      <c r="I146" s="7" t="inlineStr">
        <is>
          <t>Hayır</t>
        </is>
      </c>
      <c r="J146" s="5" t="inlineStr">
        <is>
          <t>Drive foto</t>
        </is>
      </c>
      <c r="K146" s="5" t="inlineStr">
        <is>
          <t>DFS dubleks: üst katta (asma kat) ek yatak alanı olabilir, fotoğrafta net değil [güven: high]</t>
        </is>
      </c>
    </row>
    <row r="147">
      <c r="A147" s="5" t="inlineStr">
        <is>
          <t>Tare Suites Urla</t>
        </is>
      </c>
      <c r="B147" s="5" t="inlineStr">
        <is>
          <t>EXSB</t>
        </is>
      </c>
      <c r="C147" s="7" t="n"/>
      <c r="D147" s="6">
        <f>IFERROR(INDEX('Kontrol Adımları'!$D:$D,MATCH(1,INDEX(('Kontrol Adımları'!$A$1:$A$400=B147)*('Kontrol Adımları'!$B$1:$B$400=C147),0),0)),"")</f>
        <v/>
      </c>
      <c r="E147" s="5" t="inlineStr">
        <is>
          <t>asma_klozet</t>
        </is>
      </c>
      <c r="F147" s="6">
        <f>IFERROR(INDEX('Kalem Kataloğu'!$C$1:$C$1000,MATCH(1,INDEX(('Kalem Kataloğu'!$A$1:$A$1000=A147)*('Kalem Kataloğu'!$B$1:$B$1000=E147),0),0)),"?")</f>
        <v/>
      </c>
      <c r="G147" s="6">
        <f>IFERROR(INDEX('Kalem Kataloğu'!$D$1:$D$1000,MATCH(1,INDEX(('Kalem Kataloğu'!$A$1:$A$1000=A147)*('Kalem Kataloğu'!$B$1:$B$1000=E147),0),0)),"?")</f>
        <v/>
      </c>
      <c r="H147" s="7" t="n">
        <v>1</v>
      </c>
      <c r="I147" s="7" t="inlineStr">
        <is>
          <t>Hayır</t>
        </is>
      </c>
      <c r="J147" s="5" t="inlineStr">
        <is>
          <t>Drive foto</t>
        </is>
      </c>
      <c r="K147" s="5" t="inlineStr">
        <is>
          <t xml:space="preserve"> [güven: high]</t>
        </is>
      </c>
    </row>
    <row r="148" ht="39.6" customHeight="1">
      <c r="A148" s="5" t="inlineStr">
        <is>
          <t>Tare Suites Urla</t>
        </is>
      </c>
      <c r="B148" s="5" t="inlineStr">
        <is>
          <t>EXSB</t>
        </is>
      </c>
      <c r="C148" s="7" t="n"/>
      <c r="D148" s="6">
        <f>IFERROR(INDEX('Kontrol Adımları'!$D:$D,MATCH(1,INDEX(('Kontrol Adımları'!$A$1:$A$400=B148)*('Kontrol Adımları'!$B$1:$B$400=C148),0),0)),"")</f>
        <v/>
      </c>
      <c r="E148" s="5" t="inlineStr">
        <is>
          <t>ikram_tepsisi</t>
        </is>
      </c>
      <c r="F148" s="6">
        <f>IFERROR(INDEX('Kalem Kataloğu'!$C$1:$C$1000,MATCH(1,INDEX(('Kalem Kataloğu'!$A$1:$A$1000=A148)*('Kalem Kataloğu'!$B$1:$B$1000=E148),0),0)),"?")</f>
        <v/>
      </c>
      <c r="G148" s="6">
        <f>IFERROR(INDEX('Kalem Kataloğu'!$D$1:$D$1000,MATCH(1,INDEX(('Kalem Kataloğu'!$A$1:$A$1000=A148)*('Kalem Kataloğu'!$B$1:$B$1000=E148),0),0)),"?")</f>
        <v/>
      </c>
      <c r="H148" s="7" t="n">
        <v>1</v>
      </c>
      <c r="I148" s="7" t="inlineStr">
        <is>
          <t>Hayır</t>
        </is>
      </c>
      <c r="J148" s="5" t="inlineStr">
        <is>
          <t>Drive foto</t>
        </is>
      </c>
      <c r="K148" s="5" t="inlineStr">
        <is>
          <t>İçeriği ikram_tepsisi listesinde [güven: high]</t>
        </is>
      </c>
    </row>
    <row r="149" ht="26.4" customHeight="1">
      <c r="A149" s="5" t="inlineStr">
        <is>
          <t>Tare Suites Urla</t>
        </is>
      </c>
      <c r="B149" s="5" t="inlineStr">
        <is>
          <t>EXSB</t>
        </is>
      </c>
      <c r="C149" s="7" t="n"/>
      <c r="D149" s="6">
        <f>IFERROR(INDEX('Kontrol Adımları'!$D:$D,MATCH(1,INDEX(('Kontrol Adımları'!$A$1:$A$400=B149)*('Kontrol Adımları'!$B$1:$B$400=C149),0),0)),"")</f>
        <v/>
      </c>
      <c r="E149" s="5" t="inlineStr">
        <is>
          <t>banyo_aynasi</t>
        </is>
      </c>
      <c r="F149" s="6">
        <f>IFERROR(INDEX('Kalem Kataloğu'!$C$1:$C$1000,MATCH(1,INDEX(('Kalem Kataloğu'!$A$1:$A$1000=A149)*('Kalem Kataloğu'!$B$1:$B$1000=E149),0),0)),"?")</f>
        <v/>
      </c>
      <c r="G149" s="6">
        <f>IFERROR(INDEX('Kalem Kataloğu'!$D$1:$D$1000,MATCH(1,INDEX(('Kalem Kataloğu'!$A$1:$A$1000=A149)*('Kalem Kataloğu'!$B$1:$B$1000=E149),0),0)),"?")</f>
        <v/>
      </c>
      <c r="H149" s="7" t="n">
        <v>1</v>
      </c>
      <c r="I149" s="7" t="inlineStr">
        <is>
          <t>Hayır</t>
        </is>
      </c>
      <c r="J149" s="5" t="inlineStr">
        <is>
          <t>Drive foto</t>
        </is>
      </c>
      <c r="K149" s="5" t="inlineStr">
        <is>
          <t>DSSW yuvarlak hasır çerçeveli; diğerleri ahşap çerçeveli dikdörtgen [güven: high]</t>
        </is>
      </c>
    </row>
    <row r="150" ht="26.4" customHeight="1">
      <c r="A150" s="5" t="inlineStr">
        <is>
          <t>Tare Suites Urla</t>
        </is>
      </c>
      <c r="B150" s="5" t="inlineStr">
        <is>
          <t>EXSB</t>
        </is>
      </c>
      <c r="C150" s="7" t="n"/>
      <c r="D150" s="6">
        <f>IFERROR(INDEX('Kontrol Adımları'!$D:$D,MATCH(1,INDEX(('Kontrol Adımları'!$A$1:$A$400=B150)*('Kontrol Adımları'!$B$1:$B$400=C150),0),0)),"")</f>
        <v/>
      </c>
      <c r="E150" s="5" t="inlineStr">
        <is>
          <t>duman_dedektoru</t>
        </is>
      </c>
      <c r="F150" s="6">
        <f>IFERROR(INDEX('Kalem Kataloğu'!$C$1:$C$1000,MATCH(1,INDEX(('Kalem Kataloğu'!$A$1:$A$1000=A150)*('Kalem Kataloğu'!$B$1:$B$1000=E150),0),0)),"?")</f>
        <v/>
      </c>
      <c r="G150" s="6">
        <f>IFERROR(INDEX('Kalem Kataloğu'!$D$1:$D$1000,MATCH(1,INDEX(('Kalem Kataloğu'!$A$1:$A$1000=A150)*('Kalem Kataloğu'!$B$1:$B$1000=E150),0),0)),"?")</f>
        <v/>
      </c>
      <c r="H150" s="7" t="n">
        <v>1</v>
      </c>
      <c r="I150" s="7" t="inlineStr">
        <is>
          <t>Hayır</t>
        </is>
      </c>
      <c r="J150" s="5" t="inlineStr">
        <is>
          <t>Drive foto</t>
        </is>
      </c>
      <c r="K150" s="5" t="inlineStr">
        <is>
          <t>Tavanda; özellik dosyasında tüm tiplerde var [güven: medium]</t>
        </is>
      </c>
    </row>
    <row r="151" ht="26.4" customHeight="1">
      <c r="A151" s="5" t="inlineStr">
        <is>
          <t>Tare Suites Urla</t>
        </is>
      </c>
      <c r="B151" s="5" t="inlineStr">
        <is>
          <t>EXSB</t>
        </is>
      </c>
      <c r="C151" s="7" t="n"/>
      <c r="D151" s="6">
        <f>IFERROR(INDEX('Kontrol Adımları'!$D:$D,MATCH(1,INDEX(('Kontrol Adımları'!$A$1:$A$400=B151)*('Kontrol Adımları'!$B$1:$B$400=C151),0),0)),"")</f>
        <v/>
      </c>
      <c r="E151" s="5" t="inlineStr">
        <is>
          <t>aplik</t>
        </is>
      </c>
      <c r="F151" s="6">
        <f>IFERROR(INDEX('Kalem Kataloğu'!$C$1:$C$1000,MATCH(1,INDEX(('Kalem Kataloğu'!$A$1:$A$1000=A151)*('Kalem Kataloğu'!$B$1:$B$1000=E151),0),0)),"?")</f>
        <v/>
      </c>
      <c r="G151" s="6">
        <f>IFERROR(INDEX('Kalem Kataloğu'!$D$1:$D$1000,MATCH(1,INDEX(('Kalem Kataloğu'!$A$1:$A$1000=A151)*('Kalem Kataloğu'!$B$1:$B$1000=E151),0),0)),"?")</f>
        <v/>
      </c>
      <c r="H151" s="7" t="n">
        <v>2</v>
      </c>
      <c r="I151" s="7" t="inlineStr">
        <is>
          <t>Hayır</t>
        </is>
      </c>
      <c r="J151" s="5" t="inlineStr">
        <is>
          <t>Drive foto</t>
        </is>
      </c>
      <c r="K151" s="5" t="inlineStr">
        <is>
          <t>Yatak başı iki yanda [güven: medium]</t>
        </is>
      </c>
    </row>
    <row r="152" ht="26.4" customHeight="1">
      <c r="A152" s="5" t="inlineStr">
        <is>
          <t>Tare Suites Urla</t>
        </is>
      </c>
      <c r="B152" s="5" t="inlineStr">
        <is>
          <t>EXSB</t>
        </is>
      </c>
      <c r="C152" s="7" t="n"/>
      <c r="D152" s="6">
        <f>IFERROR(INDEX('Kontrol Adımları'!$D:$D,MATCH(1,INDEX(('Kontrol Adımları'!$A$1:$A$400=B152)*('Kontrol Adımları'!$B$1:$B$400=C152),0),0)),"")</f>
        <v/>
      </c>
      <c r="E152" s="5" t="inlineStr">
        <is>
          <t>havlu_rafi</t>
        </is>
      </c>
      <c r="F152" s="6">
        <f>IFERROR(INDEX('Kalem Kataloğu'!$C$1:$C$1000,MATCH(1,INDEX(('Kalem Kataloğu'!$A$1:$A$1000=A152)*('Kalem Kataloğu'!$B$1:$B$1000=E152),0),0)),"?")</f>
        <v/>
      </c>
      <c r="G152" s="6">
        <f>IFERROR(INDEX('Kalem Kataloğu'!$D$1:$D$1000,MATCH(1,INDEX(('Kalem Kataloğu'!$A$1:$A$1000=A152)*('Kalem Kataloğu'!$B$1:$B$1000=E152),0),0)),"?")</f>
        <v/>
      </c>
      <c r="H152" s="7" t="n">
        <v>1</v>
      </c>
      <c r="I152" s="7" t="inlineStr">
        <is>
          <t>Hayır</t>
        </is>
      </c>
      <c r="J152" s="5" t="inlineStr">
        <is>
          <t>Drive foto</t>
        </is>
      </c>
      <c r="K152" s="5" t="inlineStr">
        <is>
          <t xml:space="preserve"> [güven: high]</t>
        </is>
      </c>
    </row>
    <row r="153" ht="26.4" customHeight="1">
      <c r="A153" s="5" t="inlineStr">
        <is>
          <t>Tare Suites Urla</t>
        </is>
      </c>
      <c r="B153" s="5" t="inlineStr">
        <is>
          <t>EXSB</t>
        </is>
      </c>
      <c r="C153" s="7" t="n"/>
      <c r="D153" s="6">
        <f>IFERROR(INDEX('Kontrol Adımları'!$D:$D,MATCH(1,INDEX(('Kontrol Adımları'!$A$1:$A$400=B153)*('Kontrol Adımları'!$B$1:$B$400=C153),0),0)),"")</f>
        <v/>
      </c>
      <c r="E153" s="5" t="inlineStr">
        <is>
          <t>tablo</t>
        </is>
      </c>
      <c r="F153" s="6">
        <f>IFERROR(INDEX('Kalem Kataloğu'!$C$1:$C$1000,MATCH(1,INDEX(('Kalem Kataloğu'!$A$1:$A$1000=A153)*('Kalem Kataloğu'!$B$1:$B$1000=E153),0),0)),"?")</f>
        <v/>
      </c>
      <c r="G153" s="6">
        <f>IFERROR(INDEX('Kalem Kataloğu'!$D$1:$D$1000,MATCH(1,INDEX(('Kalem Kataloğu'!$A$1:$A$1000=A153)*('Kalem Kataloğu'!$B$1:$B$1000=E153),0),0)),"?")</f>
        <v/>
      </c>
      <c r="H153" s="7" t="n">
        <v>1</v>
      </c>
      <c r="I153" s="7" t="inlineStr">
        <is>
          <t>Hayır</t>
        </is>
      </c>
      <c r="J153" s="5" t="inlineStr">
        <is>
          <t>Drive foto</t>
        </is>
      </c>
      <c r="K153" s="5" t="inlineStr">
        <is>
          <t xml:space="preserve"> [güven: high]</t>
        </is>
      </c>
    </row>
    <row r="154" ht="26.4" customHeight="1">
      <c r="A154" s="5" t="inlineStr">
        <is>
          <t>Tare Suites Urla</t>
        </is>
      </c>
      <c r="B154" s="5" t="inlineStr">
        <is>
          <t>EXSB</t>
        </is>
      </c>
      <c r="C154" s="7" t="n"/>
      <c r="D154" s="6">
        <f>IFERROR(INDEX('Kontrol Adımları'!$D:$D,MATCH(1,INDEX(('Kontrol Adımları'!$A$1:$A$400=B154)*('Kontrol Adımları'!$B$1:$B$400=C154),0),0)),"")</f>
        <v/>
      </c>
      <c r="E154" s="5" t="inlineStr">
        <is>
          <t>duvar_tv</t>
        </is>
      </c>
      <c r="F154" s="6">
        <f>IFERROR(INDEX('Kalem Kataloğu'!$C$1:$C$1000,MATCH(1,INDEX(('Kalem Kataloğu'!$A$1:$A$1000=A154)*('Kalem Kataloğu'!$B$1:$B$1000=E154),0),0)),"?")</f>
        <v/>
      </c>
      <c r="G154" s="6">
        <f>IFERROR(INDEX('Kalem Kataloğu'!$D$1:$D$1000,MATCH(1,INDEX(('Kalem Kataloğu'!$A$1:$A$1000=A154)*('Kalem Kataloğu'!$B$1:$B$1000=E154),0),0)),"?")</f>
        <v/>
      </c>
      <c r="H154" s="7" t="n">
        <v>1</v>
      </c>
      <c r="I154" s="7" t="inlineStr">
        <is>
          <t>Hayır</t>
        </is>
      </c>
      <c r="J154" s="5" t="inlineStr">
        <is>
          <t>Drive foto</t>
        </is>
      </c>
      <c r="K154" s="5" t="inlineStr">
        <is>
          <t xml:space="preserve"> [güven: high]</t>
        </is>
      </c>
    </row>
    <row r="155" ht="26.4" customHeight="1">
      <c r="A155" s="5" t="inlineStr">
        <is>
          <t>Tare Suites Urla</t>
        </is>
      </c>
      <c r="B155" s="5" t="inlineStr">
        <is>
          <t>EXSB</t>
        </is>
      </c>
      <c r="C155" s="7" t="n"/>
      <c r="D155" s="6">
        <f>IFERROR(INDEX('Kontrol Adımları'!$D:$D,MATCH(1,INDEX(('Kontrol Adımları'!$A$1:$A$400=B155)*('Kontrol Adımları'!$B$1:$B$400=C155),0),0)),"")</f>
        <v/>
      </c>
      <c r="E155" s="5" t="inlineStr">
        <is>
          <t>sivi_sabun_dispenser</t>
        </is>
      </c>
      <c r="F155" s="6">
        <f>IFERROR(INDEX('Kalem Kataloğu'!$C$1:$C$1000,MATCH(1,INDEX(('Kalem Kataloğu'!$A$1:$A$1000=A155)*('Kalem Kataloğu'!$B$1:$B$1000=E155),0),0)),"?")</f>
        <v/>
      </c>
      <c r="G155" s="6">
        <f>IFERROR(INDEX('Kalem Kataloğu'!$D$1:$D$1000,MATCH(1,INDEX(('Kalem Kataloğu'!$A$1:$A$1000=A155)*('Kalem Kataloğu'!$B$1:$B$1000=E155),0),0)),"?")</f>
        <v/>
      </c>
      <c r="H155" s="7" t="n"/>
      <c r="I155" s="7" t="inlineStr">
        <is>
          <t>Hayır</t>
        </is>
      </c>
      <c r="J155" s="5" t="inlineStr">
        <is>
          <t>Drive foto</t>
        </is>
      </c>
      <c r="K155" s="5" t="inlineStr">
        <is>
          <t>DS fotoğraflarında 1 adet görünüyor (sabun); şampuan/duş jeli dispenserleri duş içinde olabilir [güven: medium]</t>
        </is>
      </c>
    </row>
    <row r="156" ht="26.4" customHeight="1">
      <c r="A156" s="5" t="inlineStr">
        <is>
          <t>Tare Suites Urla</t>
        </is>
      </c>
      <c r="B156" s="5" t="inlineStr">
        <is>
          <t>EXSB</t>
        </is>
      </c>
      <c r="C156" s="7" t="n"/>
      <c r="D156" s="6">
        <f>IFERROR(INDEX('Kontrol Adımları'!$D:$D,MATCH(1,INDEX(('Kontrol Adımları'!$A$1:$A$400=B156)*('Kontrol Adımları'!$B$1:$B$400=C156),0),0)),"")</f>
        <v/>
      </c>
      <c r="E156" s="5" t="inlineStr">
        <is>
          <t>dus_rafi</t>
        </is>
      </c>
      <c r="F156" s="6">
        <f>IFERROR(INDEX('Kalem Kataloğu'!$C$1:$C$1000,MATCH(1,INDEX(('Kalem Kataloğu'!$A$1:$A$1000=A156)*('Kalem Kataloğu'!$B$1:$B$1000=E156),0),0)),"?")</f>
        <v/>
      </c>
      <c r="G156" s="6">
        <f>IFERROR(INDEX('Kalem Kataloğu'!$D$1:$D$1000,MATCH(1,INDEX(('Kalem Kataloğu'!$A$1:$A$1000=A156)*('Kalem Kataloğu'!$B$1:$B$1000=E156),0),0)),"?")</f>
        <v/>
      </c>
      <c r="H156" s="7" t="n"/>
      <c r="I156" s="7" t="inlineStr">
        <is>
          <t>Hayır</t>
        </is>
      </c>
      <c r="J156" s="5" t="inlineStr">
        <is>
          <t>Drive foto</t>
        </is>
      </c>
      <c r="K156" s="5" t="inlineStr">
        <is>
          <t xml:space="preserve"> [güven: medium]</t>
        </is>
      </c>
    </row>
    <row r="157">
      <c r="A157" s="5" t="inlineStr">
        <is>
          <t>Tare Suites Urla</t>
        </is>
      </c>
      <c r="B157" s="5" t="inlineStr">
        <is>
          <t>EXSB</t>
        </is>
      </c>
      <c r="C157" s="7" t="n"/>
      <c r="D157" s="6">
        <f>IFERROR(INDEX('Kontrol Adımları'!$D:$D,MATCH(1,INDEX(('Kontrol Adımları'!$A$1:$A$400=B157)*('Kontrol Adımları'!$B$1:$B$400=C157),0),0)),"")</f>
        <v/>
      </c>
      <c r="E157" s="5" t="inlineStr">
        <is>
          <t>dus_kabini</t>
        </is>
      </c>
      <c r="F157" s="6">
        <f>IFERROR(INDEX('Kalem Kataloğu'!$C$1:$C$1000,MATCH(1,INDEX(('Kalem Kataloğu'!$A$1:$A$1000=A157)*('Kalem Kataloğu'!$B$1:$B$1000=E157),0),0)),"?")</f>
        <v/>
      </c>
      <c r="G157" s="6">
        <f>IFERROR(INDEX('Kalem Kataloğu'!$D$1:$D$1000,MATCH(1,INDEX(('Kalem Kataloğu'!$A$1:$A$1000=A157)*('Kalem Kataloğu'!$B$1:$B$1000=E157),0),0)),"?")</f>
        <v/>
      </c>
      <c r="H157" s="7" t="n">
        <v>1</v>
      </c>
      <c r="I157" s="7" t="inlineStr">
        <is>
          <t>Hayır</t>
        </is>
      </c>
      <c r="J157" s="5" t="inlineStr">
        <is>
          <t>Drive foto</t>
        </is>
      </c>
      <c r="K157" s="5" t="inlineStr">
        <is>
          <t xml:space="preserve"> [güven: high]</t>
        </is>
      </c>
    </row>
    <row r="158" ht="26.4" customHeight="1">
      <c r="A158" s="5" t="inlineStr">
        <is>
          <t>Tare Suites Urla</t>
        </is>
      </c>
      <c r="B158" s="5" t="inlineStr">
        <is>
          <t>EXSB</t>
        </is>
      </c>
      <c r="C158" s="7" t="n"/>
      <c r="D158" s="6">
        <f>IFERROR(INDEX('Kontrol Adımları'!$D:$D,MATCH(1,INDEX(('Kontrol Adımları'!$A$1:$A$400=B158)*('Kontrol Adımları'!$B$1:$B$400=C158),0),0)),"")</f>
        <v/>
      </c>
      <c r="E158" s="5" t="inlineStr">
        <is>
          <t>gardirop</t>
        </is>
      </c>
      <c r="F158" s="6">
        <f>IFERROR(INDEX('Kalem Kataloğu'!$C$1:$C$1000,MATCH(1,INDEX(('Kalem Kataloğu'!$A$1:$A$1000=A158)*('Kalem Kataloğu'!$B$1:$B$1000=E158),0),0)),"?")</f>
        <v/>
      </c>
      <c r="G158" s="6">
        <f>IFERROR(INDEX('Kalem Kataloğu'!$D$1:$D$1000,MATCH(1,INDEX(('Kalem Kataloğu'!$A$1:$A$1000=A158)*('Kalem Kataloğu'!$B$1:$B$1000=E158),0),0)),"?")</f>
        <v/>
      </c>
      <c r="H158" s="7" t="n">
        <v>1</v>
      </c>
      <c r="I158" s="7" t="inlineStr">
        <is>
          <t>Hayır</t>
        </is>
      </c>
      <c r="J158" s="5" t="inlineStr">
        <is>
          <t>Drive foto</t>
        </is>
      </c>
      <c r="K158" s="5" t="inlineStr">
        <is>
          <t>Özellik dosyasında tüm tiplerde var; yalnız EXSB fotoğrafında görünüyor [güven: medium]</t>
        </is>
      </c>
    </row>
    <row r="159">
      <c r="A159" s="5" t="inlineStr">
        <is>
          <t>Tare Suites Urla</t>
        </is>
      </c>
      <c r="B159" s="5" t="inlineStr">
        <is>
          <t>EXSB</t>
        </is>
      </c>
      <c r="C159" s="7" t="n"/>
      <c r="D159" s="6">
        <f>IFERROR(INDEX('Kontrol Adımları'!$D:$D,MATCH(1,INDEX(('Kontrol Adımları'!$A$1:$A$400=B159)*('Kontrol Adımları'!$B$1:$B$400=C159),0),0)),"")</f>
        <v/>
      </c>
      <c r="E159" s="5" t="inlineStr">
        <is>
          <t>komodin</t>
        </is>
      </c>
      <c r="F159" s="6">
        <f>IFERROR(INDEX('Kalem Kataloğu'!$C$1:$C$1000,MATCH(1,INDEX(('Kalem Kataloğu'!$A$1:$A$1000=A159)*('Kalem Kataloğu'!$B$1:$B$1000=E159),0),0)),"?")</f>
        <v/>
      </c>
      <c r="G159" s="6">
        <f>IFERROR(INDEX('Kalem Kataloğu'!$D$1:$D$1000,MATCH(1,INDEX(('Kalem Kataloğu'!$A$1:$A$1000=A159)*('Kalem Kataloğu'!$B$1:$B$1000=E159),0),0)),"?")</f>
        <v/>
      </c>
      <c r="H159" s="7" t="n">
        <v>2</v>
      </c>
      <c r="I159" s="7" t="inlineStr">
        <is>
          <t>Hayır</t>
        </is>
      </c>
      <c r="J159" s="5" t="inlineStr">
        <is>
          <t>Drive foto</t>
        </is>
      </c>
      <c r="K159" s="5" t="inlineStr">
        <is>
          <t>DSSW fotoğrafında yalnız bir yan görünüyor; muhtemelen 2 [güven: medium]</t>
        </is>
      </c>
    </row>
    <row r="160" ht="39.6" customHeight="1">
      <c r="A160" s="5" t="inlineStr">
        <is>
          <t>Tare Suites Urla</t>
        </is>
      </c>
      <c r="B160" s="5" t="inlineStr">
        <is>
          <t>EXSB</t>
        </is>
      </c>
      <c r="C160" s="7" t="n"/>
      <c r="D160" s="6">
        <f>IFERROR(INDEX('Kontrol Adımları'!$D:$D,MATCH(1,INDEX(('Kontrol Adımları'!$A$1:$A$400=B160)*('Kontrol Adımları'!$B$1:$B$400=C160),0),0)),"")</f>
        <v/>
      </c>
      <c r="E160" s="5" t="inlineStr">
        <is>
          <t>calisma_masasi_ayna</t>
        </is>
      </c>
      <c r="F160" s="6">
        <f>IFERROR(INDEX('Kalem Kataloğu'!$C$1:$C$1000,MATCH(1,INDEX(('Kalem Kataloğu'!$A$1:$A$1000=A160)*('Kalem Kataloğu'!$B$1:$B$1000=E160),0),0)),"?")</f>
        <v/>
      </c>
      <c r="G160" s="6">
        <f>IFERROR(INDEX('Kalem Kataloğu'!$D$1:$D$1000,MATCH(1,INDEX(('Kalem Kataloğu'!$A$1:$A$1000=A160)*('Kalem Kataloğu'!$B$1:$B$1000=E160),0),0)),"?")</f>
        <v/>
      </c>
      <c r="H160" s="7" t="n">
        <v>1</v>
      </c>
      <c r="I160" s="7" t="inlineStr">
        <is>
          <t>Hayır</t>
        </is>
      </c>
      <c r="J160" s="5" t="inlineStr">
        <is>
          <t>Drive foto</t>
        </is>
      </c>
      <c r="K160" s="5" t="inlineStr">
        <is>
          <t xml:space="preserve"> [güven: high]</t>
        </is>
      </c>
    </row>
    <row r="161" ht="26.4" customHeight="1">
      <c r="A161" s="5" t="inlineStr">
        <is>
          <t>Tare Suites Urla</t>
        </is>
      </c>
      <c r="B161" s="5" t="inlineStr">
        <is>
          <t>EXSB</t>
        </is>
      </c>
      <c r="C161" s="7" t="n"/>
      <c r="D161" s="6">
        <f>IFERROR(INDEX('Kontrol Adımları'!$D:$D,MATCH(1,INDEX(('Kontrol Adımları'!$A$1:$A$400=B161)*('Kontrol Adımları'!$B$1:$B$400=C161),0),0)),"")</f>
        <v/>
      </c>
      <c r="E161" s="5" t="inlineStr">
        <is>
          <t>lavabo_dolabi</t>
        </is>
      </c>
      <c r="F161" s="6">
        <f>IFERROR(INDEX('Kalem Kataloğu'!$C$1:$C$1000,MATCH(1,INDEX(('Kalem Kataloğu'!$A$1:$A$1000=A161)*('Kalem Kataloğu'!$B$1:$B$1000=E161),0),0)),"?")</f>
        <v/>
      </c>
      <c r="G161" s="6">
        <f>IFERROR(INDEX('Kalem Kataloğu'!$D$1:$D$1000,MATCH(1,INDEX(('Kalem Kataloğu'!$A$1:$A$1000=A161)*('Kalem Kataloğu'!$B$1:$B$1000=E161),0),0)),"?")</f>
        <v/>
      </c>
      <c r="H161" s="7" t="n">
        <v>1</v>
      </c>
      <c r="I161" s="7" t="inlineStr">
        <is>
          <t>Hayır</t>
        </is>
      </c>
      <c r="J161" s="5" t="inlineStr">
        <is>
          <t>Drive foto</t>
        </is>
      </c>
      <c r="K161" s="5" t="inlineStr">
        <is>
          <t xml:space="preserve"> [güven: high]</t>
        </is>
      </c>
    </row>
    <row r="162" ht="26.4" customHeight="1">
      <c r="A162" s="5" t="inlineStr">
        <is>
          <t>Tare Suites Urla</t>
        </is>
      </c>
      <c r="B162" s="5" t="inlineStr">
        <is>
          <t>EXSB</t>
        </is>
      </c>
      <c r="C162" s="7" t="n"/>
      <c r="D162" s="6">
        <f>IFERROR(INDEX('Kontrol Adımları'!$D:$D,MATCH(1,INDEX(('Kontrol Adımları'!$A$1:$A$400=B162)*('Kontrol Adımları'!$B$1:$B$400=C162),0),0)),"")</f>
        <v/>
      </c>
      <c r="E162" s="5" t="inlineStr">
        <is>
          <t>mini_buzdolabi</t>
        </is>
      </c>
      <c r="F162" s="6">
        <f>IFERROR(INDEX('Kalem Kataloğu'!$C$1:$C$1000,MATCH(1,INDEX(('Kalem Kataloğu'!$A$1:$A$1000=A162)*('Kalem Kataloğu'!$B$1:$B$1000=E162),0),0)),"?")</f>
        <v/>
      </c>
      <c r="G162" s="6">
        <f>IFERROR(INDEX('Kalem Kataloğu'!$D$1:$D$1000,MATCH(1,INDEX(('Kalem Kataloğu'!$A$1:$A$1000=A162)*('Kalem Kataloğu'!$B$1:$B$1000=E162),0),0)),"?")</f>
        <v/>
      </c>
      <c r="H162" s="7" t="n">
        <v>1</v>
      </c>
      <c r="I162" s="7" t="inlineStr">
        <is>
          <t>Hayır</t>
        </is>
      </c>
      <c r="J162" s="5" t="inlineStr">
        <is>
          <t>Drive foto</t>
        </is>
      </c>
      <c r="K162" s="5" t="inlineStr">
        <is>
          <t>Özellik dosyasında Urla Suites için Buzdolabı "-" ama fotoğraflarda masa altında mini buzdolabı var — teyit [güven: high]</t>
        </is>
      </c>
    </row>
    <row r="163" ht="26.4" customHeight="1">
      <c r="A163" s="5" t="inlineStr">
        <is>
          <t>Tare Suites Urla</t>
        </is>
      </c>
      <c r="B163" s="5" t="inlineStr">
        <is>
          <t>EXSB</t>
        </is>
      </c>
      <c r="C163" s="7" t="n"/>
      <c r="D163" s="6">
        <f>IFERROR(INDEX('Kontrol Adımları'!$D:$D,MATCH(1,INDEX(('Kontrol Adımları'!$A$1:$A$400=B163)*('Kontrol Adımları'!$B$1:$B$400=C163),0),0)),"")</f>
        <v/>
      </c>
      <c r="E163" s="5" t="inlineStr">
        <is>
          <t>banyo_cop_kovasi</t>
        </is>
      </c>
      <c r="F163" s="6">
        <f>IFERROR(INDEX('Kalem Kataloğu'!$C$1:$C$1000,MATCH(1,INDEX(('Kalem Kataloğu'!$A$1:$A$1000=A163)*('Kalem Kataloğu'!$B$1:$B$1000=E163),0),0)),"?")</f>
        <v/>
      </c>
      <c r="G163" s="6">
        <f>IFERROR(INDEX('Kalem Kataloğu'!$D$1:$D$1000,MATCH(1,INDEX(('Kalem Kataloğu'!$A$1:$A$1000=A163)*('Kalem Kataloğu'!$B$1:$B$1000=E163),0),0)),"?")</f>
        <v/>
      </c>
      <c r="H163" s="7" t="n"/>
      <c r="I163" s="7" t="inlineStr">
        <is>
          <t>Hayır</t>
        </is>
      </c>
      <c r="J163" s="5" t="inlineStr">
        <is>
          <t>Drive foto</t>
        </is>
      </c>
      <c r="K163" s="5" t="inlineStr">
        <is>
          <t xml:space="preserve"> [güven: medium]</t>
        </is>
      </c>
    </row>
    <row r="164">
      <c r="A164" s="5" t="inlineStr">
        <is>
          <t>Tare Suites Urla</t>
        </is>
      </c>
      <c r="B164" s="5" t="inlineStr">
        <is>
          <t>EXSB</t>
        </is>
      </c>
      <c r="C164" s="7" t="n"/>
      <c r="D164" s="6">
        <f>IFERROR(INDEX('Kontrol Adımları'!$D:$D,MATCH(1,INDEX(('Kontrol Adımları'!$A$1:$A$400=B164)*('Kontrol Adımları'!$B$1:$B$400=C164),0),0)),"")</f>
        <v/>
      </c>
      <c r="E164" s="5" t="inlineStr">
        <is>
          <t>sandalye</t>
        </is>
      </c>
      <c r="F164" s="6">
        <f>IFERROR(INDEX('Kalem Kataloğu'!$C$1:$C$1000,MATCH(1,INDEX(('Kalem Kataloğu'!$A$1:$A$1000=A164)*('Kalem Kataloğu'!$B$1:$B$1000=E164),0),0)),"?")</f>
        <v/>
      </c>
      <c r="G164" s="6">
        <f>IFERROR(INDEX('Kalem Kataloğu'!$D$1:$D$1000,MATCH(1,INDEX(('Kalem Kataloğu'!$A$1:$A$1000=A164)*('Kalem Kataloğu'!$B$1:$B$1000=E164),0),0)),"?")</f>
        <v/>
      </c>
      <c r="H164" s="7" t="n">
        <v>2</v>
      </c>
      <c r="I164" s="7" t="inlineStr">
        <is>
          <t>Hayır</t>
        </is>
      </c>
      <c r="J164" s="5" t="inlineStr">
        <is>
          <t>Drive foto</t>
        </is>
      </c>
      <c r="K164" s="5" t="inlineStr">
        <is>
          <t xml:space="preserve"> [güven: high]</t>
        </is>
      </c>
    </row>
    <row r="165" ht="26.4" customHeight="1">
      <c r="A165" s="5" t="inlineStr">
        <is>
          <t>Tare Suites Urla</t>
        </is>
      </c>
      <c r="B165" s="5" t="inlineStr">
        <is>
          <t>EXSB</t>
        </is>
      </c>
      <c r="C165" s="7" t="n"/>
      <c r="D165" s="6">
        <f>IFERROR(INDEX('Kontrol Adımları'!$D:$D,MATCH(1,INDEX(('Kontrol Adımları'!$A$1:$A$400=B165)*('Kontrol Adımları'!$B$1:$B$400=C165),0),0)),"")</f>
        <v/>
      </c>
      <c r="E165" s="5" t="inlineStr">
        <is>
          <t>sac_kurutma</t>
        </is>
      </c>
      <c r="F165" s="6">
        <f>IFERROR(INDEX('Kalem Kataloğu'!$C$1:$C$1000,MATCH(1,INDEX(('Kalem Kataloğu'!$A$1:$A$1000=A165)*('Kalem Kataloğu'!$B$1:$B$1000=E165),0),0)),"?")</f>
        <v/>
      </c>
      <c r="G165" s="6">
        <f>IFERROR(INDEX('Kalem Kataloğu'!$D$1:$D$1000,MATCH(1,INDEX(('Kalem Kataloğu'!$A$1:$A$1000=A165)*('Kalem Kataloğu'!$B$1:$B$1000=E165),0),0)),"?")</f>
        <v/>
      </c>
      <c r="H165" s="7" t="n"/>
      <c r="I165" s="7" t="inlineStr">
        <is>
          <t>Hayır</t>
        </is>
      </c>
      <c r="J165" s="5" t="inlineStr">
        <is>
          <t>Drive foto</t>
        </is>
      </c>
      <c r="K165" s="5" t="inlineStr">
        <is>
          <t>Özellik dosyasında tüm tiplerde var; yalnız EDR fotoğrafında görünüyor [güven: medium]</t>
        </is>
      </c>
    </row>
    <row r="166" ht="26.4" customHeight="1">
      <c r="A166" s="5" t="inlineStr">
        <is>
          <t>Tare Suites Urla</t>
        </is>
      </c>
      <c r="B166" s="5" t="inlineStr">
        <is>
          <t>EXSB</t>
        </is>
      </c>
      <c r="C166" s="7" t="n"/>
      <c r="D166" s="6">
        <f>IFERROR(INDEX('Kontrol Adımları'!$D:$D,MATCH(1,INDEX(('Kontrol Adımları'!$A$1:$A$400=B166)*('Kontrol Adımları'!$B$1:$B$400=C166),0),0)),"")</f>
        <v/>
      </c>
      <c r="E166" s="5" t="inlineStr">
        <is>
          <t>klima</t>
        </is>
      </c>
      <c r="F166" s="6">
        <f>IFERROR(INDEX('Kalem Kataloğu'!$C$1:$C$1000,MATCH(1,INDEX(('Kalem Kataloğu'!$A$1:$A$1000=A166)*('Kalem Kataloğu'!$B$1:$B$1000=E166),0),0)),"?")</f>
        <v/>
      </c>
      <c r="G166" s="6">
        <f>IFERROR(INDEX('Kalem Kataloğu'!$D$1:$D$1000,MATCH(1,INDEX(('Kalem Kataloğu'!$A$1:$A$1000=A166)*('Kalem Kataloğu'!$B$1:$B$1000=E166),0),0)),"?")</f>
        <v/>
      </c>
      <c r="H166" s="7" t="n">
        <v>1</v>
      </c>
      <c r="I166" s="7" t="inlineStr">
        <is>
          <t>Hayır</t>
        </is>
      </c>
      <c r="J166" s="5" t="inlineStr">
        <is>
          <t>Drive foto</t>
        </is>
      </c>
      <c r="K166" s="5" t="inlineStr">
        <is>
          <t xml:space="preserve"> [güven: high]</t>
        </is>
      </c>
    </row>
    <row r="167" ht="26.4" customHeight="1">
      <c r="A167" s="5" t="inlineStr">
        <is>
          <t>Tare Suites Urla</t>
        </is>
      </c>
      <c r="B167" s="5" t="inlineStr">
        <is>
          <t>EXSB</t>
        </is>
      </c>
      <c r="C167" s="7" t="n"/>
      <c r="D167" s="6">
        <f>IFERROR(INDEX('Kontrol Adımları'!$D:$D,MATCH(1,INDEX(('Kontrol Adımları'!$A$1:$A$400=B167)*('Kontrol Adımları'!$B$1:$B$400=C167),0),0)),"")</f>
        <v/>
      </c>
      <c r="E167" s="5" t="inlineStr">
        <is>
          <t>kettle</t>
        </is>
      </c>
      <c r="F167" s="6">
        <f>IFERROR(INDEX('Kalem Kataloğu'!$C$1:$C$1000,MATCH(1,INDEX(('Kalem Kataloğu'!$A$1:$A$1000=A167)*('Kalem Kataloğu'!$B$1:$B$1000=E167),0),0)),"?")</f>
        <v/>
      </c>
      <c r="G167" s="6">
        <f>IFERROR(INDEX('Kalem Kataloğu'!$D$1:$D$1000,MATCH(1,INDEX(('Kalem Kataloğu'!$A$1:$A$1000=A167)*('Kalem Kataloğu'!$B$1:$B$1000=E167),0),0)),"?")</f>
        <v/>
      </c>
      <c r="H167" s="7" t="n">
        <v>1</v>
      </c>
      <c r="I167" s="7" t="inlineStr">
        <is>
          <t>Hayır</t>
        </is>
      </c>
      <c r="J167" s="5" t="inlineStr">
        <is>
          <t>Drive foto</t>
        </is>
      </c>
      <c r="K167" s="5" t="inlineStr">
        <is>
          <t xml:space="preserve"> [güven: high]</t>
        </is>
      </c>
    </row>
    <row r="168" ht="26.4" customHeight="1">
      <c r="A168" s="5" t="inlineStr">
        <is>
          <t>Tare Suites Urla</t>
        </is>
      </c>
      <c r="B168" s="5" t="inlineStr">
        <is>
          <t>EXSB</t>
        </is>
      </c>
      <c r="C168" s="7" t="n"/>
      <c r="D168" s="6">
        <f>IFERROR(INDEX('Kontrol Adımları'!$D:$D,MATCH(1,INDEX(('Kontrol Adımları'!$A$1:$A$400=B168)*('Kontrol Adımları'!$B$1:$B$400=C168),0),0)),"")</f>
        <v/>
      </c>
      <c r="E168" s="5" t="inlineStr">
        <is>
          <t>tuvalet_kagidi_aparati</t>
        </is>
      </c>
      <c r="F168" s="6">
        <f>IFERROR(INDEX('Kalem Kataloğu'!$C$1:$C$1000,MATCH(1,INDEX(('Kalem Kataloğu'!$A$1:$A$1000=A168)*('Kalem Kataloğu'!$B$1:$B$1000=E168),0),0)),"?")</f>
        <v/>
      </c>
      <c r="G168" s="6">
        <f>IFERROR(INDEX('Kalem Kataloğu'!$D$1:$D$1000,MATCH(1,INDEX(('Kalem Kataloğu'!$A$1:$A$1000=A168)*('Kalem Kataloğu'!$B$1:$B$1000=E168),0),0)),"?")</f>
        <v/>
      </c>
      <c r="H168" s="7" t="n"/>
      <c r="I168" s="7" t="inlineStr">
        <is>
          <t>Hayır</t>
        </is>
      </c>
      <c r="J168" s="5" t="inlineStr">
        <is>
          <t>Drive foto</t>
        </is>
      </c>
      <c r="K168" s="5" t="inlineStr">
        <is>
          <t xml:space="preserve"> [güven: high]</t>
        </is>
      </c>
    </row>
    <row r="169">
      <c r="A169" s="5" t="inlineStr">
        <is>
          <t>Tare Suites Urla</t>
        </is>
      </c>
      <c r="B169" s="5" t="inlineStr">
        <is>
          <t>EXSB</t>
        </is>
      </c>
      <c r="C169" s="7" t="n"/>
      <c r="D169" s="6">
        <f>IFERROR(INDEX('Kontrol Adımları'!$D:$D,MATCH(1,INDEX(('Kontrol Adımları'!$A$1:$A$400=B169)*('Kontrol Adımları'!$B$1:$B$400=C169),0),0)),"")</f>
        <v/>
      </c>
      <c r="E169" s="5" t="inlineStr">
        <is>
          <t>wc_fircasi</t>
        </is>
      </c>
      <c r="F169" s="6">
        <f>IFERROR(INDEX('Kalem Kataloğu'!$C$1:$C$1000,MATCH(1,INDEX(('Kalem Kataloğu'!$A$1:$A$1000=A169)*('Kalem Kataloğu'!$B$1:$B$1000=E169),0),0)),"?")</f>
        <v/>
      </c>
      <c r="G169" s="6">
        <f>IFERROR(INDEX('Kalem Kataloğu'!$D$1:$D$1000,MATCH(1,INDEX(('Kalem Kataloğu'!$A$1:$A$1000=A169)*('Kalem Kataloğu'!$B$1:$B$1000=E169),0),0)),"?")</f>
        <v/>
      </c>
      <c r="H169" s="7" t="n"/>
      <c r="I169" s="7" t="inlineStr">
        <is>
          <t>Hayır</t>
        </is>
      </c>
      <c r="J169" s="5" t="inlineStr">
        <is>
          <t>Drive foto</t>
        </is>
      </c>
      <c r="K169" s="5" t="inlineStr">
        <is>
          <t xml:space="preserve"> [güven: medium]</t>
        </is>
      </c>
    </row>
    <row r="170" ht="26.4" customHeight="1">
      <c r="A170" s="5" t="inlineStr">
        <is>
          <t>Tare Suites Urla</t>
        </is>
      </c>
      <c r="B170" s="5" t="inlineStr">
        <is>
          <t>EXSB</t>
        </is>
      </c>
      <c r="C170" s="7" t="n"/>
      <c r="D170" s="6">
        <f>IFERROR(INDEX('Kontrol Adımları'!$D:$D,MATCH(1,INDEX(('Kontrol Adımları'!$A$1:$A$400=B170)*('Kontrol Adımları'!$B$1:$B$400=C170),0),0)),"")</f>
        <v/>
      </c>
      <c r="E170" s="5" t="inlineStr">
        <is>
          <t>yastik</t>
        </is>
      </c>
      <c r="F170" s="6">
        <f>IFERROR(INDEX('Kalem Kataloğu'!$C$1:$C$1000,MATCH(1,INDEX(('Kalem Kataloğu'!$A$1:$A$1000=A170)*('Kalem Kataloğu'!$B$1:$B$1000=E170),0),0)),"?")</f>
        <v/>
      </c>
      <c r="G170" s="6">
        <f>IFERROR(INDEX('Kalem Kataloğu'!$D$1:$D$1000,MATCH(1,INDEX(('Kalem Kataloğu'!$A$1:$A$1000=A170)*('Kalem Kataloğu'!$B$1:$B$1000=E170),0),0)),"?")</f>
        <v/>
      </c>
      <c r="H170" s="7" t="n">
        <v>4</v>
      </c>
      <c r="I170" s="7" t="inlineStr">
        <is>
          <t>Hayır</t>
        </is>
      </c>
      <c r="J170" s="5" t="inlineStr">
        <is>
          <t>Drive foto</t>
        </is>
      </c>
      <c r="K170" s="5" t="inlineStr">
        <is>
          <t>Yatak başına görünen; EDR/EXSB/DFS 2+2 dizilmiş, DSSW/DS 2. Standart olarak teyit edilmeli [güven: medium]</t>
        </is>
      </c>
    </row>
    <row r="171" ht="26.4" customHeight="1">
      <c r="A171" s="5" t="inlineStr">
        <is>
          <t>Tare Suites Urla</t>
        </is>
      </c>
      <c r="B171" s="5" t="inlineStr">
        <is>
          <t>EXSB</t>
        </is>
      </c>
      <c r="C171" s="7" t="n"/>
      <c r="D171" s="6">
        <f>IFERROR(INDEX('Kontrol Adımları'!$D:$D,MATCH(1,INDEX(('Kontrol Adımları'!$A$1:$A$400=B171)*('Kontrol Adımları'!$B$1:$B$400=C171),0),0)),"")</f>
        <v/>
      </c>
      <c r="E171" s="5" t="inlineStr">
        <is>
          <t>masa_sandalye_seti</t>
        </is>
      </c>
      <c r="F171" s="6">
        <f>IFERROR(INDEX('Kalem Kataloğu'!$C$1:$C$1000,MATCH(1,INDEX(('Kalem Kataloğu'!$A$1:$A$1000=A171)*('Kalem Kataloğu'!$B$1:$B$1000=E171),0),0)),"?")</f>
        <v/>
      </c>
      <c r="G171" s="6">
        <f>IFERROR(INDEX('Kalem Kataloğu'!$D$1:$D$1000,MATCH(1,INDEX(('Kalem Kataloğu'!$A$1:$A$1000=A171)*('Kalem Kataloğu'!$B$1:$B$1000=E171),0),0)),"?")</f>
        <v/>
      </c>
      <c r="H171" s="7" t="n">
        <v>1</v>
      </c>
      <c r="I171" s="7" t="inlineStr">
        <is>
          <t>Hayır</t>
        </is>
      </c>
      <c r="J171" s="5" t="inlineStr">
        <is>
          <t>Drive foto</t>
        </is>
      </c>
      <c r="K171" s="5" t="inlineStr">
        <is>
          <t>EDR fotoğraflarında oturma grubu yok (özellik dosyasıyla uyumlu) [güven: high]</t>
        </is>
      </c>
    </row>
    <row r="172" ht="26.4" customHeight="1">
      <c r="A172" s="5" t="inlineStr">
        <is>
          <t>Tare Suites Urla</t>
        </is>
      </c>
      <c r="B172" s="5" t="inlineStr">
        <is>
          <t>EXSB</t>
        </is>
      </c>
      <c r="C172" s="7" t="n"/>
      <c r="D172" s="6">
        <f>IFERROR(INDEX('Kontrol Adımları'!$D:$D,MATCH(1,INDEX(('Kontrol Adımları'!$A$1:$A$400=B172)*('Kontrol Adımları'!$B$1:$B$400=C172),0),0)),"")</f>
        <v/>
      </c>
      <c r="E172" s="5" t="inlineStr">
        <is>
          <t>cift_kisilik_yatak</t>
        </is>
      </c>
      <c r="F172" s="6">
        <f>IFERROR(INDEX('Kalem Kataloğu'!$C$1:$C$1000,MATCH(1,INDEX(('Kalem Kataloğu'!$A$1:$A$1000=A172)*('Kalem Kataloğu'!$B$1:$B$1000=E172),0),0)),"?")</f>
        <v/>
      </c>
      <c r="G172" s="6">
        <f>IFERROR(INDEX('Kalem Kataloğu'!$D$1:$D$1000,MATCH(1,INDEX(('Kalem Kataloğu'!$A$1:$A$1000=A172)*('Kalem Kataloğu'!$B$1:$B$1000=E172),0),0)),"?")</f>
        <v/>
      </c>
      <c r="H172" s="7" t="n">
        <v>1</v>
      </c>
      <c r="I172" s="7" t="inlineStr">
        <is>
          <t>Hayır</t>
        </is>
      </c>
      <c r="J172" s="5" t="inlineStr">
        <is>
          <t>Drive foto</t>
        </is>
      </c>
      <c r="K172" s="5" t="inlineStr">
        <is>
          <t>DFS dubleks: üst katta (asma kat) ek yatak alanı olabilir, fotoğrafta net değil [güven: high]</t>
        </is>
      </c>
    </row>
    <row r="173" ht="26.4" customHeight="1">
      <c r="A173" s="5" t="inlineStr">
        <is>
          <t>Tare Village Urla</t>
        </is>
      </c>
      <c r="B173" s="5" t="inlineStr">
        <is>
          <t>VBS</t>
        </is>
      </c>
      <c r="C173" s="7" t="n"/>
      <c r="D173" s="6">
        <f>IFERROR(INDEX('Kontrol Adımları'!$D:$D,MATCH(1,INDEX(('Kontrol Adımları'!$A$1:$A$400=B173)*('Kontrol Adımları'!$B$1:$B$400=C173),0),0)),"")</f>
        <v/>
      </c>
      <c r="E173" s="5" t="inlineStr">
        <is>
          <t>bank</t>
        </is>
      </c>
      <c r="F173" s="6">
        <f>IFERROR(INDEX('Kalem Kataloğu'!$C$1:$C$1000,MATCH(1,INDEX(('Kalem Kataloğu'!$A$1:$A$1000=A173)*('Kalem Kataloğu'!$B$1:$B$1000=E173),0),0)),"?")</f>
        <v/>
      </c>
      <c r="G173" s="6">
        <f>IFERROR(INDEX('Kalem Kataloğu'!$D$1:$D$1000,MATCH(1,INDEX(('Kalem Kataloğu'!$A$1:$A$1000=A173)*('Kalem Kataloğu'!$B$1:$B$1000=E173),0),0)),"?")</f>
        <v/>
      </c>
      <c r="H173" s="7" t="n"/>
      <c r="I173" s="7" t="inlineStr">
        <is>
          <t>Hayır</t>
        </is>
      </c>
      <c r="J173" s="5" t="inlineStr">
        <is>
          <t>Drive foto</t>
        </is>
      </c>
      <c r="K173" s="5" t="inlineStr">
        <is>
          <t xml:space="preserve"> [güven: high]</t>
        </is>
      </c>
    </row>
    <row r="174">
      <c r="A174" s="5" t="inlineStr">
        <is>
          <t>Tare Village Urla</t>
        </is>
      </c>
      <c r="B174" s="5" t="inlineStr">
        <is>
          <t>VBS</t>
        </is>
      </c>
      <c r="C174" s="7" t="n"/>
      <c r="D174" s="6">
        <f>IFERROR(INDEX('Kontrol Adımları'!$D:$D,MATCH(1,INDEX(('Kontrol Adımları'!$A$1:$A$400=B174)*('Kontrol Adımları'!$B$1:$B$400=C174),0),0)),"")</f>
        <v/>
      </c>
      <c r="E174" s="5" t="inlineStr">
        <is>
          <t>ankastre_firin</t>
        </is>
      </c>
      <c r="F174" s="6">
        <f>IFERROR(INDEX('Kalem Kataloğu'!$C$1:$C$1000,MATCH(1,INDEX(('Kalem Kataloğu'!$A$1:$A$1000=A174)*('Kalem Kataloğu'!$B$1:$B$1000=E174),0),0)),"?")</f>
        <v/>
      </c>
      <c r="G174" s="6">
        <f>IFERROR(INDEX('Kalem Kataloğu'!$D$1:$D$1000,MATCH(1,INDEX(('Kalem Kataloğu'!$A$1:$A$1000=A174)*('Kalem Kataloğu'!$B$1:$B$1000=E174),0),0)),"?")</f>
        <v/>
      </c>
      <c r="H174" s="7" t="n">
        <v>1</v>
      </c>
      <c r="I174" s="7" t="inlineStr">
        <is>
          <t>Hayır</t>
        </is>
      </c>
      <c r="J174" s="5" t="inlineStr">
        <is>
          <t>Drive foto</t>
        </is>
      </c>
      <c r="K174" s="5" t="inlineStr">
        <is>
          <t xml:space="preserve"> [güven: high]</t>
        </is>
      </c>
    </row>
    <row r="175">
      <c r="A175" s="5" t="inlineStr">
        <is>
          <t>Tare Village Urla</t>
        </is>
      </c>
      <c r="B175" s="5" t="inlineStr">
        <is>
          <t>VBS</t>
        </is>
      </c>
      <c r="C175" s="7" t="n"/>
      <c r="D175" s="6">
        <f>IFERROR(INDEX('Kontrol Adımları'!$D:$D,MATCH(1,INDEX(('Kontrol Adımları'!$A$1:$A$400=B175)*('Kontrol Adımları'!$B$1:$B$400=C175),0),0)),"")</f>
        <v/>
      </c>
      <c r="E175" s="5" t="inlineStr">
        <is>
          <t>bulasik_deterjani</t>
        </is>
      </c>
      <c r="F175" s="6">
        <f>IFERROR(INDEX('Kalem Kataloğu'!$C$1:$C$1000,MATCH(1,INDEX(('Kalem Kataloğu'!$A$1:$A$1000=A175)*('Kalem Kataloğu'!$B$1:$B$1000=E175),0),0)),"?")</f>
        <v/>
      </c>
      <c r="G175" s="6">
        <f>IFERROR(INDEX('Kalem Kataloğu'!$D$1:$D$1000,MATCH(1,INDEX(('Kalem Kataloğu'!$A$1:$A$1000=A175)*('Kalem Kataloğu'!$B$1:$B$1000=E175),0),0)),"?")</f>
        <v/>
      </c>
      <c r="H175" s="7" t="n">
        <v>1</v>
      </c>
      <c r="I175" s="7" t="inlineStr">
        <is>
          <t>Hayır</t>
        </is>
      </c>
      <c r="J175" s="5" t="inlineStr">
        <is>
          <t>Drive foto</t>
        </is>
      </c>
      <c r="K175" s="5" t="inlineStr">
        <is>
          <t xml:space="preserve"> [güven: low]</t>
        </is>
      </c>
    </row>
    <row r="176" ht="26.4" customHeight="1">
      <c r="A176" s="5" t="inlineStr">
        <is>
          <t>Tare Village Urla</t>
        </is>
      </c>
      <c r="B176" s="5" t="inlineStr">
        <is>
          <t>VBS</t>
        </is>
      </c>
      <c r="C176" s="7" t="n"/>
      <c r="D176" s="6">
        <f>IFERROR(INDEX('Kontrol Adımları'!$D:$D,MATCH(1,INDEX(('Kontrol Adımları'!$A$1:$A$400=B176)*('Kontrol Adımları'!$B$1:$B$400=C176),0),0)),"")</f>
        <v/>
      </c>
      <c r="E176" s="5" t="inlineStr">
        <is>
          <t>buzdolabi</t>
        </is>
      </c>
      <c r="F176" s="6">
        <f>IFERROR(INDEX('Kalem Kataloğu'!$C$1:$C$1000,MATCH(1,INDEX(('Kalem Kataloğu'!$A$1:$A$1000=A176)*('Kalem Kataloğu'!$B$1:$B$1000=E176),0),0)),"?")</f>
        <v/>
      </c>
      <c r="G176" s="6">
        <f>IFERROR(INDEX('Kalem Kataloğu'!$D$1:$D$1000,MATCH(1,INDEX(('Kalem Kataloğu'!$A$1:$A$1000=A176)*('Kalem Kataloğu'!$B$1:$B$1000=E176),0),0)),"?")</f>
        <v/>
      </c>
      <c r="H176" s="7" t="n"/>
      <c r="I176" s="7" t="inlineStr">
        <is>
          <t>Hayır</t>
        </is>
      </c>
      <c r="J176" s="5" t="inlineStr">
        <is>
          <t>Drive foto</t>
        </is>
      </c>
      <c r="K176" s="5" t="inlineStr">
        <is>
          <t>VGS tam boy beyaz; diğerlerinde kadrajda yok [güven: medium]</t>
        </is>
      </c>
    </row>
    <row r="177" ht="26.4" customHeight="1">
      <c r="A177" s="5" t="inlineStr">
        <is>
          <t>Tare Village Urla</t>
        </is>
      </c>
      <c r="B177" s="5" t="inlineStr">
        <is>
          <t>VBS</t>
        </is>
      </c>
      <c r="C177" s="7" t="n"/>
      <c r="D177" s="6">
        <f>IFERROR(INDEX('Kontrol Adımları'!$D:$D,MATCH(1,INDEX(('Kontrol Adımları'!$A$1:$A$400=B177)*('Kontrol Adımları'!$B$1:$B$400=C177),0),0)),"")</f>
        <v/>
      </c>
      <c r="E177" s="5" t="inlineStr">
        <is>
          <t>davlumbaz</t>
        </is>
      </c>
      <c r="F177" s="6">
        <f>IFERROR(INDEX('Kalem Kataloğu'!$C$1:$C$1000,MATCH(1,INDEX(('Kalem Kataloğu'!$A$1:$A$1000=A177)*('Kalem Kataloğu'!$B$1:$B$1000=E177),0),0)),"?")</f>
        <v/>
      </c>
      <c r="G177" s="6">
        <f>IFERROR(INDEX('Kalem Kataloğu'!$D$1:$D$1000,MATCH(1,INDEX(('Kalem Kataloğu'!$A$1:$A$1000=A177)*('Kalem Kataloğu'!$B$1:$B$1000=E177),0),0)),"?")</f>
        <v/>
      </c>
      <c r="H177" s="7" t="n">
        <v>1</v>
      </c>
      <c r="I177" s="7" t="inlineStr">
        <is>
          <t>Hayır</t>
        </is>
      </c>
      <c r="J177" s="5" t="inlineStr">
        <is>
          <t>Drive foto</t>
        </is>
      </c>
      <c r="K177" s="5" t="inlineStr">
        <is>
          <t xml:space="preserve"> [güven: medium]</t>
        </is>
      </c>
    </row>
    <row r="178">
      <c r="A178" s="5" t="inlineStr">
        <is>
          <t>Tare Village Urla</t>
        </is>
      </c>
      <c r="B178" s="5" t="inlineStr">
        <is>
          <t>VBS</t>
        </is>
      </c>
      <c r="C178" s="7" t="n"/>
      <c r="D178" s="6">
        <f>IFERROR(INDEX('Kontrol Adımları'!$D:$D,MATCH(1,INDEX(('Kontrol Adımları'!$A$1:$A$400=B178)*('Kontrol Adımları'!$B$1:$B$400=C178),0),0)),"")</f>
        <v/>
      </c>
      <c r="E178" s="5" t="inlineStr">
        <is>
          <t>duvar_saati</t>
        </is>
      </c>
      <c r="F178" s="6">
        <f>IFERROR(INDEX('Kalem Kataloğu'!$C$1:$C$1000,MATCH(1,INDEX(('Kalem Kataloğu'!$A$1:$A$1000=A178)*('Kalem Kataloğu'!$B$1:$B$1000=E178),0),0)),"?")</f>
        <v/>
      </c>
      <c r="G178" s="6">
        <f>IFERROR(INDEX('Kalem Kataloğu'!$D$1:$D$1000,MATCH(1,INDEX(('Kalem Kataloğu'!$A$1:$A$1000=A178)*('Kalem Kataloğu'!$B$1:$B$1000=E178),0),0)),"?")</f>
        <v/>
      </c>
      <c r="H178" s="7" t="n"/>
      <c r="I178" s="7" t="inlineStr">
        <is>
          <t>Hayır</t>
        </is>
      </c>
      <c r="J178" s="5" t="inlineStr">
        <is>
          <t>Drive foto</t>
        </is>
      </c>
      <c r="K178" s="5" t="inlineStr">
        <is>
          <t xml:space="preserve"> [güven: high]</t>
        </is>
      </c>
    </row>
    <row r="179">
      <c r="A179" s="5" t="inlineStr">
        <is>
          <t>Tare Village Urla</t>
        </is>
      </c>
      <c r="B179" s="5" t="inlineStr">
        <is>
          <t>VBS</t>
        </is>
      </c>
      <c r="C179" s="7" t="n"/>
      <c r="D179" s="6">
        <f>IFERROR(INDEX('Kontrol Adımları'!$D:$D,MATCH(1,INDEX(('Kontrol Adımları'!$A$1:$A$400=B179)*('Kontrol Adımları'!$B$1:$B$400=C179),0),0)),"")</f>
        <v/>
      </c>
      <c r="E179" s="5" t="inlineStr">
        <is>
          <t>dus_kabini</t>
        </is>
      </c>
      <c r="F179" s="6">
        <f>IFERROR(INDEX('Kalem Kataloğu'!$C$1:$C$1000,MATCH(1,INDEX(('Kalem Kataloğu'!$A$1:$A$1000=A179)*('Kalem Kataloğu'!$B$1:$B$1000=E179),0),0)),"?")</f>
        <v/>
      </c>
      <c r="G179" s="6">
        <f>IFERROR(INDEX('Kalem Kataloğu'!$D$1:$D$1000,MATCH(1,INDEX(('Kalem Kataloğu'!$A$1:$A$1000=A179)*('Kalem Kataloğu'!$B$1:$B$1000=E179),0),0)),"?")</f>
        <v/>
      </c>
      <c r="H179" s="7" t="n">
        <v>1</v>
      </c>
      <c r="I179" s="7" t="inlineStr">
        <is>
          <t>Hayır</t>
        </is>
      </c>
      <c r="J179" s="5" t="inlineStr">
        <is>
          <t>Drive foto</t>
        </is>
      </c>
      <c r="K179" s="5" t="inlineStr">
        <is>
          <t>VTS ve VSS kabini daha büyük, buzlu cam [güven: high]</t>
        </is>
      </c>
    </row>
    <row r="180">
      <c r="A180" s="5" t="inlineStr">
        <is>
          <t>Tare Village Urla</t>
        </is>
      </c>
      <c r="B180" s="5" t="inlineStr">
        <is>
          <t>VBS</t>
        </is>
      </c>
      <c r="C180" s="7" t="n"/>
      <c r="D180" s="6">
        <f>IFERROR(INDEX('Kontrol Adımları'!$D:$D,MATCH(1,INDEX(('Kontrol Adımları'!$A$1:$A$400=B180)*('Kontrol Adımları'!$B$1:$B$400=C180),0),0)),"")</f>
        <v/>
      </c>
      <c r="E180" s="5" t="inlineStr">
        <is>
          <t>gardirop</t>
        </is>
      </c>
      <c r="F180" s="6">
        <f>IFERROR(INDEX('Kalem Kataloğu'!$C$1:$C$1000,MATCH(1,INDEX(('Kalem Kataloğu'!$A$1:$A$1000=A180)*('Kalem Kataloğu'!$B$1:$B$1000=E180),0),0)),"?")</f>
        <v/>
      </c>
      <c r="G180" s="6">
        <f>IFERROR(INDEX('Kalem Kataloğu'!$D$1:$D$1000,MATCH(1,INDEX(('Kalem Kataloğu'!$A$1:$A$1000=A180)*('Kalem Kataloğu'!$B$1:$B$1000=E180),0),0)),"?")</f>
        <v/>
      </c>
      <c r="H180" s="7" t="n">
        <v>1</v>
      </c>
      <c r="I180" s="7" t="inlineStr">
        <is>
          <t>Hayır</t>
        </is>
      </c>
      <c r="J180" s="5" t="inlineStr">
        <is>
          <t>Drive foto</t>
        </is>
      </c>
      <c r="K180" s="5" t="inlineStr">
        <is>
          <t xml:space="preserve"> [güven: medium]</t>
        </is>
      </c>
    </row>
    <row r="181">
      <c r="A181" s="5" t="inlineStr">
        <is>
          <t>Tare Village Urla</t>
        </is>
      </c>
      <c r="B181" s="5" t="inlineStr">
        <is>
          <t>VBS</t>
        </is>
      </c>
      <c r="C181" s="7" t="n"/>
      <c r="D181" s="6">
        <f>IFERROR(INDEX('Kontrol Adımları'!$D:$D,MATCH(1,INDEX(('Kontrol Adımları'!$A$1:$A$400=B181)*('Kontrol Adımları'!$B$1:$B$400=C181),0),0)),"")</f>
        <v/>
      </c>
      <c r="E181" s="5" t="inlineStr">
        <is>
          <t>hasir_sepet</t>
        </is>
      </c>
      <c r="F181" s="6">
        <f>IFERROR(INDEX('Kalem Kataloğu'!$C$1:$C$1000,MATCH(1,INDEX(('Kalem Kataloğu'!$A$1:$A$1000=A181)*('Kalem Kataloğu'!$B$1:$B$1000=E181),0),0)),"?")</f>
        <v/>
      </c>
      <c r="G181" s="6">
        <f>IFERROR(INDEX('Kalem Kataloğu'!$D$1:$D$1000,MATCH(1,INDEX(('Kalem Kataloğu'!$A$1:$A$1000=A181)*('Kalem Kataloğu'!$B$1:$B$1000=E181),0),0)),"?")</f>
        <v/>
      </c>
      <c r="H181" s="7" t="n">
        <v>1</v>
      </c>
      <c r="I181" s="7" t="inlineStr">
        <is>
          <t>Hayır</t>
        </is>
      </c>
      <c r="J181" s="5" t="inlineStr">
        <is>
          <t>Drive foto</t>
        </is>
      </c>
      <c r="K181" s="5" t="inlineStr">
        <is>
          <t xml:space="preserve"> [güven: high]</t>
        </is>
      </c>
    </row>
    <row r="182" ht="39.6" customHeight="1">
      <c r="A182" s="5" t="inlineStr">
        <is>
          <t>Tare Village Urla</t>
        </is>
      </c>
      <c r="B182" s="5" t="inlineStr">
        <is>
          <t>VBS</t>
        </is>
      </c>
      <c r="C182" s="7" t="n"/>
      <c r="D182" s="6">
        <f>IFERROR(INDEX('Kontrol Adımları'!$D:$D,MATCH(1,INDEX(('Kontrol Adımları'!$A$1:$A$400=B182)*('Kontrol Adımları'!$B$1:$B$400=C182),0),0)),"")</f>
        <v/>
      </c>
      <c r="E182" s="5" t="inlineStr">
        <is>
          <t>jut_paspas</t>
        </is>
      </c>
      <c r="F182" s="6">
        <f>IFERROR(INDEX('Kalem Kataloğu'!$C$1:$C$1000,MATCH(1,INDEX(('Kalem Kataloğu'!$A$1:$A$1000=A182)*('Kalem Kataloğu'!$B$1:$B$1000=E182),0),0)),"?")</f>
        <v/>
      </c>
      <c r="G182" s="6">
        <f>IFERROR(INDEX('Kalem Kataloğu'!$D$1:$D$1000,MATCH(1,INDEX(('Kalem Kataloğu'!$A$1:$A$1000=A182)*('Kalem Kataloğu'!$B$1:$B$1000=E182),0),0)),"?")</f>
        <v/>
      </c>
      <c r="H182" s="7" t="n">
        <v>1</v>
      </c>
      <c r="I182" s="7" t="inlineStr">
        <is>
          <t>Hayır</t>
        </is>
      </c>
      <c r="J182" s="5" t="inlineStr">
        <is>
          <t>Drive foto</t>
        </is>
      </c>
      <c r="K182" s="5" t="inlineStr">
        <is>
          <t>Görülen adet; tam sayı odada teyit [güven: medium]</t>
        </is>
      </c>
    </row>
    <row r="183">
      <c r="A183" s="5" t="inlineStr">
        <is>
          <t>Tare Village Urla</t>
        </is>
      </c>
      <c r="B183" s="5" t="inlineStr">
        <is>
          <t>VBS</t>
        </is>
      </c>
      <c r="C183" s="7" t="n"/>
      <c r="D183" s="6">
        <f>IFERROR(INDEX('Kontrol Adımları'!$D:$D,MATCH(1,INDEX(('Kontrol Adımları'!$A$1:$A$400=B183)*('Kontrol Adımları'!$B$1:$B$400=C183),0),0)),"")</f>
        <v/>
      </c>
      <c r="E183" s="5" t="inlineStr">
        <is>
          <t>dis_masa</t>
        </is>
      </c>
      <c r="F183" s="6">
        <f>IFERROR(INDEX('Kalem Kataloğu'!$C$1:$C$1000,MATCH(1,INDEX(('Kalem Kataloğu'!$A$1:$A$1000=A183)*('Kalem Kataloğu'!$B$1:$B$1000=E183),0),0)),"?")</f>
        <v/>
      </c>
      <c r="G183" s="6">
        <f>IFERROR(INDEX('Kalem Kataloğu'!$D$1:$D$1000,MATCH(1,INDEX(('Kalem Kataloğu'!$A$1:$A$1000=A183)*('Kalem Kataloğu'!$B$1:$B$1000=E183),0),0)),"?")</f>
        <v/>
      </c>
      <c r="H183" s="7" t="n">
        <v>1</v>
      </c>
      <c r="I183" s="7" t="inlineStr">
        <is>
          <t>Hayır</t>
        </is>
      </c>
      <c r="J183" s="5" t="inlineStr">
        <is>
          <t>Drive foto</t>
        </is>
      </c>
      <c r="K183" s="5" t="inlineStr">
        <is>
          <t xml:space="preserve"> [güven: high]</t>
        </is>
      </c>
    </row>
    <row r="184">
      <c r="A184" s="5" t="inlineStr">
        <is>
          <t>Tare Village Urla</t>
        </is>
      </c>
      <c r="B184" s="5" t="inlineStr">
        <is>
          <t>VBS</t>
        </is>
      </c>
      <c r="C184" s="7" t="n"/>
      <c r="D184" s="6">
        <f>IFERROR(INDEX('Kontrol Adımları'!$D:$D,MATCH(1,INDEX(('Kontrol Adımları'!$A$1:$A$400=B184)*('Kontrol Adımları'!$B$1:$B$400=C184),0),0)),"")</f>
        <v/>
      </c>
      <c r="E184" s="5" t="inlineStr">
        <is>
          <t>dis_sandalye</t>
        </is>
      </c>
      <c r="F184" s="6">
        <f>IFERROR(INDEX('Kalem Kataloğu'!$C$1:$C$1000,MATCH(1,INDEX(('Kalem Kataloğu'!$A$1:$A$1000=A184)*('Kalem Kataloğu'!$B$1:$B$1000=E184),0),0)),"?")</f>
        <v/>
      </c>
      <c r="G184" s="6">
        <f>IFERROR(INDEX('Kalem Kataloğu'!$D$1:$D$1000,MATCH(1,INDEX(('Kalem Kataloğu'!$A$1:$A$1000=A184)*('Kalem Kataloğu'!$B$1:$B$1000=E184),0),0)),"?")</f>
        <v/>
      </c>
      <c r="H184" s="7" t="n">
        <v>4</v>
      </c>
      <c r="I184" s="7" t="inlineStr">
        <is>
          <t>Hayır</t>
        </is>
      </c>
      <c r="J184" s="5" t="inlineStr">
        <is>
          <t>Drive foto</t>
        </is>
      </c>
      <c r="K184" s="5" t="inlineStr">
        <is>
          <t>VBS 4 sandalye; VTS 2 sandalye + 2 katlanır koltuk [güven: medium]</t>
        </is>
      </c>
    </row>
    <row r="185" ht="26.4" customHeight="1">
      <c r="A185" s="5" t="inlineStr">
        <is>
          <t>Tare Village Urla</t>
        </is>
      </c>
      <c r="B185" s="5" t="inlineStr">
        <is>
          <t>VBS</t>
        </is>
      </c>
      <c r="C185" s="7" t="n"/>
      <c r="D185" s="6">
        <f>IFERROR(INDEX('Kontrol Adımları'!$D:$D,MATCH(1,INDEX(('Kontrol Adımları'!$A$1:$A$400=B185)*('Kontrol Adımları'!$B$1:$B$400=C185),0),0)),"")</f>
        <v/>
      </c>
      <c r="E185" s="5" t="inlineStr">
        <is>
          <t>dis_katlanir_koltuk</t>
        </is>
      </c>
      <c r="F185" s="6">
        <f>IFERROR(INDEX('Kalem Kataloğu'!$C$1:$C$1000,MATCH(1,INDEX(('Kalem Kataloğu'!$A$1:$A$1000=A185)*('Kalem Kataloğu'!$B$1:$B$1000=E185),0),0)),"?")</f>
        <v/>
      </c>
      <c r="G185" s="6">
        <f>IFERROR(INDEX('Kalem Kataloğu'!$D$1:$D$1000,MATCH(1,INDEX(('Kalem Kataloğu'!$A$1:$A$1000=A185)*('Kalem Kataloğu'!$B$1:$B$1000=E185),0),0)),"?")</f>
        <v/>
      </c>
      <c r="H185" s="7" t="n"/>
      <c r="I185" s="7" t="inlineStr">
        <is>
          <t>Hayır</t>
        </is>
      </c>
      <c r="J185" s="5" t="inlineStr">
        <is>
          <t>Drive foto</t>
        </is>
      </c>
      <c r="K185" s="5" t="inlineStr">
        <is>
          <t xml:space="preserve"> [güven: medium]</t>
        </is>
      </c>
    </row>
    <row r="186" ht="26.4" customHeight="1">
      <c r="A186" s="5" t="inlineStr">
        <is>
          <t>Tare Village Urla</t>
        </is>
      </c>
      <c r="B186" s="5" t="inlineStr">
        <is>
          <t>VBS</t>
        </is>
      </c>
      <c r="C186" s="7" t="n"/>
      <c r="D186" s="6">
        <f>IFERROR(INDEX('Kontrol Adımları'!$D:$D,MATCH(1,INDEX(('Kontrol Adımları'!$A$1:$A$400=B186)*('Kontrol Adımları'!$B$1:$B$400=C186),0),0)),"")</f>
        <v/>
      </c>
      <c r="E186" s="5" t="inlineStr">
        <is>
          <t>kagit_havlu</t>
        </is>
      </c>
      <c r="F186" s="6">
        <f>IFERROR(INDEX('Kalem Kataloğu'!$C$1:$C$1000,MATCH(1,INDEX(('Kalem Kataloğu'!$A$1:$A$1000=A186)*('Kalem Kataloğu'!$B$1:$B$1000=E186),0),0)),"?")</f>
        <v/>
      </c>
      <c r="G186" s="6">
        <f>IFERROR(INDEX('Kalem Kataloğu'!$D$1:$D$1000,MATCH(1,INDEX(('Kalem Kataloğu'!$A$1:$A$1000=A186)*('Kalem Kataloğu'!$B$1:$B$1000=E186),0),0)),"?")</f>
        <v/>
      </c>
      <c r="H186" s="7" t="n">
        <v>1</v>
      </c>
      <c r="I186" s="7" t="inlineStr">
        <is>
          <t>Hayır</t>
        </is>
      </c>
      <c r="J186" s="5" t="inlineStr">
        <is>
          <t>Drive foto</t>
        </is>
      </c>
      <c r="K186" s="5" t="inlineStr">
        <is>
          <t xml:space="preserve"> [güven: medium]</t>
        </is>
      </c>
    </row>
    <row r="187" ht="26.4" customHeight="1">
      <c r="A187" s="5" t="inlineStr">
        <is>
          <t>Tare Village Urla</t>
        </is>
      </c>
      <c r="B187" s="5" t="inlineStr">
        <is>
          <t>VBS</t>
        </is>
      </c>
      <c r="C187" s="7" t="n"/>
      <c r="D187" s="6">
        <f>IFERROR(INDEX('Kontrol Adımları'!$D:$D,MATCH(1,INDEX(('Kontrol Adımları'!$A$1:$A$400=B187)*('Kontrol Adımları'!$B$1:$B$400=C187),0),0)),"")</f>
        <v/>
      </c>
      <c r="E187" s="5" t="inlineStr">
        <is>
          <t>klima</t>
        </is>
      </c>
      <c r="F187" s="6">
        <f>IFERROR(INDEX('Kalem Kataloğu'!$C$1:$C$1000,MATCH(1,INDEX(('Kalem Kataloğu'!$A$1:$A$1000=A187)*('Kalem Kataloğu'!$B$1:$B$1000=E187),0),0)),"?")</f>
        <v/>
      </c>
      <c r="G187" s="6">
        <f>IFERROR(INDEX('Kalem Kataloğu'!$D$1:$D$1000,MATCH(1,INDEX(('Kalem Kataloğu'!$A$1:$A$1000=A187)*('Kalem Kataloğu'!$B$1:$B$1000=E187),0),0)),"?")</f>
        <v/>
      </c>
      <c r="H187" s="7" t="n">
        <v>1</v>
      </c>
      <c r="I187" s="7" t="inlineStr">
        <is>
          <t>Hayır</t>
        </is>
      </c>
      <c r="J187" s="5" t="inlineStr">
        <is>
          <t>Drive foto</t>
        </is>
      </c>
      <c r="K187" s="5" t="inlineStr">
        <is>
          <t>VGS fotoğrafta görünmüyor [güven: high]</t>
        </is>
      </c>
    </row>
    <row r="188">
      <c r="A188" s="5" t="inlineStr">
        <is>
          <t>Tare Village Urla</t>
        </is>
      </c>
      <c r="B188" s="5" t="inlineStr">
        <is>
          <t>VBS</t>
        </is>
      </c>
      <c r="C188" s="7" t="n"/>
      <c r="D188" s="6">
        <f>IFERROR(INDEX('Kontrol Adımları'!$D:$D,MATCH(1,INDEX(('Kontrol Adımları'!$A$1:$A$400=B188)*('Kontrol Adımları'!$B$1:$B$400=C188),0),0)),"")</f>
        <v/>
      </c>
      <c r="E188" s="5" t="inlineStr">
        <is>
          <t>klozet</t>
        </is>
      </c>
      <c r="F188" s="6">
        <f>IFERROR(INDEX('Kalem Kataloğu'!$C$1:$C$1000,MATCH(1,INDEX(('Kalem Kataloğu'!$A$1:$A$1000=A188)*('Kalem Kataloğu'!$B$1:$B$1000=E188),0),0)),"?")</f>
        <v/>
      </c>
      <c r="G188" s="6">
        <f>IFERROR(INDEX('Kalem Kataloğu'!$D$1:$D$1000,MATCH(1,INDEX(('Kalem Kataloğu'!$A$1:$A$1000=A188)*('Kalem Kataloğu'!$B$1:$B$1000=E188),0),0)),"?")</f>
        <v/>
      </c>
      <c r="H188" s="7" t="n">
        <v>1</v>
      </c>
      <c r="I188" s="7" t="inlineStr">
        <is>
          <t>Hayır</t>
        </is>
      </c>
      <c r="J188" s="5" t="inlineStr">
        <is>
          <t>Drive foto</t>
        </is>
      </c>
      <c r="K188" s="5" t="inlineStr">
        <is>
          <t xml:space="preserve"> [güven: high]</t>
        </is>
      </c>
    </row>
    <row r="189" ht="39.6" customHeight="1">
      <c r="A189" s="5" t="inlineStr">
        <is>
          <t>Tare Village Urla</t>
        </is>
      </c>
      <c r="B189" s="5" t="inlineStr">
        <is>
          <t>VBS</t>
        </is>
      </c>
      <c r="C189" s="7" t="n"/>
      <c r="D189" s="6">
        <f>IFERROR(INDEX('Kontrol Adımları'!$D:$D,MATCH(1,INDEX(('Kontrol Adımları'!$A$1:$A$400=B189)*('Kontrol Adımları'!$B$1:$B$400=C189),0),0)),"")</f>
        <v/>
      </c>
      <c r="E189" s="5" t="inlineStr">
        <is>
          <t>komodin</t>
        </is>
      </c>
      <c r="F189" s="6">
        <f>IFERROR(INDEX('Kalem Kataloğu'!$C$1:$C$1000,MATCH(1,INDEX(('Kalem Kataloğu'!$A$1:$A$1000=A189)*('Kalem Kataloğu'!$B$1:$B$1000=E189),0),0)),"?")</f>
        <v/>
      </c>
      <c r="G189" s="6">
        <f>IFERROR(INDEX('Kalem Kataloğu'!$D$1:$D$1000,MATCH(1,INDEX(('Kalem Kataloğu'!$A$1:$A$1000=A189)*('Kalem Kataloğu'!$B$1:$B$1000=E189),0),0)),"?")</f>
        <v/>
      </c>
      <c r="H189" s="7" t="n">
        <v>1</v>
      </c>
      <c r="I189" s="7" t="inlineStr">
        <is>
          <t>Hayır</t>
        </is>
      </c>
      <c r="J189" s="5" t="inlineStr">
        <is>
          <t>Drive foto</t>
        </is>
      </c>
      <c r="K189" s="5" t="inlineStr">
        <is>
          <t>VBS fotoğrafta tek taraf görünüyor [güven: medium]</t>
        </is>
      </c>
    </row>
    <row r="190">
      <c r="A190" s="5" t="inlineStr">
        <is>
          <t>Tare Village Urla</t>
        </is>
      </c>
      <c r="B190" s="5" t="inlineStr">
        <is>
          <t>VBS</t>
        </is>
      </c>
      <c r="C190" s="7" t="n"/>
      <c r="D190" s="6">
        <f>IFERROR(INDEX('Kontrol Adımları'!$D:$D,MATCH(1,INDEX(('Kontrol Adımları'!$A$1:$A$400=B190)*('Kontrol Adımları'!$B$1:$B$400=C190),0),0)),"")</f>
        <v/>
      </c>
      <c r="E190" s="5" t="inlineStr">
        <is>
          <t>kose_koltuk</t>
        </is>
      </c>
      <c r="F190" s="6">
        <f>IFERROR(INDEX('Kalem Kataloğu'!$C$1:$C$1000,MATCH(1,INDEX(('Kalem Kataloğu'!$A$1:$A$1000=A190)*('Kalem Kataloğu'!$B$1:$B$1000=E190),0),0)),"?")</f>
        <v/>
      </c>
      <c r="G190" s="6">
        <f>IFERROR(INDEX('Kalem Kataloğu'!$D$1:$D$1000,MATCH(1,INDEX(('Kalem Kataloğu'!$A$1:$A$1000=A190)*('Kalem Kataloğu'!$B$1:$B$1000=E190),0),0)),"?")</f>
        <v/>
      </c>
      <c r="H190" s="7" t="n">
        <v>1</v>
      </c>
      <c r="I190" s="7" t="inlineStr">
        <is>
          <t>Hayır</t>
        </is>
      </c>
      <c r="J190" s="5" t="inlineStr">
        <is>
          <t>Drive foto</t>
        </is>
      </c>
      <c r="K190" s="5" t="inlineStr">
        <is>
          <t>VSS ve VTS düz kanepe [güven: high]</t>
        </is>
      </c>
    </row>
    <row r="191">
      <c r="A191" s="5" t="inlineStr">
        <is>
          <t>Tare Village Urla</t>
        </is>
      </c>
      <c r="B191" s="5" t="inlineStr">
        <is>
          <t>VBS</t>
        </is>
      </c>
      <c r="C191" s="7" t="n"/>
      <c r="D191" s="6">
        <f>IFERROR(INDEX('Kontrol Adımları'!$D:$D,MATCH(1,INDEX(('Kontrol Adımları'!$A$1:$A$400=B191)*('Kontrol Adımları'!$B$1:$B$400=C191),0),0)),"")</f>
        <v/>
      </c>
      <c r="E191" s="5" t="inlineStr">
        <is>
          <t>kul_tablasi</t>
        </is>
      </c>
      <c r="F191" s="6">
        <f>IFERROR(INDEX('Kalem Kataloğu'!$C$1:$C$1000,MATCH(1,INDEX(('Kalem Kataloğu'!$A$1:$A$1000=A191)*('Kalem Kataloğu'!$B$1:$B$1000=E191),0),0)),"?")</f>
        <v/>
      </c>
      <c r="G191" s="6">
        <f>IFERROR(INDEX('Kalem Kataloğu'!$D$1:$D$1000,MATCH(1,INDEX(('Kalem Kataloğu'!$A$1:$A$1000=A191)*('Kalem Kataloğu'!$B$1:$B$1000=E191),0),0)),"?")</f>
        <v/>
      </c>
      <c r="H191" s="7" t="n">
        <v>1</v>
      </c>
      <c r="I191" s="7" t="inlineStr">
        <is>
          <t>Hayır</t>
        </is>
      </c>
      <c r="J191" s="5" t="inlineStr">
        <is>
          <t>Drive foto</t>
        </is>
      </c>
      <c r="K191" s="5" t="inlineStr">
        <is>
          <t xml:space="preserve"> [güven: medium]</t>
        </is>
      </c>
    </row>
    <row r="192" ht="26.4" customHeight="1">
      <c r="A192" s="5" t="inlineStr">
        <is>
          <t>Tare Village Urla</t>
        </is>
      </c>
      <c r="B192" s="5" t="inlineStr">
        <is>
          <t>VBS</t>
        </is>
      </c>
      <c r="C192" s="7" t="n"/>
      <c r="D192" s="6">
        <f>IFERROR(INDEX('Kontrol Adımları'!$D:$D,MATCH(1,INDEX(('Kontrol Adımları'!$A$1:$A$400=B192)*('Kontrol Adımları'!$B$1:$B$400=C192),0),0)),"")</f>
        <v/>
      </c>
      <c r="E192" s="5" t="inlineStr">
        <is>
          <t>mutfak_cop_kovasi</t>
        </is>
      </c>
      <c r="F192" s="6">
        <f>IFERROR(INDEX('Kalem Kataloğu'!$C$1:$C$1000,MATCH(1,INDEX(('Kalem Kataloğu'!$A$1:$A$1000=A192)*('Kalem Kataloğu'!$B$1:$B$1000=E192),0),0)),"?")</f>
        <v/>
      </c>
      <c r="G192" s="6">
        <f>IFERROR(INDEX('Kalem Kataloğu'!$D$1:$D$1000,MATCH(1,INDEX(('Kalem Kataloğu'!$A$1:$A$1000=A192)*('Kalem Kataloğu'!$B$1:$B$1000=E192),0),0)),"?")</f>
        <v/>
      </c>
      <c r="H192" s="7" t="n">
        <v>1</v>
      </c>
      <c r="I192" s="7" t="inlineStr">
        <is>
          <t>Hayır</t>
        </is>
      </c>
      <c r="J192" s="5" t="inlineStr">
        <is>
          <t>Drive foto</t>
        </is>
      </c>
      <c r="K192" s="5" t="inlineStr">
        <is>
          <t xml:space="preserve"> [güven: high]</t>
        </is>
      </c>
    </row>
    <row r="193">
      <c r="A193" s="5" t="inlineStr">
        <is>
          <t>Tare Village Urla</t>
        </is>
      </c>
      <c r="B193" s="5" t="inlineStr">
        <is>
          <t>VBS</t>
        </is>
      </c>
      <c r="C193" s="7" t="n"/>
      <c r="D193" s="6">
        <f>IFERROR(INDEX('Kontrol Adımları'!$D:$D,MATCH(1,INDEX(('Kontrol Adımları'!$A$1:$A$400=B193)*('Kontrol Adımları'!$B$1:$B$400=C193),0),0)),"")</f>
        <v/>
      </c>
      <c r="E193" s="5" t="inlineStr">
        <is>
          <t>ocak</t>
        </is>
      </c>
      <c r="F193" s="6">
        <f>IFERROR(INDEX('Kalem Kataloğu'!$C$1:$C$1000,MATCH(1,INDEX(('Kalem Kataloğu'!$A$1:$A$1000=A193)*('Kalem Kataloğu'!$B$1:$B$1000=E193),0),0)),"?")</f>
        <v/>
      </c>
      <c r="G193" s="6">
        <f>IFERROR(INDEX('Kalem Kataloğu'!$D$1:$D$1000,MATCH(1,INDEX(('Kalem Kataloğu'!$A$1:$A$1000=A193)*('Kalem Kataloğu'!$B$1:$B$1000=E193),0),0)),"?")</f>
        <v/>
      </c>
      <c r="H193" s="7" t="n">
        <v>1</v>
      </c>
      <c r="I193" s="7" t="inlineStr">
        <is>
          <t>Hayır</t>
        </is>
      </c>
      <c r="J193" s="5" t="inlineStr">
        <is>
          <t>Drive foto</t>
        </is>
      </c>
      <c r="K193" s="5" t="inlineStr">
        <is>
          <t>VBS ankastre 2 göz; VSS portatif 2 göz cam ocak [güven: medium]</t>
        </is>
      </c>
    </row>
    <row r="194">
      <c r="A194" s="5" t="inlineStr">
        <is>
          <t>Tare Village Urla</t>
        </is>
      </c>
      <c r="B194" s="5" t="inlineStr">
        <is>
          <t>VBS</t>
        </is>
      </c>
      <c r="C194" s="7" t="n"/>
      <c r="D194" s="6">
        <f>IFERROR(INDEX('Kontrol Adımları'!$D:$D,MATCH(1,INDEX(('Kontrol Adımları'!$A$1:$A$400=B194)*('Kontrol Adımları'!$B$1:$B$400=C194),0),0)),"")</f>
        <v/>
      </c>
      <c r="E194" s="5" t="inlineStr">
        <is>
          <t>orta_sehpa</t>
        </is>
      </c>
      <c r="F194" s="6">
        <f>IFERROR(INDEX('Kalem Kataloğu'!$C$1:$C$1000,MATCH(1,INDEX(('Kalem Kataloğu'!$A$1:$A$1000=A194)*('Kalem Kataloğu'!$B$1:$B$1000=E194),0),0)),"?")</f>
        <v/>
      </c>
      <c r="G194" s="6">
        <f>IFERROR(INDEX('Kalem Kataloğu'!$D$1:$D$1000,MATCH(1,INDEX(('Kalem Kataloğu'!$A$1:$A$1000=A194)*('Kalem Kataloğu'!$B$1:$B$1000=E194),0),0)),"?")</f>
        <v/>
      </c>
      <c r="H194" s="7" t="n">
        <v>1</v>
      </c>
      <c r="I194" s="7" t="inlineStr">
        <is>
          <t>Hayır</t>
        </is>
      </c>
      <c r="J194" s="5" t="inlineStr">
        <is>
          <t>Drive foto</t>
        </is>
      </c>
      <c r="K194" s="5" t="inlineStr">
        <is>
          <t xml:space="preserve"> [güven: high]</t>
        </is>
      </c>
    </row>
    <row r="195">
      <c r="A195" s="5" t="inlineStr">
        <is>
          <t>Tare Village Urla</t>
        </is>
      </c>
      <c r="B195" s="5" t="inlineStr">
        <is>
          <t>VBS</t>
        </is>
      </c>
      <c r="C195" s="7" t="n"/>
      <c r="D195" s="6">
        <f>IFERROR(INDEX('Kontrol Adımları'!$D:$D,MATCH(1,INDEX(('Kontrol Adımları'!$A$1:$A$400=B195)*('Kontrol Adımları'!$B$1:$B$400=C195),0),0)),"")</f>
        <v/>
      </c>
      <c r="E195" s="5" t="inlineStr">
        <is>
          <t>banyo_cop_kovasi</t>
        </is>
      </c>
      <c r="F195" s="6">
        <f>IFERROR(INDEX('Kalem Kataloğu'!$C$1:$C$1000,MATCH(1,INDEX(('Kalem Kataloğu'!$A$1:$A$1000=A195)*('Kalem Kataloğu'!$B$1:$B$1000=E195),0),0)),"?")</f>
        <v/>
      </c>
      <c r="G195" s="6">
        <f>IFERROR(INDEX('Kalem Kataloğu'!$D$1:$D$1000,MATCH(1,INDEX(('Kalem Kataloğu'!$A$1:$A$1000=A195)*('Kalem Kataloğu'!$B$1:$B$1000=E195),0),0)),"?")</f>
        <v/>
      </c>
      <c r="H195" s="7" t="n">
        <v>1</v>
      </c>
      <c r="I195" s="7" t="inlineStr">
        <is>
          <t>Hayır</t>
        </is>
      </c>
      <c r="J195" s="5" t="inlineStr">
        <is>
          <t>Drive foto</t>
        </is>
      </c>
      <c r="K195" s="5" t="inlineStr">
        <is>
          <t>VGS inox, VBS/VTS siyah [güven: high]</t>
        </is>
      </c>
    </row>
    <row r="196">
      <c r="A196" s="5" t="inlineStr">
        <is>
          <t>Tare Village Urla</t>
        </is>
      </c>
      <c r="B196" s="5" t="inlineStr">
        <is>
          <t>VBS</t>
        </is>
      </c>
      <c r="C196" s="7" t="n"/>
      <c r="D196" s="6">
        <f>IFERROR(INDEX('Kontrol Adımları'!$D:$D,MATCH(1,INDEX(('Kontrol Adımları'!$A$1:$A$400=B196)*('Kontrol Adımları'!$B$1:$B$400=C196),0),0)),"")</f>
        <v/>
      </c>
      <c r="E196" s="5" t="inlineStr">
        <is>
          <t>yatak_ortusu</t>
        </is>
      </c>
      <c r="F196" s="6">
        <f>IFERROR(INDEX('Kalem Kataloğu'!$C$1:$C$1000,MATCH(1,INDEX(('Kalem Kataloğu'!$A$1:$A$1000=A196)*('Kalem Kataloğu'!$B$1:$B$1000=E196),0),0)),"?")</f>
        <v/>
      </c>
      <c r="G196" s="6">
        <f>IFERROR(INDEX('Kalem Kataloğu'!$D$1:$D$1000,MATCH(1,INDEX(('Kalem Kataloğu'!$A$1:$A$1000=A196)*('Kalem Kataloğu'!$B$1:$B$1000=E196),0),0)),"?")</f>
        <v/>
      </c>
      <c r="H196" s="7" t="n">
        <v>1</v>
      </c>
      <c r="I196" s="7" t="inlineStr">
        <is>
          <t>Hayır</t>
        </is>
      </c>
      <c r="J196" s="5" t="inlineStr">
        <is>
          <t>Drive foto</t>
        </is>
      </c>
      <c r="K196" s="5" t="inlineStr">
        <is>
          <t xml:space="preserve"> [güven: high]</t>
        </is>
      </c>
    </row>
    <row r="197" ht="39.6" customHeight="1">
      <c r="A197" s="5" t="inlineStr">
        <is>
          <t>Tare Village Urla</t>
        </is>
      </c>
      <c r="B197" s="5" t="inlineStr">
        <is>
          <t>VBS</t>
        </is>
      </c>
      <c r="C197" s="7" t="n"/>
      <c r="D197" s="6">
        <f>IFERROR(INDEX('Kontrol Adımları'!$D:$D,MATCH(1,INDEX(('Kontrol Adımları'!$A$1:$A$400=B197)*('Kontrol Adımları'!$B$1:$B$400=C197),0),0)),"")</f>
        <v/>
      </c>
      <c r="E197" s="5" t="inlineStr">
        <is>
          <t>tavan_sarkit_lamba</t>
        </is>
      </c>
      <c r="F197" s="6">
        <f>IFERROR(INDEX('Kalem Kataloğu'!$C$1:$C$1000,MATCH(1,INDEX(('Kalem Kataloğu'!$A$1:$A$1000=A197)*('Kalem Kataloğu'!$B$1:$B$1000=E197),0),0)),"?")</f>
        <v/>
      </c>
      <c r="G197" s="6">
        <f>IFERROR(INDEX('Kalem Kataloğu'!$D$1:$D$1000,MATCH(1,INDEX(('Kalem Kataloğu'!$A$1:$A$1000=A197)*('Kalem Kataloğu'!$B$1:$B$1000=E197),0),0)),"?")</f>
        <v/>
      </c>
      <c r="H197" s="7" t="n">
        <v>3</v>
      </c>
      <c r="I197" s="7" t="inlineStr">
        <is>
          <t>Hayır</t>
        </is>
      </c>
      <c r="J197" s="5" t="inlineStr">
        <is>
          <t>Drive foto</t>
        </is>
      </c>
      <c r="K197" s="5" t="inlineStr">
        <is>
          <t xml:space="preserve"> [güven: medium]</t>
        </is>
      </c>
    </row>
    <row r="198" ht="26.4" customHeight="1">
      <c r="A198" s="5" t="inlineStr">
        <is>
          <t>Tare Village Urla</t>
        </is>
      </c>
      <c r="B198" s="5" t="inlineStr">
        <is>
          <t>VBS</t>
        </is>
      </c>
      <c r="C198" s="7" t="n"/>
      <c r="D198" s="6">
        <f>IFERROR(INDEX('Kontrol Adımları'!$D:$D,MATCH(1,INDEX(('Kontrol Adımları'!$A$1:$A$400=B198)*('Kontrol Adımları'!$B$1:$B$400=C198),0),0)),"")</f>
        <v/>
      </c>
      <c r="E198" s="5" t="inlineStr">
        <is>
          <t>sac_kurutma_makinesi</t>
        </is>
      </c>
      <c r="F198" s="6">
        <f>IFERROR(INDEX('Kalem Kataloğu'!$C$1:$C$1000,MATCH(1,INDEX(('Kalem Kataloğu'!$A$1:$A$1000=A198)*('Kalem Kataloğu'!$B$1:$B$1000=E198),0),0)),"?")</f>
        <v/>
      </c>
      <c r="G198" s="6">
        <f>IFERROR(INDEX('Kalem Kataloğu'!$D$1:$D$1000,MATCH(1,INDEX(('Kalem Kataloğu'!$A$1:$A$1000=A198)*('Kalem Kataloğu'!$B$1:$B$1000=E198),0),0)),"?")</f>
        <v/>
      </c>
      <c r="H198" s="7" t="n">
        <v>1</v>
      </c>
      <c r="I198" s="7" t="inlineStr">
        <is>
          <t>Hayır</t>
        </is>
      </c>
      <c r="J198" s="5" t="inlineStr">
        <is>
          <t>Drive foto</t>
        </is>
      </c>
      <c r="K198" s="5" t="inlineStr">
        <is>
          <t xml:space="preserve"> [güven: high]</t>
        </is>
      </c>
    </row>
    <row r="199" ht="26.4" customHeight="1">
      <c r="A199" s="5" t="inlineStr">
        <is>
          <t>Tare Village Urla</t>
        </is>
      </c>
      <c r="B199" s="5" t="inlineStr">
        <is>
          <t>VBS</t>
        </is>
      </c>
      <c r="C199" s="7" t="n"/>
      <c r="D199" s="6">
        <f>IFERROR(INDEX('Kontrol Adımları'!$D:$D,MATCH(1,INDEX(('Kontrol Adımları'!$A$1:$A$400=B199)*('Kontrol Adımları'!$B$1:$B$400=C199),0),0)),"")</f>
        <v/>
      </c>
      <c r="E199" s="5" t="inlineStr">
        <is>
          <t>tv</t>
        </is>
      </c>
      <c r="F199" s="6">
        <f>IFERROR(INDEX('Kalem Kataloğu'!$C$1:$C$1000,MATCH(1,INDEX(('Kalem Kataloğu'!$A$1:$A$1000=A199)*('Kalem Kataloğu'!$B$1:$B$1000=E199),0),0)),"?")</f>
        <v/>
      </c>
      <c r="G199" s="6">
        <f>IFERROR(INDEX('Kalem Kataloğu'!$D$1:$D$1000,MATCH(1,INDEX(('Kalem Kataloğu'!$A$1:$A$1000=A199)*('Kalem Kataloğu'!$B$1:$B$1000=E199),0),0)),"?")</f>
        <v/>
      </c>
      <c r="H199" s="7" t="n">
        <v>1</v>
      </c>
      <c r="I199" s="7" t="inlineStr">
        <is>
          <t>Hayır</t>
        </is>
      </c>
      <c r="J199" s="5" t="inlineStr">
        <is>
          <t>Drive foto</t>
        </is>
      </c>
      <c r="K199" s="5" t="inlineStr">
        <is>
          <t>VBS/VSS duvar tipi, VTS ayaklı [güven: high]</t>
        </is>
      </c>
    </row>
    <row r="200">
      <c r="A200" s="5" t="inlineStr">
        <is>
          <t>Tare Village Urla</t>
        </is>
      </c>
      <c r="B200" s="5" t="inlineStr">
        <is>
          <t>VBS</t>
        </is>
      </c>
      <c r="C200" s="7" t="n"/>
      <c r="D200" s="6">
        <f>IFERROR(INDEX('Kontrol Adımları'!$D:$D,MATCH(1,INDEX(('Kontrol Adımları'!$A$1:$A$400=B200)*('Kontrol Adımları'!$B$1:$B$400=C200),0),0)),"")</f>
        <v/>
      </c>
      <c r="E200" s="5" t="inlineStr">
        <is>
          <t>tv_kumandasi</t>
        </is>
      </c>
      <c r="F200" s="6">
        <f>IFERROR(INDEX('Kalem Kataloğu'!$C$1:$C$1000,MATCH(1,INDEX(('Kalem Kataloğu'!$A$1:$A$1000=A200)*('Kalem Kataloğu'!$B$1:$B$1000=E200),0),0)),"?")</f>
        <v/>
      </c>
      <c r="G200" s="6">
        <f>IFERROR(INDEX('Kalem Kataloğu'!$D$1:$D$1000,MATCH(1,INDEX(('Kalem Kataloğu'!$A$1:$A$1000=A200)*('Kalem Kataloğu'!$B$1:$B$1000=E200),0),0)),"?")</f>
        <v/>
      </c>
      <c r="H200" s="7" t="n">
        <v>1</v>
      </c>
      <c r="I200" s="7" t="inlineStr">
        <is>
          <t>Hayır</t>
        </is>
      </c>
      <c r="J200" s="5" t="inlineStr">
        <is>
          <t>Drive foto</t>
        </is>
      </c>
      <c r="K200" s="5" t="inlineStr">
        <is>
          <t xml:space="preserve"> [güven: medium]</t>
        </is>
      </c>
    </row>
    <row r="201">
      <c r="A201" s="5" t="inlineStr">
        <is>
          <t>Tare Village Urla</t>
        </is>
      </c>
      <c r="B201" s="5" t="inlineStr">
        <is>
          <t>VBS</t>
        </is>
      </c>
      <c r="C201" s="7" t="n"/>
      <c r="D201" s="6">
        <f>IFERROR(INDEX('Kontrol Adımları'!$D:$D,MATCH(1,INDEX(('Kontrol Adımları'!$A$1:$A$400=B201)*('Kontrol Adımları'!$B$1:$B$400=C201),0),0)),"")</f>
        <v/>
      </c>
      <c r="E201" s="5" t="inlineStr">
        <is>
          <t>tablo</t>
        </is>
      </c>
      <c r="F201" s="6">
        <f>IFERROR(INDEX('Kalem Kataloğu'!$C$1:$C$1000,MATCH(1,INDEX(('Kalem Kataloğu'!$A$1:$A$1000=A201)*('Kalem Kataloğu'!$B$1:$B$1000=E201),0),0)),"?")</f>
        <v/>
      </c>
      <c r="G201" s="6">
        <f>IFERROR(INDEX('Kalem Kataloğu'!$D$1:$D$1000,MATCH(1,INDEX(('Kalem Kataloğu'!$A$1:$A$1000=A201)*('Kalem Kataloğu'!$B$1:$B$1000=E201),0),0)),"?")</f>
        <v/>
      </c>
      <c r="H201" s="7" t="n">
        <v>2</v>
      </c>
      <c r="I201" s="7" t="inlineStr">
        <is>
          <t>Hayır</t>
        </is>
      </c>
      <c r="J201" s="5" t="inlineStr">
        <is>
          <t>Drive foto</t>
        </is>
      </c>
      <c r="K201" s="5" t="inlineStr">
        <is>
          <t xml:space="preserve"> [güven: medium]</t>
        </is>
      </c>
    </row>
    <row r="202" ht="26.4" customHeight="1">
      <c r="A202" s="5" t="inlineStr">
        <is>
          <t>Tare Village Urla</t>
        </is>
      </c>
      <c r="B202" s="5" t="inlineStr">
        <is>
          <t>VBS</t>
        </is>
      </c>
      <c r="C202" s="7" t="n"/>
      <c r="D202" s="6">
        <f>IFERROR(INDEX('Kontrol Adımları'!$D:$D,MATCH(1,INDEX(('Kontrol Adımları'!$A$1:$A$400=B202)*('Kontrol Adımları'!$B$1:$B$400=C202),0),0)),"")</f>
        <v/>
      </c>
      <c r="E202" s="5" t="inlineStr">
        <is>
          <t>lavabo_tas_canak</t>
        </is>
      </c>
      <c r="F202" s="6">
        <f>IFERROR(INDEX('Kalem Kataloğu'!$C$1:$C$1000,MATCH(1,INDEX(('Kalem Kataloğu'!$A$1:$A$1000=A202)*('Kalem Kataloğu'!$B$1:$B$1000=E202),0),0)),"?")</f>
        <v/>
      </c>
      <c r="G202" s="6">
        <f>IFERROR(INDEX('Kalem Kataloğu'!$D$1:$D$1000,MATCH(1,INDEX(('Kalem Kataloğu'!$A$1:$A$1000=A202)*('Kalem Kataloğu'!$B$1:$B$1000=E202),0),0)),"?")</f>
        <v/>
      </c>
      <c r="H202" s="7" t="n">
        <v>1</v>
      </c>
      <c r="I202" s="7" t="inlineStr">
        <is>
          <t>Hayır</t>
        </is>
      </c>
      <c r="J202" s="5" t="inlineStr">
        <is>
          <t>Drive foto</t>
        </is>
      </c>
      <c r="K202" s="5" t="inlineStr">
        <is>
          <t>Tüm odalarda aynı model [güven: high]</t>
        </is>
      </c>
    </row>
    <row r="203" ht="26.4" customHeight="1">
      <c r="A203" s="5" t="inlineStr">
        <is>
          <t>Tare Village Urla</t>
        </is>
      </c>
      <c r="B203" s="5" t="inlineStr">
        <is>
          <t>VBS</t>
        </is>
      </c>
      <c r="C203" s="7" t="n"/>
      <c r="D203" s="6">
        <f>IFERROR(INDEX('Kontrol Adımları'!$D:$D,MATCH(1,INDEX(('Kontrol Adımları'!$A$1:$A$400=B203)*('Kontrol Adımları'!$B$1:$B$400=C203),0),0)),"")</f>
        <v/>
      </c>
      <c r="E203" s="5" t="inlineStr">
        <is>
          <t>tel_sandalye</t>
        </is>
      </c>
      <c r="F203" s="6">
        <f>IFERROR(INDEX('Kalem Kataloğu'!$C$1:$C$1000,MATCH(1,INDEX(('Kalem Kataloğu'!$A$1:$A$1000=A203)*('Kalem Kataloğu'!$B$1:$B$1000=E203),0),0)),"?")</f>
        <v/>
      </c>
      <c r="G203" s="6">
        <f>IFERROR(INDEX('Kalem Kataloğu'!$D$1:$D$1000,MATCH(1,INDEX(('Kalem Kataloğu'!$A$1:$A$1000=A203)*('Kalem Kataloğu'!$B$1:$B$1000=E203),0),0)),"?")</f>
        <v/>
      </c>
      <c r="H203" s="7" t="n"/>
      <c r="I203" s="7" t="inlineStr">
        <is>
          <t>Hayır</t>
        </is>
      </c>
      <c r="J203" s="5" t="inlineStr">
        <is>
          <t>Drive foto</t>
        </is>
      </c>
      <c r="K203" s="5" t="inlineStr">
        <is>
          <t xml:space="preserve"> [güven: high]</t>
        </is>
      </c>
    </row>
    <row r="204">
      <c r="A204" s="5" t="inlineStr">
        <is>
          <t>Tare Village Urla</t>
        </is>
      </c>
      <c r="B204" s="5" t="inlineStr">
        <is>
          <t>VBS</t>
        </is>
      </c>
      <c r="C204" s="7" t="n"/>
      <c r="D204" s="6">
        <f>IFERROR(INDEX('Kontrol Adımları'!$D:$D,MATCH(1,INDEX(('Kontrol Adımları'!$A$1:$A$400=B204)*('Kontrol Adımları'!$B$1:$B$400=C204),0),0)),"")</f>
        <v/>
      </c>
      <c r="E204" s="5" t="inlineStr">
        <is>
          <t>tuvalet_kagidi_aparati</t>
        </is>
      </c>
      <c r="F204" s="6">
        <f>IFERROR(INDEX('Kalem Kataloğu'!$C$1:$C$1000,MATCH(1,INDEX(('Kalem Kataloğu'!$A$1:$A$1000=A204)*('Kalem Kataloğu'!$B$1:$B$1000=E204),0),0)),"?")</f>
        <v/>
      </c>
      <c r="G204" s="6">
        <f>IFERROR(INDEX('Kalem Kataloğu'!$D$1:$D$1000,MATCH(1,INDEX(('Kalem Kataloğu'!$A$1:$A$1000=A204)*('Kalem Kataloğu'!$B$1:$B$1000=E204),0),0)),"?")</f>
        <v/>
      </c>
      <c r="H204" s="7" t="n">
        <v>1</v>
      </c>
      <c r="I204" s="7" t="inlineStr">
        <is>
          <t>Hayır</t>
        </is>
      </c>
      <c r="J204" s="5" t="inlineStr">
        <is>
          <t>Drive foto</t>
        </is>
      </c>
      <c r="K204" s="5" t="inlineStr">
        <is>
          <t>VSS fotoğrafta görünmüyor [güven: high]</t>
        </is>
      </c>
    </row>
    <row r="205">
      <c r="A205" s="5" t="inlineStr">
        <is>
          <t>Tare Village Urla</t>
        </is>
      </c>
      <c r="B205" s="5" t="inlineStr">
        <is>
          <t>VBS</t>
        </is>
      </c>
      <c r="C205" s="7" t="n"/>
      <c r="D205" s="6">
        <f>IFERROR(INDEX('Kontrol Adımları'!$D:$D,MATCH(1,INDEX(('Kontrol Adımları'!$A$1:$A$400=B205)*('Kontrol Adımları'!$B$1:$B$400=C205),0),0)),"")</f>
        <v/>
      </c>
      <c r="E205" s="5" t="inlineStr">
        <is>
          <t>wc_fircasi</t>
        </is>
      </c>
      <c r="F205" s="6">
        <f>IFERROR(INDEX('Kalem Kataloğu'!$C$1:$C$1000,MATCH(1,INDEX(('Kalem Kataloğu'!$A$1:$A$1000=A205)*('Kalem Kataloğu'!$B$1:$B$1000=E205),0),0)),"?")</f>
        <v/>
      </c>
      <c r="G205" s="6">
        <f>IFERROR(INDEX('Kalem Kataloğu'!$D$1:$D$1000,MATCH(1,INDEX(('Kalem Kataloğu'!$A$1:$A$1000=A205)*('Kalem Kataloğu'!$B$1:$B$1000=E205),0),0)),"?")</f>
        <v/>
      </c>
      <c r="H205" s="7" t="n">
        <v>1</v>
      </c>
      <c r="I205" s="7" t="inlineStr">
        <is>
          <t>Hayır</t>
        </is>
      </c>
      <c r="J205" s="5" t="inlineStr">
        <is>
          <t>Drive foto</t>
        </is>
      </c>
      <c r="K205" s="5" t="inlineStr">
        <is>
          <t xml:space="preserve"> [güven: medium]</t>
        </is>
      </c>
    </row>
    <row r="206">
      <c r="A206" s="5" t="inlineStr">
        <is>
          <t>Tare Village Urla</t>
        </is>
      </c>
      <c r="B206" s="5" t="inlineStr">
        <is>
          <t>VBS</t>
        </is>
      </c>
      <c r="C206" s="7" t="n"/>
      <c r="D206" s="6">
        <f>IFERROR(INDEX('Kontrol Adımları'!$D:$D,MATCH(1,INDEX(('Kontrol Adımları'!$A$1:$A$400=B206)*('Kontrol Adımları'!$B$1:$B$400=C206),0),0)),"")</f>
        <v/>
      </c>
      <c r="E206" s="5" t="inlineStr">
        <is>
          <t>yangin_sondurucu</t>
        </is>
      </c>
      <c r="F206" s="6">
        <f>IFERROR(INDEX('Kalem Kataloğu'!$C$1:$C$1000,MATCH(1,INDEX(('Kalem Kataloğu'!$A$1:$A$1000=A206)*('Kalem Kataloğu'!$B$1:$B$1000=E206),0),0)),"?")</f>
        <v/>
      </c>
      <c r="G206" s="6">
        <f>IFERROR(INDEX('Kalem Kataloğu'!$D$1:$D$1000,MATCH(1,INDEX(('Kalem Kataloğu'!$A$1:$A$1000=A206)*('Kalem Kataloğu'!$B$1:$B$1000=E206),0),0)),"?")</f>
        <v/>
      </c>
      <c r="H206" s="7" t="n">
        <v>1</v>
      </c>
      <c r="I206" s="7" t="inlineStr">
        <is>
          <t>Hayır</t>
        </is>
      </c>
      <c r="J206" s="5" t="inlineStr">
        <is>
          <t>Drive foto</t>
        </is>
      </c>
      <c r="K206" s="5" t="inlineStr">
        <is>
          <t xml:space="preserve"> [güven: high]</t>
        </is>
      </c>
    </row>
    <row r="207">
      <c r="A207" s="5" t="inlineStr">
        <is>
          <t>Tare Village Urla</t>
        </is>
      </c>
      <c r="B207" s="5" t="inlineStr">
        <is>
          <t>VBS</t>
        </is>
      </c>
      <c r="C207" s="7" t="n"/>
      <c r="D207" s="6">
        <f>IFERROR(INDEX('Kontrol Adımları'!$D:$D,MATCH(1,INDEX(('Kontrol Adımları'!$A$1:$A$400=B207)*('Kontrol Adımları'!$B$1:$B$400=C207),0),0)),"")</f>
        <v/>
      </c>
      <c r="E207" s="5" t="inlineStr">
        <is>
          <t>saksi_bitki</t>
        </is>
      </c>
      <c r="F207" s="6">
        <f>IFERROR(INDEX('Kalem Kataloğu'!$C$1:$C$1000,MATCH(1,INDEX(('Kalem Kataloğu'!$A$1:$A$1000=A207)*('Kalem Kataloğu'!$B$1:$B$1000=E207),0),0)),"?")</f>
        <v/>
      </c>
      <c r="G207" s="6">
        <f>IFERROR(INDEX('Kalem Kataloğu'!$D$1:$D$1000,MATCH(1,INDEX(('Kalem Kataloğu'!$A$1:$A$1000=A207)*('Kalem Kataloğu'!$B$1:$B$1000=E207),0),0)),"?")</f>
        <v/>
      </c>
      <c r="H207" s="7" t="n"/>
      <c r="I207" s="7" t="inlineStr">
        <is>
          <t>Hayır</t>
        </is>
      </c>
      <c r="J207" s="5" t="inlineStr">
        <is>
          <t>Drive foto</t>
        </is>
      </c>
      <c r="K207" s="5" t="inlineStr">
        <is>
          <t>VTS bitkisi merdiven sahanlığında [güven: medium]</t>
        </is>
      </c>
    </row>
    <row r="208" ht="39.6" customHeight="1">
      <c r="A208" s="5" t="inlineStr">
        <is>
          <t>Tare Village Urla</t>
        </is>
      </c>
      <c r="B208" s="5" t="inlineStr">
        <is>
          <t>VBS</t>
        </is>
      </c>
      <c r="C208" s="7" t="n"/>
      <c r="D208" s="6">
        <f>IFERROR(INDEX('Kontrol Adımları'!$D:$D,MATCH(1,INDEX(('Kontrol Adımları'!$A$1:$A$400=B208)*('Kontrol Adımları'!$B$1:$B$400=C208),0),0)),"")</f>
        <v/>
      </c>
      <c r="E208" s="5" t="inlineStr">
        <is>
          <t>yastik</t>
        </is>
      </c>
      <c r="F208" s="6">
        <f>IFERROR(INDEX('Kalem Kataloğu'!$C$1:$C$1000,MATCH(1,INDEX(('Kalem Kataloğu'!$A$1:$A$1000=A208)*('Kalem Kataloğu'!$B$1:$B$1000=E208),0),0)),"?")</f>
        <v/>
      </c>
      <c r="G208" s="6">
        <f>IFERROR(INDEX('Kalem Kataloğu'!$D$1:$D$1000,MATCH(1,INDEX(('Kalem Kataloğu'!$A$1:$A$1000=A208)*('Kalem Kataloğu'!$B$1:$B$1000=E208),0),0)),"?")</f>
        <v/>
      </c>
      <c r="H208" s="7" t="n">
        <v>2</v>
      </c>
      <c r="I208" s="7" t="inlineStr">
        <is>
          <t>Hayır</t>
        </is>
      </c>
      <c r="J208" s="5" t="inlineStr">
        <is>
          <t>Drive foto</t>
        </is>
      </c>
      <c r="K208" s="5" t="inlineStr">
        <is>
          <t xml:space="preserve"> [güven: high]</t>
        </is>
      </c>
    </row>
    <row r="209">
      <c r="A209" s="5" t="inlineStr">
        <is>
          <t>Tare Village Urla</t>
        </is>
      </c>
      <c r="B209" s="5" t="inlineStr">
        <is>
          <t>VBS</t>
        </is>
      </c>
      <c r="C209" s="7" t="n"/>
      <c r="D209" s="6">
        <f>IFERROR(INDEX('Kontrol Adımları'!$D:$D,MATCH(1,INDEX(('Kontrol Adımları'!$A$1:$A$400=B209)*('Kontrol Adımları'!$B$1:$B$400=C209),0),0)),"")</f>
        <v/>
      </c>
      <c r="E209" s="5" t="inlineStr">
        <is>
          <t>yedek_tuvalet_kagidi</t>
        </is>
      </c>
      <c r="F209" s="6">
        <f>IFERROR(INDEX('Kalem Kataloğu'!$C$1:$C$1000,MATCH(1,INDEX(('Kalem Kataloğu'!$A$1:$A$1000=A209)*('Kalem Kataloğu'!$B$1:$B$1000=E209),0),0)),"?")</f>
        <v/>
      </c>
      <c r="G209" s="6">
        <f>IFERROR(INDEX('Kalem Kataloğu'!$D$1:$D$1000,MATCH(1,INDEX(('Kalem Kataloğu'!$A$1:$A$1000=A209)*('Kalem Kataloğu'!$B$1:$B$1000=E209),0),0)),"?")</f>
        <v/>
      </c>
      <c r="H209" s="7" t="n">
        <v>2</v>
      </c>
      <c r="I209" s="7" t="inlineStr">
        <is>
          <t>Hayır</t>
        </is>
      </c>
      <c r="J209" s="5" t="inlineStr">
        <is>
          <t>Drive foto</t>
        </is>
      </c>
      <c r="K209" s="5" t="inlineStr">
        <is>
          <t xml:space="preserve"> [güven: medium]</t>
        </is>
      </c>
    </row>
    <row r="210">
      <c r="A210" s="5" t="inlineStr">
        <is>
          <t>Tare Village Urla</t>
        </is>
      </c>
      <c r="B210" s="5" t="inlineStr">
        <is>
          <t>VBS</t>
        </is>
      </c>
      <c r="C210" s="7" t="n"/>
      <c r="D210" s="6">
        <f>IFERROR(INDEX('Kontrol Adımları'!$D:$D,MATCH(1,INDEX(('Kontrol Adımları'!$A$1:$A$400=B210)*('Kontrol Adımları'!$B$1:$B$400=C210),0),0)),"")</f>
        <v/>
      </c>
      <c r="E210" s="5" t="inlineStr">
        <is>
          <t>yemek_masasi</t>
        </is>
      </c>
      <c r="F210" s="6">
        <f>IFERROR(INDEX('Kalem Kataloğu'!$C$1:$C$1000,MATCH(1,INDEX(('Kalem Kataloğu'!$A$1:$A$1000=A210)*('Kalem Kataloğu'!$B$1:$B$1000=E210),0),0)),"?")</f>
        <v/>
      </c>
      <c r="G210" s="6">
        <f>IFERROR(INDEX('Kalem Kataloğu'!$D$1:$D$1000,MATCH(1,INDEX(('Kalem Kataloğu'!$A$1:$A$1000=A210)*('Kalem Kataloğu'!$B$1:$B$1000=E210),0),0)),"?")</f>
        <v/>
      </c>
      <c r="H210" s="7" t="n"/>
      <c r="I210" s="7" t="inlineStr">
        <is>
          <t>Hayır</t>
        </is>
      </c>
      <c r="J210" s="5" t="inlineStr">
        <is>
          <t>Drive foto</t>
        </is>
      </c>
      <c r="K210" s="5" t="inlineStr">
        <is>
          <t>VTS: masa + bank + 2 tel sandalye [güven: high]</t>
        </is>
      </c>
    </row>
    <row r="211" ht="26.4" customHeight="1">
      <c r="A211" s="5" t="inlineStr">
        <is>
          <t>Tare Village Urla</t>
        </is>
      </c>
      <c r="B211" s="5" t="inlineStr">
        <is>
          <t>VBS</t>
        </is>
      </c>
      <c r="C211" s="7" t="n"/>
      <c r="D211" s="6">
        <f>IFERROR(INDEX('Kontrol Adımları'!$D:$D,MATCH(1,INDEX(('Kontrol Adımları'!$A$1:$A$400=B211)*('Kontrol Adımları'!$B$1:$B$400=C211),0),0)),"")</f>
        <v/>
      </c>
      <c r="E211" s="5" t="inlineStr">
        <is>
          <t>ayna_yuvarlak</t>
        </is>
      </c>
      <c r="F211" s="6">
        <f>IFERROR(INDEX('Kalem Kataloğu'!$C$1:$C$1000,MATCH(1,INDEX(('Kalem Kataloğu'!$A$1:$A$1000=A211)*('Kalem Kataloğu'!$B$1:$B$1000=E211),0),0)),"?")</f>
        <v/>
      </c>
      <c r="G211" s="6">
        <f>IFERROR(INDEX('Kalem Kataloğu'!$D$1:$D$1000,MATCH(1,INDEX(('Kalem Kataloğu'!$A$1:$A$1000=A211)*('Kalem Kataloğu'!$B$1:$B$1000=E211),0),0)),"?")</f>
        <v/>
      </c>
      <c r="H211" s="7" t="n">
        <v>1</v>
      </c>
      <c r="I211" s="7" t="inlineStr">
        <is>
          <t>Hayır</t>
        </is>
      </c>
      <c r="J211" s="5" t="inlineStr">
        <is>
          <t>Drive foto</t>
        </is>
      </c>
      <c r="K211" s="5" t="inlineStr">
        <is>
          <t xml:space="preserve"> [güven: high]</t>
        </is>
      </c>
    </row>
    <row r="212" ht="26.4" customHeight="1">
      <c r="A212" s="5" t="inlineStr">
        <is>
          <t>Tare Village Urla</t>
        </is>
      </c>
      <c r="B212" s="5" t="inlineStr">
        <is>
          <t>VBS</t>
        </is>
      </c>
      <c r="C212" s="7" t="n"/>
      <c r="D212" s="6">
        <f>IFERROR(INDEX('Kontrol Adımları'!$D:$D,MATCH(1,INDEX(('Kontrol Adımları'!$A$1:$A$400=B212)*('Kontrol Adımları'!$B$1:$B$400=C212),0),0)),"")</f>
        <v/>
      </c>
      <c r="E212" s="5" t="inlineStr">
        <is>
          <t>cift_kisilik_yatak</t>
        </is>
      </c>
      <c r="F212" s="6">
        <f>IFERROR(INDEX('Kalem Kataloğu'!$C$1:$C$1000,MATCH(1,INDEX(('Kalem Kataloğu'!$A$1:$A$1000=A212)*('Kalem Kataloğu'!$B$1:$B$1000=E212),0),0)),"?")</f>
        <v/>
      </c>
      <c r="G212" s="6">
        <f>IFERROR(INDEX('Kalem Kataloğu'!$D$1:$D$1000,MATCH(1,INDEX(('Kalem Kataloğu'!$A$1:$A$1000=A212)*('Kalem Kataloğu'!$B$1:$B$1000=E212),0),0)),"?")</f>
        <v/>
      </c>
      <c r="H212" s="7" t="n">
        <v>1</v>
      </c>
      <c r="I212" s="7" t="inlineStr">
        <is>
          <t>Hayır</t>
        </is>
      </c>
      <c r="J212" s="5" t="inlineStr">
        <is>
          <t>Drive foto</t>
        </is>
      </c>
      <c r="K212" s="5" t="inlineStr">
        <is>
          <t xml:space="preserve"> [güven: high]</t>
        </is>
      </c>
    </row>
    <row r="213" ht="26.4" customHeight="1">
      <c r="A213" s="5" t="inlineStr">
        <is>
          <t>Tare Village Urla</t>
        </is>
      </c>
      <c r="B213" s="5" t="inlineStr">
        <is>
          <t>VBS</t>
        </is>
      </c>
      <c r="C213" s="7" t="n"/>
      <c r="D213" s="6">
        <f>IFERROR(INDEX('Kontrol Adımları'!$D:$D,MATCH(1,INDEX(('Kontrol Adımları'!$A$1:$A$400=B213)*('Kontrol Adımları'!$B$1:$B$400=C213),0),0)),"")</f>
        <v/>
      </c>
      <c r="E213" s="5" t="inlineStr">
        <is>
          <t>sivi_sabun_dispenseri</t>
        </is>
      </c>
      <c r="F213" s="6">
        <f>IFERROR(INDEX('Kalem Kataloğu'!$C$1:$C$1000,MATCH(1,INDEX(('Kalem Kataloğu'!$A$1:$A$1000=A213)*('Kalem Kataloğu'!$B$1:$B$1000=E213),0),0)),"?")</f>
        <v/>
      </c>
      <c r="G213" s="6">
        <f>IFERROR(INDEX('Kalem Kataloğu'!$D$1:$D$1000,MATCH(1,INDEX(('Kalem Kataloğu'!$A$1:$A$1000=A213)*('Kalem Kataloğu'!$B$1:$B$1000=E213),0),0)),"?")</f>
        <v/>
      </c>
      <c r="H213" s="7" t="n"/>
      <c r="I213" s="7" t="inlineStr">
        <is>
          <t>Hayır</t>
        </is>
      </c>
      <c r="J213" s="5" t="inlineStr">
        <is>
          <t>Drive foto</t>
        </is>
      </c>
      <c r="K213" s="5" t="inlineStr">
        <is>
          <t>Diğer odalarda kadrajda yok [güven: medium]</t>
        </is>
      </c>
    </row>
    <row r="214">
      <c r="A214" s="5" t="inlineStr">
        <is>
          <t>Tare Village Urla</t>
        </is>
      </c>
      <c r="B214" s="5" t="inlineStr">
        <is>
          <t>VBS</t>
        </is>
      </c>
      <c r="C214" s="7" t="n"/>
      <c r="D214" s="6">
        <f>IFERROR(INDEX('Kontrol Adımları'!$D:$D,MATCH(1,INDEX(('Kontrol Adımları'!$A$1:$A$400=B214)*('Kontrol Adımları'!$B$1:$B$400=C214),0),0)),"")</f>
        <v/>
      </c>
      <c r="E214" s="5" t="inlineStr">
        <is>
          <t>sifonyer</t>
        </is>
      </c>
      <c r="F214" s="6">
        <f>IFERROR(INDEX('Kalem Kataloğu'!$C$1:$C$1000,MATCH(1,INDEX(('Kalem Kataloğu'!$A$1:$A$1000=A214)*('Kalem Kataloğu'!$B$1:$B$1000=E214),0),0)),"?")</f>
        <v/>
      </c>
      <c r="G214" s="6">
        <f>IFERROR(INDEX('Kalem Kataloğu'!$D$1:$D$1000,MATCH(1,INDEX(('Kalem Kataloğu'!$A$1:$A$1000=A214)*('Kalem Kataloğu'!$B$1:$B$1000=E214),0),0)),"?")</f>
        <v/>
      </c>
      <c r="H214" s="7" t="n"/>
      <c r="I214" s="7" t="inlineStr">
        <is>
          <t>Hayır</t>
        </is>
      </c>
      <c r="J214" s="5" t="inlineStr">
        <is>
          <t>Drive foto</t>
        </is>
      </c>
      <c r="K214" s="5" t="inlineStr">
        <is>
          <t xml:space="preserve"> [güven: medium]</t>
        </is>
      </c>
    </row>
    <row r="215" ht="39.6" customHeight="1">
      <c r="A215" s="5" t="inlineStr">
        <is>
          <t>Tare Village Urla</t>
        </is>
      </c>
      <c r="B215" s="5" t="inlineStr">
        <is>
          <t>VGS</t>
        </is>
      </c>
      <c r="C215" s="7" t="n"/>
      <c r="D215" s="6">
        <f>IFERROR(INDEX('Kontrol Adımları'!$D:$D,MATCH(1,INDEX(('Kontrol Adımları'!$A$1:$A$400=B215)*('Kontrol Adımları'!$B$1:$B$400=C215),0),0)),"")</f>
        <v/>
      </c>
      <c r="E215" s="5" t="inlineStr">
        <is>
          <t>bank</t>
        </is>
      </c>
      <c r="F215" s="6">
        <f>IFERROR(INDEX('Kalem Kataloğu'!$C$1:$C$1000,MATCH(1,INDEX(('Kalem Kataloğu'!$A$1:$A$1000=A215)*('Kalem Kataloğu'!$B$1:$B$1000=E215),0),0)),"?")</f>
        <v/>
      </c>
      <c r="G215" s="6">
        <f>IFERROR(INDEX('Kalem Kataloğu'!$D$1:$D$1000,MATCH(1,INDEX(('Kalem Kataloğu'!$A$1:$A$1000=A215)*('Kalem Kataloğu'!$B$1:$B$1000=E215),0),0)),"?")</f>
        <v/>
      </c>
      <c r="H215" s="7" t="n"/>
      <c r="I215" s="7" t="inlineStr">
        <is>
          <t>Hayır</t>
        </is>
      </c>
      <c r="J215" s="5" t="inlineStr">
        <is>
          <t>Drive foto</t>
        </is>
      </c>
      <c r="K215" s="5" t="inlineStr">
        <is>
          <t xml:space="preserve"> [güven: high]</t>
        </is>
      </c>
    </row>
    <row r="216">
      <c r="A216" s="5" t="inlineStr">
        <is>
          <t>Tare Village Urla</t>
        </is>
      </c>
      <c r="B216" s="5" t="inlineStr">
        <is>
          <t>VGS</t>
        </is>
      </c>
      <c r="C216" s="7" t="n"/>
      <c r="D216" s="6">
        <f>IFERROR(INDEX('Kontrol Adımları'!$D:$D,MATCH(1,INDEX(('Kontrol Adımları'!$A$1:$A$400=B216)*('Kontrol Adımları'!$B$1:$B$400=C216),0),0)),"")</f>
        <v/>
      </c>
      <c r="E216" s="5" t="inlineStr">
        <is>
          <t>ankastre_firin</t>
        </is>
      </c>
      <c r="F216" s="6">
        <f>IFERROR(INDEX('Kalem Kataloğu'!$C$1:$C$1000,MATCH(1,INDEX(('Kalem Kataloğu'!$A$1:$A$1000=A216)*('Kalem Kataloğu'!$B$1:$B$1000=E216),0),0)),"?")</f>
        <v/>
      </c>
      <c r="G216" s="6">
        <f>IFERROR(INDEX('Kalem Kataloğu'!$D$1:$D$1000,MATCH(1,INDEX(('Kalem Kataloğu'!$A$1:$A$1000=A216)*('Kalem Kataloğu'!$B$1:$B$1000=E216),0),0)),"?")</f>
        <v/>
      </c>
      <c r="H216" s="7" t="n"/>
      <c r="I216" s="7" t="inlineStr">
        <is>
          <t>Hayır</t>
        </is>
      </c>
      <c r="J216" s="5" t="inlineStr">
        <is>
          <t>Drive foto</t>
        </is>
      </c>
      <c r="K216" s="5" t="inlineStr">
        <is>
          <t xml:space="preserve"> [güven: high]</t>
        </is>
      </c>
    </row>
    <row r="217">
      <c r="A217" s="5" t="inlineStr">
        <is>
          <t>Tare Village Urla</t>
        </is>
      </c>
      <c r="B217" s="5" t="inlineStr">
        <is>
          <t>VGS</t>
        </is>
      </c>
      <c r="C217" s="7" t="n"/>
      <c r="D217" s="6">
        <f>IFERROR(INDEX('Kontrol Adımları'!$D:$D,MATCH(1,INDEX(('Kontrol Adımları'!$A$1:$A$400=B217)*('Kontrol Adımları'!$B$1:$B$400=C217),0),0)),"")</f>
        <v/>
      </c>
      <c r="E217" s="5" t="inlineStr">
        <is>
          <t>buzdolabi</t>
        </is>
      </c>
      <c r="F217" s="6">
        <f>IFERROR(INDEX('Kalem Kataloğu'!$C$1:$C$1000,MATCH(1,INDEX(('Kalem Kataloğu'!$A$1:$A$1000=A217)*('Kalem Kataloğu'!$B$1:$B$1000=E217),0),0)),"?")</f>
        <v/>
      </c>
      <c r="G217" s="6">
        <f>IFERROR(INDEX('Kalem Kataloğu'!$D$1:$D$1000,MATCH(1,INDEX(('Kalem Kataloğu'!$A$1:$A$1000=A217)*('Kalem Kataloğu'!$B$1:$B$1000=E217),0),0)),"?")</f>
        <v/>
      </c>
      <c r="H217" s="7" t="n">
        <v>1</v>
      </c>
      <c r="I217" s="7" t="inlineStr">
        <is>
          <t>Hayır</t>
        </is>
      </c>
      <c r="J217" s="5" t="inlineStr">
        <is>
          <t>Drive foto</t>
        </is>
      </c>
      <c r="K217" s="5" t="inlineStr">
        <is>
          <t>VGS tam boy beyaz; diğerlerinde kadrajda yok [güven: medium]</t>
        </is>
      </c>
    </row>
    <row r="218" ht="26.4" customHeight="1">
      <c r="A218" s="5" t="inlineStr">
        <is>
          <t>Tare Village Urla</t>
        </is>
      </c>
      <c r="B218" s="5" t="inlineStr">
        <is>
          <t>VGS</t>
        </is>
      </c>
      <c r="C218" s="7" t="n"/>
      <c r="D218" s="6">
        <f>IFERROR(INDEX('Kontrol Adımları'!$D:$D,MATCH(1,INDEX(('Kontrol Adımları'!$A$1:$A$400=B218)*('Kontrol Adımları'!$B$1:$B$400=C218),0),0)),"")</f>
        <v/>
      </c>
      <c r="E218" s="5" t="inlineStr">
        <is>
          <t>davlumbaz</t>
        </is>
      </c>
      <c r="F218" s="6">
        <f>IFERROR(INDEX('Kalem Kataloğu'!$C$1:$C$1000,MATCH(1,INDEX(('Kalem Kataloğu'!$A$1:$A$1000=A218)*('Kalem Kataloğu'!$B$1:$B$1000=E218),0),0)),"?")</f>
        <v/>
      </c>
      <c r="G218" s="6">
        <f>IFERROR(INDEX('Kalem Kataloğu'!$D$1:$D$1000,MATCH(1,INDEX(('Kalem Kataloğu'!$A$1:$A$1000=A218)*('Kalem Kataloğu'!$B$1:$B$1000=E218),0),0)),"?")</f>
        <v/>
      </c>
      <c r="H218" s="7" t="n">
        <v>1</v>
      </c>
      <c r="I218" s="7" t="inlineStr">
        <is>
          <t>Hayır</t>
        </is>
      </c>
      <c r="J218" s="5" t="inlineStr">
        <is>
          <t>Drive foto</t>
        </is>
      </c>
      <c r="K218" s="5" t="inlineStr">
        <is>
          <t xml:space="preserve"> [güven: medium]</t>
        </is>
      </c>
    </row>
    <row r="219">
      <c r="A219" s="5" t="inlineStr">
        <is>
          <t>Tare Village Urla</t>
        </is>
      </c>
      <c r="B219" s="5" t="inlineStr">
        <is>
          <t>VGS</t>
        </is>
      </c>
      <c r="C219" s="7" t="n"/>
      <c r="D219" s="6">
        <f>IFERROR(INDEX('Kontrol Adımları'!$D:$D,MATCH(1,INDEX(('Kontrol Adımları'!$A$1:$A$400=B219)*('Kontrol Adımları'!$B$1:$B$400=C219),0),0)),"")</f>
        <v/>
      </c>
      <c r="E219" s="5" t="inlineStr">
        <is>
          <t>duvar_saati</t>
        </is>
      </c>
      <c r="F219" s="6">
        <f>IFERROR(INDEX('Kalem Kataloğu'!$C$1:$C$1000,MATCH(1,INDEX(('Kalem Kataloğu'!$A$1:$A$1000=A219)*('Kalem Kataloğu'!$B$1:$B$1000=E219),0),0)),"?")</f>
        <v/>
      </c>
      <c r="G219" s="6">
        <f>IFERROR(INDEX('Kalem Kataloğu'!$D$1:$D$1000,MATCH(1,INDEX(('Kalem Kataloğu'!$A$1:$A$1000=A219)*('Kalem Kataloğu'!$B$1:$B$1000=E219),0),0)),"?")</f>
        <v/>
      </c>
      <c r="H219" s="7" t="n">
        <v>1</v>
      </c>
      <c r="I219" s="7" t="inlineStr">
        <is>
          <t>Hayır</t>
        </is>
      </c>
      <c r="J219" s="5" t="inlineStr">
        <is>
          <t>Drive foto</t>
        </is>
      </c>
      <c r="K219" s="5" t="inlineStr">
        <is>
          <t xml:space="preserve"> [güven: high]</t>
        </is>
      </c>
    </row>
    <row r="220">
      <c r="A220" s="5" t="inlineStr">
        <is>
          <t>Tare Village Urla</t>
        </is>
      </c>
      <c r="B220" s="5" t="inlineStr">
        <is>
          <t>VGS</t>
        </is>
      </c>
      <c r="C220" s="7" t="n"/>
      <c r="D220" s="6">
        <f>IFERROR(INDEX('Kontrol Adımları'!$D:$D,MATCH(1,INDEX(('Kontrol Adımları'!$A$1:$A$400=B220)*('Kontrol Adımları'!$B$1:$B$400=C220),0),0)),"")</f>
        <v/>
      </c>
      <c r="E220" s="5" t="inlineStr">
        <is>
          <t>dus_kabini</t>
        </is>
      </c>
      <c r="F220" s="6">
        <f>IFERROR(INDEX('Kalem Kataloğu'!$C$1:$C$1000,MATCH(1,INDEX(('Kalem Kataloğu'!$A$1:$A$1000=A220)*('Kalem Kataloğu'!$B$1:$B$1000=E220),0),0)),"?")</f>
        <v/>
      </c>
      <c r="G220" s="6">
        <f>IFERROR(INDEX('Kalem Kataloğu'!$D$1:$D$1000,MATCH(1,INDEX(('Kalem Kataloğu'!$A$1:$A$1000=A220)*('Kalem Kataloğu'!$B$1:$B$1000=E220),0),0)),"?")</f>
        <v/>
      </c>
      <c r="H220" s="7" t="n">
        <v>1</v>
      </c>
      <c r="I220" s="7" t="inlineStr">
        <is>
          <t>Hayır</t>
        </is>
      </c>
      <c r="J220" s="5" t="inlineStr">
        <is>
          <t>Drive foto</t>
        </is>
      </c>
      <c r="K220" s="5" t="inlineStr">
        <is>
          <t>VTS ve VSS kabini daha büyük, buzlu cam [güven: high]</t>
        </is>
      </c>
    </row>
    <row r="221" ht="26.4" customHeight="1">
      <c r="A221" s="5" t="inlineStr">
        <is>
          <t>Tare Village Urla</t>
        </is>
      </c>
      <c r="B221" s="5" t="inlineStr">
        <is>
          <t>VGS</t>
        </is>
      </c>
      <c r="C221" s="7" t="n"/>
      <c r="D221" s="6">
        <f>IFERROR(INDEX('Kontrol Adımları'!$D:$D,MATCH(1,INDEX(('Kontrol Adımları'!$A$1:$A$400=B221)*('Kontrol Adımları'!$B$1:$B$400=C221),0),0)),"")</f>
        <v/>
      </c>
      <c r="E221" s="5" t="inlineStr">
        <is>
          <t>gardirop</t>
        </is>
      </c>
      <c r="F221" s="6">
        <f>IFERROR(INDEX('Kalem Kataloğu'!$C$1:$C$1000,MATCH(1,INDEX(('Kalem Kataloğu'!$A$1:$A$1000=A221)*('Kalem Kataloğu'!$B$1:$B$1000=E221),0),0)),"?")</f>
        <v/>
      </c>
      <c r="G221" s="6">
        <f>IFERROR(INDEX('Kalem Kataloğu'!$D$1:$D$1000,MATCH(1,INDEX(('Kalem Kataloğu'!$A$1:$A$1000=A221)*('Kalem Kataloğu'!$B$1:$B$1000=E221),0),0)),"?")</f>
        <v/>
      </c>
      <c r="H221" s="7" t="n"/>
      <c r="I221" s="7" t="inlineStr">
        <is>
          <t>Hayır</t>
        </is>
      </c>
      <c r="J221" s="5" t="inlineStr">
        <is>
          <t>Drive foto</t>
        </is>
      </c>
      <c r="K221" s="5" t="inlineStr">
        <is>
          <t xml:space="preserve"> [güven: medium]</t>
        </is>
      </c>
    </row>
    <row r="222">
      <c r="A222" s="5" t="inlineStr">
        <is>
          <t>Tare Village Urla</t>
        </is>
      </c>
      <c r="B222" s="5" t="inlineStr">
        <is>
          <t>VGS</t>
        </is>
      </c>
      <c r="C222" s="7" t="n"/>
      <c r="D222" s="6">
        <f>IFERROR(INDEX('Kontrol Adımları'!$D:$D,MATCH(1,INDEX(('Kontrol Adımları'!$A$1:$A$400=B222)*('Kontrol Adımları'!$B$1:$B$400=C222),0),0)),"")</f>
        <v/>
      </c>
      <c r="E222" s="5" t="inlineStr">
        <is>
          <t>hasir_sepet</t>
        </is>
      </c>
      <c r="F222" s="6">
        <f>IFERROR(INDEX('Kalem Kataloğu'!$C$1:$C$1000,MATCH(1,INDEX(('Kalem Kataloğu'!$A$1:$A$1000=A222)*('Kalem Kataloğu'!$B$1:$B$1000=E222),0),0)),"?")</f>
        <v/>
      </c>
      <c r="G222" s="6">
        <f>IFERROR(INDEX('Kalem Kataloğu'!$D$1:$D$1000,MATCH(1,INDEX(('Kalem Kataloğu'!$A$1:$A$1000=A222)*('Kalem Kataloğu'!$B$1:$B$1000=E222),0),0)),"?")</f>
        <v/>
      </c>
      <c r="H222" s="7" t="n">
        <v>1</v>
      </c>
      <c r="I222" s="7" t="inlineStr">
        <is>
          <t>Hayır</t>
        </is>
      </c>
      <c r="J222" s="5" t="inlineStr">
        <is>
          <t>Drive foto</t>
        </is>
      </c>
      <c r="K222" s="5" t="inlineStr">
        <is>
          <t xml:space="preserve"> [güven: high]</t>
        </is>
      </c>
    </row>
    <row r="223">
      <c r="A223" s="5" t="inlineStr">
        <is>
          <t>Tare Village Urla</t>
        </is>
      </c>
      <c r="B223" s="5" t="inlineStr">
        <is>
          <t>VGS</t>
        </is>
      </c>
      <c r="C223" s="7" t="n"/>
      <c r="D223" s="6">
        <f>IFERROR(INDEX('Kontrol Adımları'!$D:$D,MATCH(1,INDEX(('Kontrol Adımları'!$A$1:$A$400=B223)*('Kontrol Adımları'!$B$1:$B$400=C223),0),0)),"")</f>
        <v/>
      </c>
      <c r="E223" s="5" t="inlineStr">
        <is>
          <t>jut_paspas</t>
        </is>
      </c>
      <c r="F223" s="6">
        <f>IFERROR(INDEX('Kalem Kataloğu'!$C$1:$C$1000,MATCH(1,INDEX(('Kalem Kataloğu'!$A$1:$A$1000=A223)*('Kalem Kataloğu'!$B$1:$B$1000=E223),0),0)),"?")</f>
        <v/>
      </c>
      <c r="G223" s="6">
        <f>IFERROR(INDEX('Kalem Kataloğu'!$D$1:$D$1000,MATCH(1,INDEX(('Kalem Kataloğu'!$A$1:$A$1000=A223)*('Kalem Kataloğu'!$B$1:$B$1000=E223),0),0)),"?")</f>
        <v/>
      </c>
      <c r="H223" s="7" t="n">
        <v>2</v>
      </c>
      <c r="I223" s="7" t="inlineStr">
        <is>
          <t>Hayır</t>
        </is>
      </c>
      <c r="J223" s="5" t="inlineStr">
        <is>
          <t>Drive foto</t>
        </is>
      </c>
      <c r="K223" s="5" t="inlineStr">
        <is>
          <t>Görülen adet; tam sayı odada teyit [güven: medium]</t>
        </is>
      </c>
    </row>
    <row r="224" ht="39.6" customHeight="1">
      <c r="A224" s="5" t="inlineStr">
        <is>
          <t>Tare Village Urla</t>
        </is>
      </c>
      <c r="B224" s="5" t="inlineStr">
        <is>
          <t>VGS</t>
        </is>
      </c>
      <c r="C224" s="7" t="n"/>
      <c r="D224" s="6">
        <f>IFERROR(INDEX('Kontrol Adımları'!$D:$D,MATCH(1,INDEX(('Kontrol Adımları'!$A$1:$A$400=B224)*('Kontrol Adımları'!$B$1:$B$400=C224),0),0)),"")</f>
        <v/>
      </c>
      <c r="E224" s="5" t="inlineStr">
        <is>
          <t>dis_masa</t>
        </is>
      </c>
      <c r="F224" s="6">
        <f>IFERROR(INDEX('Kalem Kataloğu'!$C$1:$C$1000,MATCH(1,INDEX(('Kalem Kataloğu'!$A$1:$A$1000=A224)*('Kalem Kataloğu'!$B$1:$B$1000=E224),0),0)),"?")</f>
        <v/>
      </c>
      <c r="G224" s="6">
        <f>IFERROR(INDEX('Kalem Kataloğu'!$D$1:$D$1000,MATCH(1,INDEX(('Kalem Kataloğu'!$A$1:$A$1000=A224)*('Kalem Kataloğu'!$B$1:$B$1000=E224),0),0)),"?")</f>
        <v/>
      </c>
      <c r="H224" s="7" t="n"/>
      <c r="I224" s="7" t="inlineStr">
        <is>
          <t>Hayır</t>
        </is>
      </c>
      <c r="J224" s="5" t="inlineStr">
        <is>
          <t>Drive foto</t>
        </is>
      </c>
      <c r="K224" s="5" t="inlineStr">
        <is>
          <t xml:space="preserve"> [güven: high]</t>
        </is>
      </c>
    </row>
    <row r="225" ht="26.4" customHeight="1">
      <c r="A225" s="5" t="inlineStr">
        <is>
          <t>Tare Village Urla</t>
        </is>
      </c>
      <c r="B225" s="5" t="inlineStr">
        <is>
          <t>VGS</t>
        </is>
      </c>
      <c r="C225" s="7" t="n"/>
      <c r="D225" s="6">
        <f>IFERROR(INDEX('Kontrol Adımları'!$D:$D,MATCH(1,INDEX(('Kontrol Adımları'!$A$1:$A$400=B225)*('Kontrol Adımları'!$B$1:$B$400=C225),0),0)),"")</f>
        <v/>
      </c>
      <c r="E225" s="5" t="inlineStr">
        <is>
          <t>dis_sandalye</t>
        </is>
      </c>
      <c r="F225" s="6">
        <f>IFERROR(INDEX('Kalem Kataloğu'!$C$1:$C$1000,MATCH(1,INDEX(('Kalem Kataloğu'!$A$1:$A$1000=A225)*('Kalem Kataloğu'!$B$1:$B$1000=E225),0),0)),"?")</f>
        <v/>
      </c>
      <c r="G225" s="6">
        <f>IFERROR(INDEX('Kalem Kataloğu'!$D$1:$D$1000,MATCH(1,INDEX(('Kalem Kataloğu'!$A$1:$A$1000=A225)*('Kalem Kataloğu'!$B$1:$B$1000=E225),0),0)),"?")</f>
        <v/>
      </c>
      <c r="H225" s="7" t="n"/>
      <c r="I225" s="7" t="inlineStr">
        <is>
          <t>Hayır</t>
        </is>
      </c>
      <c r="J225" s="5" t="inlineStr">
        <is>
          <t>Drive foto</t>
        </is>
      </c>
      <c r="K225" s="5" t="inlineStr">
        <is>
          <t>VBS 4 sandalye; VTS 2 sandalye + 2 katlanır koltuk [güven: medium]</t>
        </is>
      </c>
    </row>
    <row r="226" ht="26.4" customHeight="1">
      <c r="A226" s="5" t="inlineStr">
        <is>
          <t>Tare Village Urla</t>
        </is>
      </c>
      <c r="B226" s="5" t="inlineStr">
        <is>
          <t>VGS</t>
        </is>
      </c>
      <c r="C226" s="7" t="n"/>
      <c r="D226" s="6">
        <f>IFERROR(INDEX('Kontrol Adımları'!$D:$D,MATCH(1,INDEX(('Kontrol Adımları'!$A$1:$A$400=B226)*('Kontrol Adımları'!$B$1:$B$400=C226),0),0)),"")</f>
        <v/>
      </c>
      <c r="E226" s="5" t="inlineStr">
        <is>
          <t>dis_katlanir_koltuk</t>
        </is>
      </c>
      <c r="F226" s="6">
        <f>IFERROR(INDEX('Kalem Kataloğu'!$C$1:$C$1000,MATCH(1,INDEX(('Kalem Kataloğu'!$A$1:$A$1000=A226)*('Kalem Kataloğu'!$B$1:$B$1000=E226),0),0)),"?")</f>
        <v/>
      </c>
      <c r="G226" s="6">
        <f>IFERROR(INDEX('Kalem Kataloğu'!$D$1:$D$1000,MATCH(1,INDEX(('Kalem Kataloğu'!$A$1:$A$1000=A226)*('Kalem Kataloğu'!$B$1:$B$1000=E226),0),0)),"?")</f>
        <v/>
      </c>
      <c r="H226" s="7" t="n"/>
      <c r="I226" s="7" t="inlineStr">
        <is>
          <t>Hayır</t>
        </is>
      </c>
      <c r="J226" s="5" t="inlineStr">
        <is>
          <t>Drive foto</t>
        </is>
      </c>
      <c r="K226" s="5" t="inlineStr">
        <is>
          <t xml:space="preserve"> [güven: medium]</t>
        </is>
      </c>
    </row>
    <row r="227">
      <c r="A227" s="5" t="inlineStr">
        <is>
          <t>Tare Village Urla</t>
        </is>
      </c>
      <c r="B227" s="5" t="inlineStr">
        <is>
          <t>VGS</t>
        </is>
      </c>
      <c r="C227" s="7" t="n"/>
      <c r="D227" s="6">
        <f>IFERROR(INDEX('Kontrol Adımları'!$D:$D,MATCH(1,INDEX(('Kontrol Adımları'!$A$1:$A$400=B227)*('Kontrol Adımları'!$B$1:$B$400=C227),0),0)),"")</f>
        <v/>
      </c>
      <c r="E227" s="5" t="inlineStr">
        <is>
          <t>kagit_havlu</t>
        </is>
      </c>
      <c r="F227" s="6">
        <f>IFERROR(INDEX('Kalem Kataloğu'!$C$1:$C$1000,MATCH(1,INDEX(('Kalem Kataloğu'!$A$1:$A$1000=A227)*('Kalem Kataloğu'!$B$1:$B$1000=E227),0),0)),"?")</f>
        <v/>
      </c>
      <c r="G227" s="6">
        <f>IFERROR(INDEX('Kalem Kataloğu'!$D$1:$D$1000,MATCH(1,INDEX(('Kalem Kataloğu'!$A$1:$A$1000=A227)*('Kalem Kataloğu'!$B$1:$B$1000=E227),0),0)),"?")</f>
        <v/>
      </c>
      <c r="H227" s="7" t="n"/>
      <c r="I227" s="7" t="inlineStr">
        <is>
          <t>Hayır</t>
        </is>
      </c>
      <c r="J227" s="5" t="inlineStr">
        <is>
          <t>Drive foto</t>
        </is>
      </c>
      <c r="K227" s="5" t="inlineStr">
        <is>
          <t xml:space="preserve"> [güven: medium]</t>
        </is>
      </c>
    </row>
    <row r="228">
      <c r="A228" s="5" t="inlineStr">
        <is>
          <t>Tare Village Urla</t>
        </is>
      </c>
      <c r="B228" s="5" t="inlineStr">
        <is>
          <t>VGS</t>
        </is>
      </c>
      <c r="C228" s="7" t="n"/>
      <c r="D228" s="6">
        <f>IFERROR(INDEX('Kontrol Adımları'!$D:$D,MATCH(1,INDEX(('Kontrol Adımları'!$A$1:$A$400=B228)*('Kontrol Adımları'!$B$1:$B$400=C228),0),0)),"")</f>
        <v/>
      </c>
      <c r="E228" s="5" t="inlineStr">
        <is>
          <t>klima</t>
        </is>
      </c>
      <c r="F228" s="6">
        <f>IFERROR(INDEX('Kalem Kataloğu'!$C$1:$C$1000,MATCH(1,INDEX(('Kalem Kataloğu'!$A$1:$A$1000=A228)*('Kalem Kataloğu'!$B$1:$B$1000=E228),0),0)),"?")</f>
        <v/>
      </c>
      <c r="G228" s="6">
        <f>IFERROR(INDEX('Kalem Kataloğu'!$D$1:$D$1000,MATCH(1,INDEX(('Kalem Kataloğu'!$A$1:$A$1000=A228)*('Kalem Kataloğu'!$B$1:$B$1000=E228),0),0)),"?")</f>
        <v/>
      </c>
      <c r="H228" s="7" t="n"/>
      <c r="I228" s="7" t="inlineStr">
        <is>
          <t>Hayır</t>
        </is>
      </c>
      <c r="J228" s="5" t="inlineStr">
        <is>
          <t>Drive foto</t>
        </is>
      </c>
      <c r="K228" s="5" t="inlineStr">
        <is>
          <t>VGS fotoğrafta görünmüyor [güven: high]</t>
        </is>
      </c>
    </row>
    <row r="229" ht="26.4" customHeight="1">
      <c r="A229" s="5" t="inlineStr">
        <is>
          <t>Tare Village Urla</t>
        </is>
      </c>
      <c r="B229" s="5" t="inlineStr">
        <is>
          <t>VGS</t>
        </is>
      </c>
      <c r="C229" s="7" t="n"/>
      <c r="D229" s="6">
        <f>IFERROR(INDEX('Kontrol Adımları'!$D:$D,MATCH(1,INDEX(('Kontrol Adımları'!$A$1:$A$400=B229)*('Kontrol Adımları'!$B$1:$B$400=C229),0),0)),"")</f>
        <v/>
      </c>
      <c r="E229" s="5" t="inlineStr">
        <is>
          <t>klozet</t>
        </is>
      </c>
      <c r="F229" s="6">
        <f>IFERROR(INDEX('Kalem Kataloğu'!$C$1:$C$1000,MATCH(1,INDEX(('Kalem Kataloğu'!$A$1:$A$1000=A229)*('Kalem Kataloğu'!$B$1:$B$1000=E229),0),0)),"?")</f>
        <v/>
      </c>
      <c r="G229" s="6">
        <f>IFERROR(INDEX('Kalem Kataloğu'!$D$1:$D$1000,MATCH(1,INDEX(('Kalem Kataloğu'!$A$1:$A$1000=A229)*('Kalem Kataloğu'!$B$1:$B$1000=E229),0),0)),"?")</f>
        <v/>
      </c>
      <c r="H229" s="7" t="n">
        <v>1</v>
      </c>
      <c r="I229" s="7" t="inlineStr">
        <is>
          <t>Hayır</t>
        </is>
      </c>
      <c r="J229" s="5" t="inlineStr">
        <is>
          <t>Drive foto</t>
        </is>
      </c>
      <c r="K229" s="5" t="inlineStr">
        <is>
          <t xml:space="preserve"> [güven: high]</t>
        </is>
      </c>
    </row>
    <row r="230" ht="26.4" customHeight="1">
      <c r="A230" s="5" t="inlineStr">
        <is>
          <t>Tare Village Urla</t>
        </is>
      </c>
      <c r="B230" s="5" t="inlineStr">
        <is>
          <t>VGS</t>
        </is>
      </c>
      <c r="C230" s="7" t="n"/>
      <c r="D230" s="6">
        <f>IFERROR(INDEX('Kontrol Adımları'!$D:$D,MATCH(1,INDEX(('Kontrol Adımları'!$A$1:$A$400=B230)*('Kontrol Adımları'!$B$1:$B$400=C230),0),0)),"")</f>
        <v/>
      </c>
      <c r="E230" s="5" t="inlineStr">
        <is>
          <t>komodin</t>
        </is>
      </c>
      <c r="F230" s="6">
        <f>IFERROR(INDEX('Kalem Kataloğu'!$C$1:$C$1000,MATCH(1,INDEX(('Kalem Kataloğu'!$A$1:$A$1000=A230)*('Kalem Kataloğu'!$B$1:$B$1000=E230),0),0)),"?")</f>
        <v/>
      </c>
      <c r="G230" s="6">
        <f>IFERROR(INDEX('Kalem Kataloğu'!$D$1:$D$1000,MATCH(1,INDEX(('Kalem Kataloğu'!$A$1:$A$1000=A230)*('Kalem Kataloğu'!$B$1:$B$1000=E230),0),0)),"?")</f>
        <v/>
      </c>
      <c r="H230" s="7" t="n"/>
      <c r="I230" s="7" t="inlineStr">
        <is>
          <t>Hayır</t>
        </is>
      </c>
      <c r="J230" s="5" t="inlineStr">
        <is>
          <t>Drive foto</t>
        </is>
      </c>
      <c r="K230" s="5" t="inlineStr">
        <is>
          <t>VBS fotoğrafta tek taraf görünüyor [güven: medium]</t>
        </is>
      </c>
    </row>
    <row r="231">
      <c r="A231" s="5" t="inlineStr">
        <is>
          <t>Tare Village Urla</t>
        </is>
      </c>
      <c r="B231" s="5" t="inlineStr">
        <is>
          <t>VGS</t>
        </is>
      </c>
      <c r="C231" s="7" t="n"/>
      <c r="D231" s="6">
        <f>IFERROR(INDEX('Kontrol Adımları'!$D:$D,MATCH(1,INDEX(('Kontrol Adımları'!$A$1:$A$400=B231)*('Kontrol Adımları'!$B$1:$B$400=C231),0),0)),"")</f>
        <v/>
      </c>
      <c r="E231" s="5" t="inlineStr">
        <is>
          <t>kose_koltuk</t>
        </is>
      </c>
      <c r="F231" s="6">
        <f>IFERROR(INDEX('Kalem Kataloğu'!$C$1:$C$1000,MATCH(1,INDEX(('Kalem Kataloğu'!$A$1:$A$1000=A231)*('Kalem Kataloğu'!$B$1:$B$1000=E231),0),0)),"?")</f>
        <v/>
      </c>
      <c r="G231" s="6">
        <f>IFERROR(INDEX('Kalem Kataloğu'!$D$1:$D$1000,MATCH(1,INDEX(('Kalem Kataloğu'!$A$1:$A$1000=A231)*('Kalem Kataloğu'!$B$1:$B$1000=E231),0),0)),"?")</f>
        <v/>
      </c>
      <c r="H231" s="7" t="n">
        <v>1</v>
      </c>
      <c r="I231" s="7" t="inlineStr">
        <is>
          <t>Hayır</t>
        </is>
      </c>
      <c r="J231" s="5" t="inlineStr">
        <is>
          <t>Drive foto</t>
        </is>
      </c>
      <c r="K231" s="5" t="inlineStr">
        <is>
          <t>VSS ve VTS düz kanepe [güven: high]</t>
        </is>
      </c>
    </row>
    <row r="232">
      <c r="A232" s="5" t="inlineStr">
        <is>
          <t>Tare Village Urla</t>
        </is>
      </c>
      <c r="B232" s="5" t="inlineStr">
        <is>
          <t>VGS</t>
        </is>
      </c>
      <c r="C232" s="7" t="n"/>
      <c r="D232" s="6">
        <f>IFERROR(INDEX('Kontrol Adımları'!$D:$D,MATCH(1,INDEX(('Kontrol Adımları'!$A$1:$A$400=B232)*('Kontrol Adımları'!$B$1:$B$400=C232),0),0)),"")</f>
        <v/>
      </c>
      <c r="E232" s="5" t="inlineStr">
        <is>
          <t>kul_tablasi</t>
        </is>
      </c>
      <c r="F232" s="6">
        <f>IFERROR(INDEX('Kalem Kataloğu'!$C$1:$C$1000,MATCH(1,INDEX(('Kalem Kataloğu'!$A$1:$A$1000=A232)*('Kalem Kataloğu'!$B$1:$B$1000=E232),0),0)),"?")</f>
        <v/>
      </c>
      <c r="G232" s="6">
        <f>IFERROR(INDEX('Kalem Kataloğu'!$D$1:$D$1000,MATCH(1,INDEX(('Kalem Kataloğu'!$A$1:$A$1000=A232)*('Kalem Kataloğu'!$B$1:$B$1000=E232),0),0)),"?")</f>
        <v/>
      </c>
      <c r="H232" s="7" t="n"/>
      <c r="I232" s="7" t="inlineStr">
        <is>
          <t>Hayır</t>
        </is>
      </c>
      <c r="J232" s="5" t="inlineStr">
        <is>
          <t>Drive foto</t>
        </is>
      </c>
      <c r="K232" s="5" t="inlineStr">
        <is>
          <t xml:space="preserve"> [güven: medium]</t>
        </is>
      </c>
    </row>
    <row r="233">
      <c r="A233" s="5" t="inlineStr">
        <is>
          <t>Tare Village Urla</t>
        </is>
      </c>
      <c r="B233" s="5" t="inlineStr">
        <is>
          <t>VGS</t>
        </is>
      </c>
      <c r="C233" s="7" t="n"/>
      <c r="D233" s="6">
        <f>IFERROR(INDEX('Kontrol Adımları'!$D:$D,MATCH(1,INDEX(('Kontrol Adımları'!$A$1:$A$400=B233)*('Kontrol Adımları'!$B$1:$B$400=C233),0),0)),"")</f>
        <v/>
      </c>
      <c r="E233" s="5" t="inlineStr">
        <is>
          <t>mutfak_cop_kovasi</t>
        </is>
      </c>
      <c r="F233" s="6">
        <f>IFERROR(INDEX('Kalem Kataloğu'!$C$1:$C$1000,MATCH(1,INDEX(('Kalem Kataloğu'!$A$1:$A$1000=A233)*('Kalem Kataloğu'!$B$1:$B$1000=E233),0),0)),"?")</f>
        <v/>
      </c>
      <c r="G233" s="6">
        <f>IFERROR(INDEX('Kalem Kataloğu'!$D$1:$D$1000,MATCH(1,INDEX(('Kalem Kataloğu'!$A$1:$A$1000=A233)*('Kalem Kataloğu'!$B$1:$B$1000=E233),0),0)),"?")</f>
        <v/>
      </c>
      <c r="H233" s="7" t="n"/>
      <c r="I233" s="7" t="inlineStr">
        <is>
          <t>Hayır</t>
        </is>
      </c>
      <c r="J233" s="5" t="inlineStr">
        <is>
          <t>Drive foto</t>
        </is>
      </c>
      <c r="K233" s="5" t="inlineStr">
        <is>
          <t xml:space="preserve"> [güven: high]</t>
        </is>
      </c>
    </row>
    <row r="234">
      <c r="A234" s="5" t="inlineStr">
        <is>
          <t>Tare Village Urla</t>
        </is>
      </c>
      <c r="B234" s="5" t="inlineStr">
        <is>
          <t>VGS</t>
        </is>
      </c>
      <c r="C234" s="7" t="n"/>
      <c r="D234" s="6">
        <f>IFERROR(INDEX('Kontrol Adımları'!$D:$D,MATCH(1,INDEX(('Kontrol Adımları'!$A$1:$A$400=B234)*('Kontrol Adımları'!$B$1:$B$400=C234),0),0)),"")</f>
        <v/>
      </c>
      <c r="E234" s="5" t="inlineStr">
        <is>
          <t>ocak</t>
        </is>
      </c>
      <c r="F234" s="6">
        <f>IFERROR(INDEX('Kalem Kataloğu'!$C$1:$C$1000,MATCH(1,INDEX(('Kalem Kataloğu'!$A$1:$A$1000=A234)*('Kalem Kataloğu'!$B$1:$B$1000=E234),0),0)),"?")</f>
        <v/>
      </c>
      <c r="G234" s="6">
        <f>IFERROR(INDEX('Kalem Kataloğu'!$D$1:$D$1000,MATCH(1,INDEX(('Kalem Kataloğu'!$A$1:$A$1000=A234)*('Kalem Kataloğu'!$B$1:$B$1000=E234),0),0)),"?")</f>
        <v/>
      </c>
      <c r="H234" s="7" t="n"/>
      <c r="I234" s="7" t="inlineStr">
        <is>
          <t>Hayır</t>
        </is>
      </c>
      <c r="J234" s="5" t="inlineStr">
        <is>
          <t>Drive foto</t>
        </is>
      </c>
      <c r="K234" s="5" t="inlineStr">
        <is>
          <t>VBS ankastre 2 göz; VSS portatif 2 göz cam ocak [güven: medium]</t>
        </is>
      </c>
    </row>
    <row r="235" ht="39.6" customHeight="1">
      <c r="A235" s="5" t="inlineStr">
        <is>
          <t>Tare Village Urla</t>
        </is>
      </c>
      <c r="B235" s="5" t="inlineStr">
        <is>
          <t>VGS</t>
        </is>
      </c>
      <c r="C235" s="7" t="n"/>
      <c r="D235" s="6">
        <f>IFERROR(INDEX('Kontrol Adımları'!$D:$D,MATCH(1,INDEX(('Kontrol Adımları'!$A$1:$A$400=B235)*('Kontrol Adımları'!$B$1:$B$400=C235),0),0)),"")</f>
        <v/>
      </c>
      <c r="E235" s="5" t="inlineStr">
        <is>
          <t>orta_sehpa</t>
        </is>
      </c>
      <c r="F235" s="6">
        <f>IFERROR(INDEX('Kalem Kataloğu'!$C$1:$C$1000,MATCH(1,INDEX(('Kalem Kataloğu'!$A$1:$A$1000=A235)*('Kalem Kataloğu'!$B$1:$B$1000=E235),0),0)),"?")</f>
        <v/>
      </c>
      <c r="G235" s="6">
        <f>IFERROR(INDEX('Kalem Kataloğu'!$D$1:$D$1000,MATCH(1,INDEX(('Kalem Kataloğu'!$A$1:$A$1000=A235)*('Kalem Kataloğu'!$B$1:$B$1000=E235),0),0)),"?")</f>
        <v/>
      </c>
      <c r="H235" s="7" t="n">
        <v>1</v>
      </c>
      <c r="I235" s="7" t="inlineStr">
        <is>
          <t>Hayır</t>
        </is>
      </c>
      <c r="J235" s="5" t="inlineStr">
        <is>
          <t>Drive foto</t>
        </is>
      </c>
      <c r="K235" s="5" t="inlineStr">
        <is>
          <t xml:space="preserve"> [güven: high]</t>
        </is>
      </c>
    </row>
    <row r="236">
      <c r="A236" s="5" t="inlineStr">
        <is>
          <t>Tare Village Urla</t>
        </is>
      </c>
      <c r="B236" s="5" t="inlineStr">
        <is>
          <t>VGS</t>
        </is>
      </c>
      <c r="C236" s="7" t="n"/>
      <c r="D236" s="6">
        <f>IFERROR(INDEX('Kontrol Adımları'!$D:$D,MATCH(1,INDEX(('Kontrol Adımları'!$A$1:$A$400=B236)*('Kontrol Adımları'!$B$1:$B$400=C236),0),0)),"")</f>
        <v/>
      </c>
      <c r="E236" s="5" t="inlineStr">
        <is>
          <t>banyo_cop_kovasi</t>
        </is>
      </c>
      <c r="F236" s="6">
        <f>IFERROR(INDEX('Kalem Kataloğu'!$C$1:$C$1000,MATCH(1,INDEX(('Kalem Kataloğu'!$A$1:$A$1000=A236)*('Kalem Kataloğu'!$B$1:$B$1000=E236),0),0)),"?")</f>
        <v/>
      </c>
      <c r="G236" s="6">
        <f>IFERROR(INDEX('Kalem Kataloğu'!$D$1:$D$1000,MATCH(1,INDEX(('Kalem Kataloğu'!$A$1:$A$1000=A236)*('Kalem Kataloğu'!$B$1:$B$1000=E236),0),0)),"?")</f>
        <v/>
      </c>
      <c r="H236" s="7" t="n">
        <v>1</v>
      </c>
      <c r="I236" s="7" t="inlineStr">
        <is>
          <t>Hayır</t>
        </is>
      </c>
      <c r="J236" s="5" t="inlineStr">
        <is>
          <t>Drive foto</t>
        </is>
      </c>
      <c r="K236" s="5" t="inlineStr">
        <is>
          <t>VGS inox, VBS/VTS siyah [güven: high]</t>
        </is>
      </c>
    </row>
    <row r="237">
      <c r="A237" s="5" t="inlineStr">
        <is>
          <t>Tare Village Urla</t>
        </is>
      </c>
      <c r="B237" s="5" t="inlineStr">
        <is>
          <t>VGS</t>
        </is>
      </c>
      <c r="C237" s="7" t="n"/>
      <c r="D237" s="6">
        <f>IFERROR(INDEX('Kontrol Adımları'!$D:$D,MATCH(1,INDEX(('Kontrol Adımları'!$A$1:$A$400=B237)*('Kontrol Adımları'!$B$1:$B$400=C237),0),0)),"")</f>
        <v/>
      </c>
      <c r="E237" s="5" t="inlineStr">
        <is>
          <t>yatak_ortusu</t>
        </is>
      </c>
      <c r="F237" s="6">
        <f>IFERROR(INDEX('Kalem Kataloğu'!$C$1:$C$1000,MATCH(1,INDEX(('Kalem Kataloğu'!$A$1:$A$1000=A237)*('Kalem Kataloğu'!$B$1:$B$1000=E237),0),0)),"?")</f>
        <v/>
      </c>
      <c r="G237" s="6">
        <f>IFERROR(INDEX('Kalem Kataloğu'!$D$1:$D$1000,MATCH(1,INDEX(('Kalem Kataloğu'!$A$1:$A$1000=A237)*('Kalem Kataloğu'!$B$1:$B$1000=E237),0),0)),"?")</f>
        <v/>
      </c>
      <c r="H237" s="7" t="n">
        <v>1</v>
      </c>
      <c r="I237" s="7" t="inlineStr">
        <is>
          <t>Hayır</t>
        </is>
      </c>
      <c r="J237" s="5" t="inlineStr">
        <is>
          <t>Drive foto</t>
        </is>
      </c>
      <c r="K237" s="5" t="inlineStr">
        <is>
          <t xml:space="preserve"> [güven: high]</t>
        </is>
      </c>
    </row>
    <row r="238" ht="26.4" customHeight="1">
      <c r="A238" s="5" t="inlineStr">
        <is>
          <t>Tare Village Urla</t>
        </is>
      </c>
      <c r="B238" s="5" t="inlineStr">
        <is>
          <t>VGS</t>
        </is>
      </c>
      <c r="C238" s="7" t="n"/>
      <c r="D238" s="6">
        <f>IFERROR(INDEX('Kontrol Adımları'!$D:$D,MATCH(1,INDEX(('Kontrol Adımları'!$A$1:$A$400=B238)*('Kontrol Adımları'!$B$1:$B$400=C238),0),0)),"")</f>
        <v/>
      </c>
      <c r="E238" s="5" t="inlineStr">
        <is>
          <t>tavan_sarkit_lamba</t>
        </is>
      </c>
      <c r="F238" s="6">
        <f>IFERROR(INDEX('Kalem Kataloğu'!$C$1:$C$1000,MATCH(1,INDEX(('Kalem Kataloğu'!$A$1:$A$1000=A238)*('Kalem Kataloğu'!$B$1:$B$1000=E238),0),0)),"?")</f>
        <v/>
      </c>
      <c r="G238" s="6">
        <f>IFERROR(INDEX('Kalem Kataloğu'!$D$1:$D$1000,MATCH(1,INDEX(('Kalem Kataloğu'!$A$1:$A$1000=A238)*('Kalem Kataloğu'!$B$1:$B$1000=E238),0),0)),"?")</f>
        <v/>
      </c>
      <c r="H238" s="7" t="n">
        <v>1</v>
      </c>
      <c r="I238" s="7" t="inlineStr">
        <is>
          <t>Hayır</t>
        </is>
      </c>
      <c r="J238" s="5" t="inlineStr">
        <is>
          <t>Drive foto</t>
        </is>
      </c>
      <c r="K238" s="5" t="inlineStr">
        <is>
          <t xml:space="preserve"> [güven: medium]</t>
        </is>
      </c>
    </row>
    <row r="239" ht="26.4" customHeight="1">
      <c r="A239" s="5" t="inlineStr">
        <is>
          <t>Tare Village Urla</t>
        </is>
      </c>
      <c r="B239" s="5" t="inlineStr">
        <is>
          <t>VGS</t>
        </is>
      </c>
      <c r="C239" s="7" t="n"/>
      <c r="D239" s="6">
        <f>IFERROR(INDEX('Kontrol Adımları'!$D:$D,MATCH(1,INDEX(('Kontrol Adımları'!$A$1:$A$400=B239)*('Kontrol Adımları'!$B$1:$B$400=C239),0),0)),"")</f>
        <v/>
      </c>
      <c r="E239" s="5" t="inlineStr">
        <is>
          <t>sac_kurutma_makinesi</t>
        </is>
      </c>
      <c r="F239" s="6">
        <f>IFERROR(INDEX('Kalem Kataloğu'!$C$1:$C$1000,MATCH(1,INDEX(('Kalem Kataloğu'!$A$1:$A$1000=A239)*('Kalem Kataloğu'!$B$1:$B$1000=E239),0),0)),"?")</f>
        <v/>
      </c>
      <c r="G239" s="6">
        <f>IFERROR(INDEX('Kalem Kataloğu'!$D$1:$D$1000,MATCH(1,INDEX(('Kalem Kataloğu'!$A$1:$A$1000=A239)*('Kalem Kataloğu'!$B$1:$B$1000=E239),0),0)),"?")</f>
        <v/>
      </c>
      <c r="H239" s="7" t="n">
        <v>1</v>
      </c>
      <c r="I239" s="7" t="inlineStr">
        <is>
          <t>Hayır</t>
        </is>
      </c>
      <c r="J239" s="5" t="inlineStr">
        <is>
          <t>Drive foto</t>
        </is>
      </c>
      <c r="K239" s="5" t="inlineStr">
        <is>
          <t xml:space="preserve"> [güven: high]</t>
        </is>
      </c>
    </row>
    <row r="240" ht="26.4" customHeight="1">
      <c r="A240" s="5" t="inlineStr">
        <is>
          <t>Tare Village Urla</t>
        </is>
      </c>
      <c r="B240" s="5" t="inlineStr">
        <is>
          <t>VGS</t>
        </is>
      </c>
      <c r="C240" s="7" t="n"/>
      <c r="D240" s="6">
        <f>IFERROR(INDEX('Kontrol Adımları'!$D:$D,MATCH(1,INDEX(('Kontrol Adımları'!$A$1:$A$400=B240)*('Kontrol Adımları'!$B$1:$B$400=C240),0),0)),"")</f>
        <v/>
      </c>
      <c r="E240" s="5" t="inlineStr">
        <is>
          <t>tv</t>
        </is>
      </c>
      <c r="F240" s="6">
        <f>IFERROR(INDEX('Kalem Kataloğu'!$C$1:$C$1000,MATCH(1,INDEX(('Kalem Kataloğu'!$A$1:$A$1000=A240)*('Kalem Kataloğu'!$B$1:$B$1000=E240),0),0)),"?")</f>
        <v/>
      </c>
      <c r="G240" s="6">
        <f>IFERROR(INDEX('Kalem Kataloğu'!$D$1:$D$1000,MATCH(1,INDEX(('Kalem Kataloğu'!$A$1:$A$1000=A240)*('Kalem Kataloğu'!$B$1:$B$1000=E240),0),0)),"?")</f>
        <v/>
      </c>
      <c r="H240" s="7" t="n"/>
      <c r="I240" s="7" t="inlineStr">
        <is>
          <t>Hayır</t>
        </is>
      </c>
      <c r="J240" s="5" t="inlineStr">
        <is>
          <t>Drive foto</t>
        </is>
      </c>
      <c r="K240" s="5" t="inlineStr">
        <is>
          <t>VBS/VSS duvar tipi, VTS ayaklı [güven: high]</t>
        </is>
      </c>
    </row>
    <row r="241">
      <c r="A241" s="5" t="inlineStr">
        <is>
          <t>Tare Village Urla</t>
        </is>
      </c>
      <c r="B241" s="5" t="inlineStr">
        <is>
          <t>VGS</t>
        </is>
      </c>
      <c r="C241" s="7" t="n"/>
      <c r="D241" s="6">
        <f>IFERROR(INDEX('Kontrol Adımları'!$D:$D,MATCH(1,INDEX(('Kontrol Adımları'!$A$1:$A$400=B241)*('Kontrol Adımları'!$B$1:$B$400=C241),0),0)),"")</f>
        <v/>
      </c>
      <c r="E241" s="5" t="inlineStr">
        <is>
          <t>tv_kumandasi</t>
        </is>
      </c>
      <c r="F241" s="6">
        <f>IFERROR(INDEX('Kalem Kataloğu'!$C$1:$C$1000,MATCH(1,INDEX(('Kalem Kataloğu'!$A$1:$A$1000=A241)*('Kalem Kataloğu'!$B$1:$B$1000=E241),0),0)),"?")</f>
        <v/>
      </c>
      <c r="G241" s="6">
        <f>IFERROR(INDEX('Kalem Kataloğu'!$D$1:$D$1000,MATCH(1,INDEX(('Kalem Kataloğu'!$A$1:$A$1000=A241)*('Kalem Kataloğu'!$B$1:$B$1000=E241),0),0)),"?")</f>
        <v/>
      </c>
      <c r="H241" s="7" t="n"/>
      <c r="I241" s="7" t="inlineStr">
        <is>
          <t>Hayır</t>
        </is>
      </c>
      <c r="J241" s="5" t="inlineStr">
        <is>
          <t>Drive foto</t>
        </is>
      </c>
      <c r="K241" s="5" t="inlineStr">
        <is>
          <t xml:space="preserve"> [güven: medium]</t>
        </is>
      </c>
    </row>
    <row r="242" ht="39.6" customHeight="1">
      <c r="A242" s="5" t="inlineStr">
        <is>
          <t>Tare Village Urla</t>
        </is>
      </c>
      <c r="B242" s="5" t="inlineStr">
        <is>
          <t>VGS</t>
        </is>
      </c>
      <c r="C242" s="7" t="n"/>
      <c r="D242" s="6">
        <f>IFERROR(INDEX('Kontrol Adımları'!$D:$D,MATCH(1,INDEX(('Kontrol Adımları'!$A$1:$A$400=B242)*('Kontrol Adımları'!$B$1:$B$400=C242),0),0)),"")</f>
        <v/>
      </c>
      <c r="E242" s="5" t="inlineStr">
        <is>
          <t>tablo</t>
        </is>
      </c>
      <c r="F242" s="6">
        <f>IFERROR(INDEX('Kalem Kataloğu'!$C$1:$C$1000,MATCH(1,INDEX(('Kalem Kataloğu'!$A$1:$A$1000=A242)*('Kalem Kataloğu'!$B$1:$B$1000=E242),0),0)),"?")</f>
        <v/>
      </c>
      <c r="G242" s="6">
        <f>IFERROR(INDEX('Kalem Kataloğu'!$D$1:$D$1000,MATCH(1,INDEX(('Kalem Kataloğu'!$A$1:$A$1000=A242)*('Kalem Kataloğu'!$B$1:$B$1000=E242),0),0)),"?")</f>
        <v/>
      </c>
      <c r="H242" s="7" t="n">
        <v>1</v>
      </c>
      <c r="I242" s="7" t="inlineStr">
        <is>
          <t>Hayır</t>
        </is>
      </c>
      <c r="J242" s="5" t="inlineStr">
        <is>
          <t>Drive foto</t>
        </is>
      </c>
      <c r="K242" s="5" t="inlineStr">
        <is>
          <t xml:space="preserve"> [güven: medium]</t>
        </is>
      </c>
    </row>
    <row r="243">
      <c r="A243" s="5" t="inlineStr">
        <is>
          <t>Tare Village Urla</t>
        </is>
      </c>
      <c r="B243" s="5" t="inlineStr">
        <is>
          <t>VGS</t>
        </is>
      </c>
      <c r="C243" s="7" t="n"/>
      <c r="D243" s="6">
        <f>IFERROR(INDEX('Kontrol Adımları'!$D:$D,MATCH(1,INDEX(('Kontrol Adımları'!$A$1:$A$400=B243)*('Kontrol Adımları'!$B$1:$B$400=C243),0),0)),"")</f>
        <v/>
      </c>
      <c r="E243" s="5" t="inlineStr">
        <is>
          <t>lavabo_tas_canak</t>
        </is>
      </c>
      <c r="F243" s="6">
        <f>IFERROR(INDEX('Kalem Kataloğu'!$C$1:$C$1000,MATCH(1,INDEX(('Kalem Kataloğu'!$A$1:$A$1000=A243)*('Kalem Kataloğu'!$B$1:$B$1000=E243),0),0)),"?")</f>
        <v/>
      </c>
      <c r="G243" s="6">
        <f>IFERROR(INDEX('Kalem Kataloğu'!$D$1:$D$1000,MATCH(1,INDEX(('Kalem Kataloğu'!$A$1:$A$1000=A243)*('Kalem Kataloğu'!$B$1:$B$1000=E243),0),0)),"?")</f>
        <v/>
      </c>
      <c r="H243" s="7" t="n">
        <v>1</v>
      </c>
      <c r="I243" s="7" t="inlineStr">
        <is>
          <t>Hayır</t>
        </is>
      </c>
      <c r="J243" s="5" t="inlineStr">
        <is>
          <t>Drive foto</t>
        </is>
      </c>
      <c r="K243" s="5" t="inlineStr">
        <is>
          <t>Tüm odalarda aynı model [güven: high]</t>
        </is>
      </c>
    </row>
    <row r="244">
      <c r="A244" s="5" t="inlineStr">
        <is>
          <t>Tare Village Urla</t>
        </is>
      </c>
      <c r="B244" s="5" t="inlineStr">
        <is>
          <t>VGS</t>
        </is>
      </c>
      <c r="C244" s="7" t="n"/>
      <c r="D244" s="6">
        <f>IFERROR(INDEX('Kontrol Adımları'!$D:$D,MATCH(1,INDEX(('Kontrol Adımları'!$A$1:$A$400=B244)*('Kontrol Adımları'!$B$1:$B$400=C244),0),0)),"")</f>
        <v/>
      </c>
      <c r="E244" s="5" t="inlineStr">
        <is>
          <t>tel_sandalye</t>
        </is>
      </c>
      <c r="F244" s="6">
        <f>IFERROR(INDEX('Kalem Kataloğu'!$C$1:$C$1000,MATCH(1,INDEX(('Kalem Kataloğu'!$A$1:$A$1000=A244)*('Kalem Kataloğu'!$B$1:$B$1000=E244),0),0)),"?")</f>
        <v/>
      </c>
      <c r="G244" s="6">
        <f>IFERROR(INDEX('Kalem Kataloğu'!$D$1:$D$1000,MATCH(1,INDEX(('Kalem Kataloğu'!$A$1:$A$1000=A244)*('Kalem Kataloğu'!$B$1:$B$1000=E244),0),0)),"?")</f>
        <v/>
      </c>
      <c r="H244" s="7" t="n"/>
      <c r="I244" s="7" t="inlineStr">
        <is>
          <t>Hayır</t>
        </is>
      </c>
      <c r="J244" s="5" t="inlineStr">
        <is>
          <t>Drive foto</t>
        </is>
      </c>
      <c r="K244" s="5" t="inlineStr">
        <is>
          <t xml:space="preserve"> [güven: high]</t>
        </is>
      </c>
    </row>
    <row r="245" ht="26.4" customHeight="1">
      <c r="A245" s="5" t="inlineStr">
        <is>
          <t>Tare Village Urla</t>
        </is>
      </c>
      <c r="B245" s="5" t="inlineStr">
        <is>
          <t>VGS</t>
        </is>
      </c>
      <c r="C245" s="7" t="n"/>
      <c r="D245" s="6">
        <f>IFERROR(INDEX('Kontrol Adımları'!$D:$D,MATCH(1,INDEX(('Kontrol Adımları'!$A$1:$A$400=B245)*('Kontrol Adımları'!$B$1:$B$400=C245),0),0)),"")</f>
        <v/>
      </c>
      <c r="E245" s="5" t="inlineStr">
        <is>
          <t>tuvalet_kagidi_aparati</t>
        </is>
      </c>
      <c r="F245" s="6">
        <f>IFERROR(INDEX('Kalem Kataloğu'!$C$1:$C$1000,MATCH(1,INDEX(('Kalem Kataloğu'!$A$1:$A$1000=A245)*('Kalem Kataloğu'!$B$1:$B$1000=E245),0),0)),"?")</f>
        <v/>
      </c>
      <c r="G245" s="6">
        <f>IFERROR(INDEX('Kalem Kataloğu'!$D$1:$D$1000,MATCH(1,INDEX(('Kalem Kataloğu'!$A$1:$A$1000=A245)*('Kalem Kataloğu'!$B$1:$B$1000=E245),0),0)),"?")</f>
        <v/>
      </c>
      <c r="H245" s="7" t="n">
        <v>1</v>
      </c>
      <c r="I245" s="7" t="inlineStr">
        <is>
          <t>Hayır</t>
        </is>
      </c>
      <c r="J245" s="5" t="inlineStr">
        <is>
          <t>Drive foto</t>
        </is>
      </c>
      <c r="K245" s="5" t="inlineStr">
        <is>
          <t>VSS fotoğrafta görünmüyor [güven: high]</t>
        </is>
      </c>
    </row>
    <row r="246">
      <c r="A246" s="5" t="inlineStr">
        <is>
          <t>Tare Village Urla</t>
        </is>
      </c>
      <c r="B246" s="5" t="inlineStr">
        <is>
          <t>VGS</t>
        </is>
      </c>
      <c r="C246" s="7" t="n"/>
      <c r="D246" s="6">
        <f>IFERROR(INDEX('Kontrol Adımları'!$D:$D,MATCH(1,INDEX(('Kontrol Adımları'!$A$1:$A$400=B246)*('Kontrol Adımları'!$B$1:$B$400=C246),0),0)),"")</f>
        <v/>
      </c>
      <c r="E246" s="5" t="inlineStr">
        <is>
          <t>wc_fircasi</t>
        </is>
      </c>
      <c r="F246" s="6">
        <f>IFERROR(INDEX('Kalem Kataloğu'!$C$1:$C$1000,MATCH(1,INDEX(('Kalem Kataloğu'!$A$1:$A$1000=A246)*('Kalem Kataloğu'!$B$1:$B$1000=E246),0),0)),"?")</f>
        <v/>
      </c>
      <c r="G246" s="6">
        <f>IFERROR(INDEX('Kalem Kataloğu'!$D$1:$D$1000,MATCH(1,INDEX(('Kalem Kataloğu'!$A$1:$A$1000=A246)*('Kalem Kataloğu'!$B$1:$B$1000=E246),0),0)),"?")</f>
        <v/>
      </c>
      <c r="H246" s="7" t="n">
        <v>1</v>
      </c>
      <c r="I246" s="7" t="inlineStr">
        <is>
          <t>Hayır</t>
        </is>
      </c>
      <c r="J246" s="5" t="inlineStr">
        <is>
          <t>Drive foto</t>
        </is>
      </c>
      <c r="K246" s="5" t="inlineStr">
        <is>
          <t xml:space="preserve"> [güven: medium]</t>
        </is>
      </c>
    </row>
    <row r="247">
      <c r="A247" s="5" t="inlineStr">
        <is>
          <t>Tare Village Urla</t>
        </is>
      </c>
      <c r="B247" s="5" t="inlineStr">
        <is>
          <t>VGS</t>
        </is>
      </c>
      <c r="C247" s="7" t="n"/>
      <c r="D247" s="6">
        <f>IFERROR(INDEX('Kontrol Adımları'!$D:$D,MATCH(1,INDEX(('Kontrol Adımları'!$A$1:$A$400=B247)*('Kontrol Adımları'!$B$1:$B$400=C247),0),0)),"")</f>
        <v/>
      </c>
      <c r="E247" s="5" t="inlineStr">
        <is>
          <t>yangin_sondurucu</t>
        </is>
      </c>
      <c r="F247" s="6">
        <f>IFERROR(INDEX('Kalem Kataloğu'!$C$1:$C$1000,MATCH(1,INDEX(('Kalem Kataloğu'!$A$1:$A$1000=A247)*('Kalem Kataloğu'!$B$1:$B$1000=E247),0),0)),"?")</f>
        <v/>
      </c>
      <c r="G247" s="6">
        <f>IFERROR(INDEX('Kalem Kataloğu'!$D$1:$D$1000,MATCH(1,INDEX(('Kalem Kataloğu'!$A$1:$A$1000=A247)*('Kalem Kataloğu'!$B$1:$B$1000=E247),0),0)),"?")</f>
        <v/>
      </c>
      <c r="H247" s="7" t="n"/>
      <c r="I247" s="7" t="inlineStr">
        <is>
          <t>Hayır</t>
        </is>
      </c>
      <c r="J247" s="5" t="inlineStr">
        <is>
          <t>Drive foto</t>
        </is>
      </c>
      <c r="K247" s="5" t="inlineStr">
        <is>
          <t xml:space="preserve"> [güven: high]</t>
        </is>
      </c>
    </row>
    <row r="248">
      <c r="A248" s="5" t="inlineStr">
        <is>
          <t>Tare Village Urla</t>
        </is>
      </c>
      <c r="B248" s="5" t="inlineStr">
        <is>
          <t>VGS</t>
        </is>
      </c>
      <c r="C248" s="7" t="n"/>
      <c r="D248" s="6">
        <f>IFERROR(INDEX('Kontrol Adımları'!$D:$D,MATCH(1,INDEX(('Kontrol Adımları'!$A$1:$A$400=B248)*('Kontrol Adımları'!$B$1:$B$400=C248),0),0)),"")</f>
        <v/>
      </c>
      <c r="E248" s="5" t="inlineStr">
        <is>
          <t>saksi_bitki</t>
        </is>
      </c>
      <c r="F248" s="6">
        <f>IFERROR(INDEX('Kalem Kataloğu'!$C$1:$C$1000,MATCH(1,INDEX(('Kalem Kataloğu'!$A$1:$A$1000=A248)*('Kalem Kataloğu'!$B$1:$B$1000=E248),0),0)),"?")</f>
        <v/>
      </c>
      <c r="G248" s="6">
        <f>IFERROR(INDEX('Kalem Kataloğu'!$D$1:$D$1000,MATCH(1,INDEX(('Kalem Kataloğu'!$A$1:$A$1000=A248)*('Kalem Kataloğu'!$B$1:$B$1000=E248),0),0)),"?")</f>
        <v/>
      </c>
      <c r="H248" s="7" t="n">
        <v>1</v>
      </c>
      <c r="I248" s="7" t="inlineStr">
        <is>
          <t>Hayır</t>
        </is>
      </c>
      <c r="J248" s="5" t="inlineStr">
        <is>
          <t>Drive foto</t>
        </is>
      </c>
      <c r="K248" s="5" t="inlineStr">
        <is>
          <t>VTS bitkisi merdiven sahanlığında [güven: medium]</t>
        </is>
      </c>
    </row>
    <row r="249">
      <c r="A249" s="5" t="inlineStr">
        <is>
          <t>Tare Village Urla</t>
        </is>
      </c>
      <c r="B249" s="5" t="inlineStr">
        <is>
          <t>VGS</t>
        </is>
      </c>
      <c r="C249" s="7" t="n"/>
      <c r="D249" s="6">
        <f>IFERROR(INDEX('Kontrol Adımları'!$D:$D,MATCH(1,INDEX(('Kontrol Adımları'!$A$1:$A$400=B249)*('Kontrol Adımları'!$B$1:$B$400=C249),0),0)),"")</f>
        <v/>
      </c>
      <c r="E249" s="5" t="inlineStr">
        <is>
          <t>yastik</t>
        </is>
      </c>
      <c r="F249" s="6">
        <f>IFERROR(INDEX('Kalem Kataloğu'!$C$1:$C$1000,MATCH(1,INDEX(('Kalem Kataloğu'!$A$1:$A$1000=A249)*('Kalem Kataloğu'!$B$1:$B$1000=E249),0),0)),"?")</f>
        <v/>
      </c>
      <c r="G249" s="6">
        <f>IFERROR(INDEX('Kalem Kataloğu'!$D$1:$D$1000,MATCH(1,INDEX(('Kalem Kataloğu'!$A$1:$A$1000=A249)*('Kalem Kataloğu'!$B$1:$B$1000=E249),0),0)),"?")</f>
        <v/>
      </c>
      <c r="H249" s="7" t="n">
        <v>2</v>
      </c>
      <c r="I249" s="7" t="inlineStr">
        <is>
          <t>Hayır</t>
        </is>
      </c>
      <c r="J249" s="5" t="inlineStr">
        <is>
          <t>Drive foto</t>
        </is>
      </c>
      <c r="K249" s="5" t="inlineStr">
        <is>
          <t xml:space="preserve"> [güven: high]</t>
        </is>
      </c>
    </row>
    <row r="250" ht="39.6" customHeight="1">
      <c r="A250" s="5" t="inlineStr">
        <is>
          <t>Tare Village Urla</t>
        </is>
      </c>
      <c r="B250" s="5" t="inlineStr">
        <is>
          <t>VGS</t>
        </is>
      </c>
      <c r="C250" s="7" t="n"/>
      <c r="D250" s="6">
        <f>IFERROR(INDEX('Kontrol Adımları'!$D:$D,MATCH(1,INDEX(('Kontrol Adımları'!$A$1:$A$400=B250)*('Kontrol Adımları'!$B$1:$B$400=C250),0),0)),"")</f>
        <v/>
      </c>
      <c r="E250" s="5" t="inlineStr">
        <is>
          <t>yedek_tuvalet_kagidi</t>
        </is>
      </c>
      <c r="F250" s="6">
        <f>IFERROR(INDEX('Kalem Kataloğu'!$C$1:$C$1000,MATCH(1,INDEX(('Kalem Kataloğu'!$A$1:$A$1000=A250)*('Kalem Kataloğu'!$B$1:$B$1000=E250),0),0)),"?")</f>
        <v/>
      </c>
      <c r="G250" s="6">
        <f>IFERROR(INDEX('Kalem Kataloğu'!$D$1:$D$1000,MATCH(1,INDEX(('Kalem Kataloğu'!$A$1:$A$1000=A250)*('Kalem Kataloğu'!$B$1:$B$1000=E250),0),0)),"?")</f>
        <v/>
      </c>
      <c r="H250" s="7" t="n"/>
      <c r="I250" s="7" t="inlineStr">
        <is>
          <t>Hayır</t>
        </is>
      </c>
      <c r="J250" s="5" t="inlineStr">
        <is>
          <t>Drive foto</t>
        </is>
      </c>
      <c r="K250" s="5" t="inlineStr">
        <is>
          <t xml:space="preserve"> [güven: medium]</t>
        </is>
      </c>
    </row>
    <row r="251" ht="26.4" customHeight="1">
      <c r="A251" s="5" t="inlineStr">
        <is>
          <t>Tare Village Urla</t>
        </is>
      </c>
      <c r="B251" s="5" t="inlineStr">
        <is>
          <t>VGS</t>
        </is>
      </c>
      <c r="C251" s="7" t="n"/>
      <c r="D251" s="6">
        <f>IFERROR(INDEX('Kontrol Adımları'!$D:$D,MATCH(1,INDEX(('Kontrol Adımları'!$A$1:$A$400=B251)*('Kontrol Adımları'!$B$1:$B$400=C251),0),0)),"")</f>
        <v/>
      </c>
      <c r="E251" s="5" t="inlineStr">
        <is>
          <t>yemek_masasi</t>
        </is>
      </c>
      <c r="F251" s="6">
        <f>IFERROR(INDEX('Kalem Kataloğu'!$C$1:$C$1000,MATCH(1,INDEX(('Kalem Kataloğu'!$A$1:$A$1000=A251)*('Kalem Kataloğu'!$B$1:$B$1000=E251),0),0)),"?")</f>
        <v/>
      </c>
      <c r="G251" s="6">
        <f>IFERROR(INDEX('Kalem Kataloğu'!$D$1:$D$1000,MATCH(1,INDEX(('Kalem Kataloğu'!$A$1:$A$1000=A251)*('Kalem Kataloğu'!$B$1:$B$1000=E251),0),0)),"?")</f>
        <v/>
      </c>
      <c r="H251" s="7" t="n">
        <v>1</v>
      </c>
      <c r="I251" s="7" t="inlineStr">
        <is>
          <t>Hayır</t>
        </is>
      </c>
      <c r="J251" s="5" t="inlineStr">
        <is>
          <t>Drive foto</t>
        </is>
      </c>
      <c r="K251" s="5" t="inlineStr">
        <is>
          <t>VTS: masa + bank + 2 tel sandalye [güven: high]</t>
        </is>
      </c>
    </row>
    <row r="252" ht="26.4" customHeight="1">
      <c r="A252" s="5" t="inlineStr">
        <is>
          <t>Tare Village Urla</t>
        </is>
      </c>
      <c r="B252" s="5" t="inlineStr">
        <is>
          <t>VGS</t>
        </is>
      </c>
      <c r="C252" s="7" t="n"/>
      <c r="D252" s="6">
        <f>IFERROR(INDEX('Kontrol Adımları'!$D:$D,MATCH(1,INDEX(('Kontrol Adımları'!$A$1:$A$400=B252)*('Kontrol Adımları'!$B$1:$B$400=C252),0),0)),"")</f>
        <v/>
      </c>
      <c r="E252" s="5" t="inlineStr">
        <is>
          <t>ayna_yuvarlak</t>
        </is>
      </c>
      <c r="F252" s="6">
        <f>IFERROR(INDEX('Kalem Kataloğu'!$C$1:$C$1000,MATCH(1,INDEX(('Kalem Kataloğu'!$A$1:$A$1000=A252)*('Kalem Kataloğu'!$B$1:$B$1000=E252),0),0)),"?")</f>
        <v/>
      </c>
      <c r="G252" s="6">
        <f>IFERROR(INDEX('Kalem Kataloğu'!$D$1:$D$1000,MATCH(1,INDEX(('Kalem Kataloğu'!$A$1:$A$1000=A252)*('Kalem Kataloğu'!$B$1:$B$1000=E252),0),0)),"?")</f>
        <v/>
      </c>
      <c r="H252" s="7" t="n">
        <v>1</v>
      </c>
      <c r="I252" s="7" t="inlineStr">
        <is>
          <t>Hayır</t>
        </is>
      </c>
      <c r="J252" s="5" t="inlineStr">
        <is>
          <t>Drive foto</t>
        </is>
      </c>
      <c r="K252" s="5" t="inlineStr">
        <is>
          <t xml:space="preserve"> [güven: high]</t>
        </is>
      </c>
    </row>
    <row r="253">
      <c r="A253" s="5" t="inlineStr">
        <is>
          <t>Tare Village Urla</t>
        </is>
      </c>
      <c r="B253" s="5" t="inlineStr">
        <is>
          <t>VGS</t>
        </is>
      </c>
      <c r="C253" s="7" t="n"/>
      <c r="D253" s="6">
        <f>IFERROR(INDEX('Kontrol Adımları'!$D:$D,MATCH(1,INDEX(('Kontrol Adımları'!$A$1:$A$400=B253)*('Kontrol Adımları'!$B$1:$B$400=C253),0),0)),"")</f>
        <v/>
      </c>
      <c r="E253" s="5" t="inlineStr">
        <is>
          <t>cift_kisilik_yatak</t>
        </is>
      </c>
      <c r="F253" s="6">
        <f>IFERROR(INDEX('Kalem Kataloğu'!$C$1:$C$1000,MATCH(1,INDEX(('Kalem Kataloğu'!$A$1:$A$1000=A253)*('Kalem Kataloğu'!$B$1:$B$1000=E253),0),0)),"?")</f>
        <v/>
      </c>
      <c r="G253" s="6">
        <f>IFERROR(INDEX('Kalem Kataloğu'!$D$1:$D$1000,MATCH(1,INDEX(('Kalem Kataloğu'!$A$1:$A$1000=A253)*('Kalem Kataloğu'!$B$1:$B$1000=E253),0),0)),"?")</f>
        <v/>
      </c>
      <c r="H253" s="7" t="n">
        <v>1</v>
      </c>
      <c r="I253" s="7" t="inlineStr">
        <is>
          <t>Hayır</t>
        </is>
      </c>
      <c r="J253" s="5" t="inlineStr">
        <is>
          <t>Drive foto</t>
        </is>
      </c>
      <c r="K253" s="5" t="inlineStr">
        <is>
          <t xml:space="preserve"> [güven: high]</t>
        </is>
      </c>
    </row>
    <row r="254">
      <c r="A254" s="5" t="inlineStr">
        <is>
          <t>Tare Village Urla</t>
        </is>
      </c>
      <c r="B254" s="5" t="inlineStr">
        <is>
          <t>VGS</t>
        </is>
      </c>
      <c r="C254" s="7" t="n"/>
      <c r="D254" s="6">
        <f>IFERROR(INDEX('Kontrol Adımları'!$D:$D,MATCH(1,INDEX(('Kontrol Adımları'!$A$1:$A$400=B254)*('Kontrol Adımları'!$B$1:$B$400=C254),0),0)),"")</f>
        <v/>
      </c>
      <c r="E254" s="5" t="inlineStr">
        <is>
          <t>sivi_sabun_dispenseri</t>
        </is>
      </c>
      <c r="F254" s="6">
        <f>IFERROR(INDEX('Kalem Kataloğu'!$C$1:$C$1000,MATCH(1,INDEX(('Kalem Kataloğu'!$A$1:$A$1000=A254)*('Kalem Kataloğu'!$B$1:$B$1000=E254),0),0)),"?")</f>
        <v/>
      </c>
      <c r="G254" s="6">
        <f>IFERROR(INDEX('Kalem Kataloğu'!$D$1:$D$1000,MATCH(1,INDEX(('Kalem Kataloğu'!$A$1:$A$1000=A254)*('Kalem Kataloğu'!$B$1:$B$1000=E254),0),0)),"?")</f>
        <v/>
      </c>
      <c r="H254" s="7" t="n">
        <v>1</v>
      </c>
      <c r="I254" s="7" t="inlineStr">
        <is>
          <t>Hayır</t>
        </is>
      </c>
      <c r="J254" s="5" t="inlineStr">
        <is>
          <t>Drive foto</t>
        </is>
      </c>
      <c r="K254" s="5" t="inlineStr">
        <is>
          <t>Diğer odalarda kadrajda yok [güven: medium]</t>
        </is>
      </c>
    </row>
    <row r="255" ht="26.4" customHeight="1">
      <c r="A255" s="5" t="inlineStr">
        <is>
          <t>Tare Village Urla</t>
        </is>
      </c>
      <c r="B255" s="5" t="inlineStr">
        <is>
          <t>VGS</t>
        </is>
      </c>
      <c r="C255" s="7" t="n"/>
      <c r="D255" s="6">
        <f>IFERROR(INDEX('Kontrol Adımları'!$D:$D,MATCH(1,INDEX(('Kontrol Adımları'!$A$1:$A$400=B255)*('Kontrol Adımları'!$B$1:$B$400=C255),0),0)),"")</f>
        <v/>
      </c>
      <c r="E255" s="5" t="inlineStr">
        <is>
          <t>sifonyer</t>
        </is>
      </c>
      <c r="F255" s="6">
        <f>IFERROR(INDEX('Kalem Kataloğu'!$C$1:$C$1000,MATCH(1,INDEX(('Kalem Kataloğu'!$A$1:$A$1000=A255)*('Kalem Kataloğu'!$B$1:$B$1000=E255),0),0)),"?")</f>
        <v/>
      </c>
      <c r="G255" s="6">
        <f>IFERROR(INDEX('Kalem Kataloğu'!$D$1:$D$1000,MATCH(1,INDEX(('Kalem Kataloğu'!$A$1:$A$1000=A255)*('Kalem Kataloğu'!$B$1:$B$1000=E255),0),0)),"?")</f>
        <v/>
      </c>
      <c r="H255" s="7" t="n"/>
      <c r="I255" s="7" t="inlineStr">
        <is>
          <t>Hayır</t>
        </is>
      </c>
      <c r="J255" s="5" t="inlineStr">
        <is>
          <t>Drive foto</t>
        </is>
      </c>
      <c r="K255" s="5" t="inlineStr">
        <is>
          <t xml:space="preserve"> [güven: medium]</t>
        </is>
      </c>
    </row>
    <row r="256" ht="26.4" customHeight="1">
      <c r="A256" s="5" t="inlineStr">
        <is>
          <t>Tare Village Urla</t>
        </is>
      </c>
      <c r="B256" s="5" t="inlineStr">
        <is>
          <t>VSS</t>
        </is>
      </c>
      <c r="C256" s="7" t="n"/>
      <c r="D256" s="6">
        <f>IFERROR(INDEX('Kontrol Adımları'!$D:$D,MATCH(1,INDEX(('Kontrol Adımları'!$A$1:$A$400=B256)*('Kontrol Adımları'!$B$1:$B$400=C256),0),0)),"")</f>
        <v/>
      </c>
      <c r="E256" s="5" t="inlineStr">
        <is>
          <t>bank</t>
        </is>
      </c>
      <c r="F256" s="6">
        <f>IFERROR(INDEX('Kalem Kataloğu'!$C$1:$C$1000,MATCH(1,INDEX(('Kalem Kataloğu'!$A$1:$A$1000=A256)*('Kalem Kataloğu'!$B$1:$B$1000=E256),0),0)),"?")</f>
        <v/>
      </c>
      <c r="G256" s="6">
        <f>IFERROR(INDEX('Kalem Kataloğu'!$D$1:$D$1000,MATCH(1,INDEX(('Kalem Kataloğu'!$A$1:$A$1000=A256)*('Kalem Kataloğu'!$B$1:$B$1000=E256),0),0)),"?")</f>
        <v/>
      </c>
      <c r="H256" s="7" t="n"/>
      <c r="I256" s="7" t="inlineStr">
        <is>
          <t>Hayır</t>
        </is>
      </c>
      <c r="J256" s="5" t="inlineStr">
        <is>
          <t>Drive foto</t>
        </is>
      </c>
      <c r="K256" s="5" t="inlineStr">
        <is>
          <t xml:space="preserve"> [güven: high]</t>
        </is>
      </c>
    </row>
    <row r="257">
      <c r="A257" s="5" t="inlineStr">
        <is>
          <t>Tare Village Urla</t>
        </is>
      </c>
      <c r="B257" s="5" t="inlineStr">
        <is>
          <t>VSS</t>
        </is>
      </c>
      <c r="C257" s="7" t="n"/>
      <c r="D257" s="6">
        <f>IFERROR(INDEX('Kontrol Adımları'!$D:$D,MATCH(1,INDEX(('Kontrol Adımları'!$A$1:$A$400=B257)*('Kontrol Adımları'!$B$1:$B$400=C257),0),0)),"")</f>
        <v/>
      </c>
      <c r="E257" s="5" t="inlineStr">
        <is>
          <t>ankastre_firin</t>
        </is>
      </c>
      <c r="F257" s="6">
        <f>IFERROR(INDEX('Kalem Kataloğu'!$C$1:$C$1000,MATCH(1,INDEX(('Kalem Kataloğu'!$A$1:$A$1000=A257)*('Kalem Kataloğu'!$B$1:$B$1000=E257),0),0)),"?")</f>
        <v/>
      </c>
      <c r="G257" s="6">
        <f>IFERROR(INDEX('Kalem Kataloğu'!$D$1:$D$1000,MATCH(1,INDEX(('Kalem Kataloğu'!$A$1:$A$1000=A257)*('Kalem Kataloğu'!$B$1:$B$1000=E257),0),0)),"?")</f>
        <v/>
      </c>
      <c r="H257" s="7" t="n"/>
      <c r="I257" s="7" t="inlineStr">
        <is>
          <t>Hayır</t>
        </is>
      </c>
      <c r="J257" s="5" t="inlineStr">
        <is>
          <t>Drive foto</t>
        </is>
      </c>
      <c r="K257" s="5" t="inlineStr">
        <is>
          <t xml:space="preserve"> [güven: high]</t>
        </is>
      </c>
    </row>
    <row r="258">
      <c r="A258" s="5" t="inlineStr">
        <is>
          <t>Tare Village Urla</t>
        </is>
      </c>
      <c r="B258" s="5" t="inlineStr">
        <is>
          <t>VSS</t>
        </is>
      </c>
      <c r="C258" s="7" t="n"/>
      <c r="D258" s="6">
        <f>IFERROR(INDEX('Kontrol Adımları'!$D:$D,MATCH(1,INDEX(('Kontrol Adımları'!$A$1:$A$400=B258)*('Kontrol Adımları'!$B$1:$B$400=C258),0),0)),"")</f>
        <v/>
      </c>
      <c r="E258" s="5" t="inlineStr">
        <is>
          <t>buzdolabi</t>
        </is>
      </c>
      <c r="F258" s="6">
        <f>IFERROR(INDEX('Kalem Kataloğu'!$C$1:$C$1000,MATCH(1,INDEX(('Kalem Kataloğu'!$A$1:$A$1000=A258)*('Kalem Kataloğu'!$B$1:$B$1000=E258),0),0)),"?")</f>
        <v/>
      </c>
      <c r="G258" s="6">
        <f>IFERROR(INDEX('Kalem Kataloğu'!$D$1:$D$1000,MATCH(1,INDEX(('Kalem Kataloğu'!$A$1:$A$1000=A258)*('Kalem Kataloğu'!$B$1:$B$1000=E258),0),0)),"?")</f>
        <v/>
      </c>
      <c r="H258" s="7" t="n"/>
      <c r="I258" s="7" t="inlineStr">
        <is>
          <t>Hayır</t>
        </is>
      </c>
      <c r="J258" s="5" t="inlineStr">
        <is>
          <t>Drive foto</t>
        </is>
      </c>
      <c r="K258" s="5" t="inlineStr">
        <is>
          <t>VGS tam boy beyaz; diğerlerinde kadrajda yok [güven: medium]</t>
        </is>
      </c>
    </row>
    <row r="259">
      <c r="A259" s="5" t="inlineStr">
        <is>
          <t>Tare Village Urla</t>
        </is>
      </c>
      <c r="B259" s="5" t="inlineStr">
        <is>
          <t>VSS</t>
        </is>
      </c>
      <c r="C259" s="7" t="n"/>
      <c r="D259" s="6">
        <f>IFERROR(INDEX('Kontrol Adımları'!$D:$D,MATCH(1,INDEX(('Kontrol Adımları'!$A$1:$A$400=B259)*('Kontrol Adımları'!$B$1:$B$400=C259),0),0)),"")</f>
        <v/>
      </c>
      <c r="E259" s="5" t="inlineStr">
        <is>
          <t>davlumbaz</t>
        </is>
      </c>
      <c r="F259" s="6">
        <f>IFERROR(INDEX('Kalem Kataloğu'!$C$1:$C$1000,MATCH(1,INDEX(('Kalem Kataloğu'!$A$1:$A$1000=A259)*('Kalem Kataloğu'!$B$1:$B$1000=E259),0),0)),"?")</f>
        <v/>
      </c>
      <c r="G259" s="6">
        <f>IFERROR(INDEX('Kalem Kataloğu'!$D$1:$D$1000,MATCH(1,INDEX(('Kalem Kataloğu'!$A$1:$A$1000=A259)*('Kalem Kataloğu'!$B$1:$B$1000=E259),0),0)),"?")</f>
        <v/>
      </c>
      <c r="H259" s="7" t="n"/>
      <c r="I259" s="7" t="inlineStr">
        <is>
          <t>Hayır</t>
        </is>
      </c>
      <c r="J259" s="5" t="inlineStr">
        <is>
          <t>Drive foto</t>
        </is>
      </c>
      <c r="K259" s="5" t="inlineStr">
        <is>
          <t xml:space="preserve"> [güven: medium]</t>
        </is>
      </c>
    </row>
    <row r="260">
      <c r="A260" s="5" t="inlineStr">
        <is>
          <t>Tare Village Urla</t>
        </is>
      </c>
      <c r="B260" s="5" t="inlineStr">
        <is>
          <t>VSS</t>
        </is>
      </c>
      <c r="C260" s="7" t="n"/>
      <c r="D260" s="6">
        <f>IFERROR(INDEX('Kontrol Adımları'!$D:$D,MATCH(1,INDEX(('Kontrol Adımları'!$A$1:$A$400=B260)*('Kontrol Adımları'!$B$1:$B$400=C260),0),0)),"")</f>
        <v/>
      </c>
      <c r="E260" s="5" t="inlineStr">
        <is>
          <t>duvar_saati</t>
        </is>
      </c>
      <c r="F260" s="6">
        <f>IFERROR(INDEX('Kalem Kataloğu'!$C$1:$C$1000,MATCH(1,INDEX(('Kalem Kataloğu'!$A$1:$A$1000=A260)*('Kalem Kataloğu'!$B$1:$B$1000=E260),0),0)),"?")</f>
        <v/>
      </c>
      <c r="G260" s="6">
        <f>IFERROR(INDEX('Kalem Kataloğu'!$D$1:$D$1000,MATCH(1,INDEX(('Kalem Kataloğu'!$A$1:$A$1000=A260)*('Kalem Kataloğu'!$B$1:$B$1000=E260),0),0)),"?")</f>
        <v/>
      </c>
      <c r="H260" s="7" t="n"/>
      <c r="I260" s="7" t="inlineStr">
        <is>
          <t>Hayır</t>
        </is>
      </c>
      <c r="J260" s="5" t="inlineStr">
        <is>
          <t>Drive foto</t>
        </is>
      </c>
      <c r="K260" s="5" t="inlineStr">
        <is>
          <t xml:space="preserve"> [güven: high]</t>
        </is>
      </c>
    </row>
    <row r="261" ht="39.6" customHeight="1">
      <c r="A261" s="5" t="inlineStr">
        <is>
          <t>Tare Village Urla</t>
        </is>
      </c>
      <c r="B261" s="5" t="inlineStr">
        <is>
          <t>VSS</t>
        </is>
      </c>
      <c r="C261" s="7" t="n"/>
      <c r="D261" s="6">
        <f>IFERROR(INDEX('Kontrol Adımları'!$D:$D,MATCH(1,INDEX(('Kontrol Adımları'!$A$1:$A$400=B261)*('Kontrol Adımları'!$B$1:$B$400=C261),0),0)),"")</f>
        <v/>
      </c>
      <c r="E261" s="5" t="inlineStr">
        <is>
          <t>dus_kabini</t>
        </is>
      </c>
      <c r="F261" s="6">
        <f>IFERROR(INDEX('Kalem Kataloğu'!$C$1:$C$1000,MATCH(1,INDEX(('Kalem Kataloğu'!$A$1:$A$1000=A261)*('Kalem Kataloğu'!$B$1:$B$1000=E261),0),0)),"?")</f>
        <v/>
      </c>
      <c r="G261" s="6">
        <f>IFERROR(INDEX('Kalem Kataloğu'!$D$1:$D$1000,MATCH(1,INDEX(('Kalem Kataloğu'!$A$1:$A$1000=A261)*('Kalem Kataloğu'!$B$1:$B$1000=E261),0),0)),"?")</f>
        <v/>
      </c>
      <c r="H261" s="7" t="n">
        <v>1</v>
      </c>
      <c r="I261" s="7" t="inlineStr">
        <is>
          <t>Hayır</t>
        </is>
      </c>
      <c r="J261" s="5" t="inlineStr">
        <is>
          <t>Drive foto</t>
        </is>
      </c>
      <c r="K261" s="5" t="inlineStr">
        <is>
          <t>VTS ve VSS kabini daha büyük, buzlu cam [güven: high]</t>
        </is>
      </c>
    </row>
    <row r="262">
      <c r="A262" s="5" t="inlineStr">
        <is>
          <t>Tare Village Urla</t>
        </is>
      </c>
      <c r="B262" s="5" t="inlineStr">
        <is>
          <t>VSS</t>
        </is>
      </c>
      <c r="C262" s="7" t="n"/>
      <c r="D262" s="6">
        <f>IFERROR(INDEX('Kontrol Adımları'!$D:$D,MATCH(1,INDEX(('Kontrol Adımları'!$A$1:$A$400=B262)*('Kontrol Adımları'!$B$1:$B$400=C262),0),0)),"")</f>
        <v/>
      </c>
      <c r="E262" s="5" t="inlineStr">
        <is>
          <t>gardirop</t>
        </is>
      </c>
      <c r="F262" s="6">
        <f>IFERROR(INDEX('Kalem Kataloğu'!$C$1:$C$1000,MATCH(1,INDEX(('Kalem Kataloğu'!$A$1:$A$1000=A262)*('Kalem Kataloğu'!$B$1:$B$1000=E262),0),0)),"?")</f>
        <v/>
      </c>
      <c r="G262" s="6">
        <f>IFERROR(INDEX('Kalem Kataloğu'!$D$1:$D$1000,MATCH(1,INDEX(('Kalem Kataloğu'!$A$1:$A$1000=A262)*('Kalem Kataloğu'!$B$1:$B$1000=E262),0),0)),"?")</f>
        <v/>
      </c>
      <c r="H262" s="7" t="n">
        <v>1</v>
      </c>
      <c r="I262" s="7" t="inlineStr">
        <is>
          <t>Hayır</t>
        </is>
      </c>
      <c r="J262" s="5" t="inlineStr">
        <is>
          <t>Drive foto</t>
        </is>
      </c>
      <c r="K262" s="5" t="inlineStr">
        <is>
          <t xml:space="preserve"> [güven: medium]</t>
        </is>
      </c>
    </row>
    <row r="263">
      <c r="A263" s="5" t="inlineStr">
        <is>
          <t>Tare Village Urla</t>
        </is>
      </c>
      <c r="B263" s="5" t="inlineStr">
        <is>
          <t>VSS</t>
        </is>
      </c>
      <c r="C263" s="7" t="n"/>
      <c r="D263" s="6">
        <f>IFERROR(INDEX('Kontrol Adımları'!$D:$D,MATCH(1,INDEX(('Kontrol Adımları'!$A$1:$A$400=B263)*('Kontrol Adımları'!$B$1:$B$400=C263),0),0)),"")</f>
        <v/>
      </c>
      <c r="E263" s="5" t="inlineStr">
        <is>
          <t>hasir_sepet</t>
        </is>
      </c>
      <c r="F263" s="6">
        <f>IFERROR(INDEX('Kalem Kataloğu'!$C$1:$C$1000,MATCH(1,INDEX(('Kalem Kataloğu'!$A$1:$A$1000=A263)*('Kalem Kataloğu'!$B$1:$B$1000=E263),0),0)),"?")</f>
        <v/>
      </c>
      <c r="G263" s="6">
        <f>IFERROR(INDEX('Kalem Kataloğu'!$D$1:$D$1000,MATCH(1,INDEX(('Kalem Kataloğu'!$A$1:$A$1000=A263)*('Kalem Kataloğu'!$B$1:$B$1000=E263),0),0)),"?")</f>
        <v/>
      </c>
      <c r="H263" s="7" t="n">
        <v>1</v>
      </c>
      <c r="I263" s="7" t="inlineStr">
        <is>
          <t>Hayır</t>
        </is>
      </c>
      <c r="J263" s="5" t="inlineStr">
        <is>
          <t>Drive foto</t>
        </is>
      </c>
      <c r="K263" s="5" t="inlineStr">
        <is>
          <t xml:space="preserve"> [güven: high]</t>
        </is>
      </c>
    </row>
    <row r="264" ht="26.4" customHeight="1">
      <c r="A264" s="5" t="inlineStr">
        <is>
          <t>Tare Village Urla</t>
        </is>
      </c>
      <c r="B264" s="5" t="inlineStr">
        <is>
          <t>VSS</t>
        </is>
      </c>
      <c r="C264" s="7" t="n"/>
      <c r="D264" s="6">
        <f>IFERROR(INDEX('Kontrol Adımları'!$D:$D,MATCH(1,INDEX(('Kontrol Adımları'!$A$1:$A$400=B264)*('Kontrol Adımları'!$B$1:$B$400=C264),0),0)),"")</f>
        <v/>
      </c>
      <c r="E264" s="5" t="inlineStr">
        <is>
          <t>jut_paspas</t>
        </is>
      </c>
      <c r="F264" s="6">
        <f>IFERROR(INDEX('Kalem Kataloğu'!$C$1:$C$1000,MATCH(1,INDEX(('Kalem Kataloğu'!$A$1:$A$1000=A264)*('Kalem Kataloğu'!$B$1:$B$1000=E264),0),0)),"?")</f>
        <v/>
      </c>
      <c r="G264" s="6">
        <f>IFERROR(INDEX('Kalem Kataloğu'!$D$1:$D$1000,MATCH(1,INDEX(('Kalem Kataloğu'!$A$1:$A$1000=A264)*('Kalem Kataloğu'!$B$1:$B$1000=E264),0),0)),"?")</f>
        <v/>
      </c>
      <c r="H264" s="7" t="n">
        <v>1</v>
      </c>
      <c r="I264" s="7" t="inlineStr">
        <is>
          <t>Hayır</t>
        </is>
      </c>
      <c r="J264" s="5" t="inlineStr">
        <is>
          <t>Drive foto</t>
        </is>
      </c>
      <c r="K264" s="5" t="inlineStr">
        <is>
          <t>Görülen adet; tam sayı odada teyit [güven: medium]</t>
        </is>
      </c>
    </row>
    <row r="265" ht="26.4" customHeight="1">
      <c r="A265" s="5" t="inlineStr">
        <is>
          <t>Tare Village Urla</t>
        </is>
      </c>
      <c r="B265" s="5" t="inlineStr">
        <is>
          <t>VSS</t>
        </is>
      </c>
      <c r="C265" s="7" t="n"/>
      <c r="D265" s="6">
        <f>IFERROR(INDEX('Kontrol Adımları'!$D:$D,MATCH(1,INDEX(('Kontrol Adımları'!$A$1:$A$400=B265)*('Kontrol Adımları'!$B$1:$B$400=C265),0),0)),"")</f>
        <v/>
      </c>
      <c r="E265" s="5" t="inlineStr">
        <is>
          <t>dis_masa</t>
        </is>
      </c>
      <c r="F265" s="6">
        <f>IFERROR(INDEX('Kalem Kataloğu'!$C$1:$C$1000,MATCH(1,INDEX(('Kalem Kataloğu'!$A$1:$A$1000=A265)*('Kalem Kataloğu'!$B$1:$B$1000=E265),0),0)),"?")</f>
        <v/>
      </c>
      <c r="G265" s="6">
        <f>IFERROR(INDEX('Kalem Kataloğu'!$D$1:$D$1000,MATCH(1,INDEX(('Kalem Kataloğu'!$A$1:$A$1000=A265)*('Kalem Kataloğu'!$B$1:$B$1000=E265),0),0)),"?")</f>
        <v/>
      </c>
      <c r="H265" s="7" t="n"/>
      <c r="I265" s="7" t="inlineStr">
        <is>
          <t>Hayır</t>
        </is>
      </c>
      <c r="J265" s="5" t="inlineStr">
        <is>
          <t>Drive foto</t>
        </is>
      </c>
      <c r="K265" s="5" t="inlineStr">
        <is>
          <t xml:space="preserve"> [güven: high]</t>
        </is>
      </c>
    </row>
    <row r="266" ht="26.4" customHeight="1">
      <c r="A266" s="5" t="inlineStr">
        <is>
          <t>Tare Village Urla</t>
        </is>
      </c>
      <c r="B266" s="5" t="inlineStr">
        <is>
          <t>VSS</t>
        </is>
      </c>
      <c r="C266" s="7" t="n"/>
      <c r="D266" s="6">
        <f>IFERROR(INDEX('Kontrol Adımları'!$D:$D,MATCH(1,INDEX(('Kontrol Adımları'!$A$1:$A$400=B266)*('Kontrol Adımları'!$B$1:$B$400=C266),0),0)),"")</f>
        <v/>
      </c>
      <c r="E266" s="5" t="inlineStr">
        <is>
          <t>dis_sandalye</t>
        </is>
      </c>
      <c r="F266" s="6">
        <f>IFERROR(INDEX('Kalem Kataloğu'!$C$1:$C$1000,MATCH(1,INDEX(('Kalem Kataloğu'!$A$1:$A$1000=A266)*('Kalem Kataloğu'!$B$1:$B$1000=E266),0),0)),"?")</f>
        <v/>
      </c>
      <c r="G266" s="6">
        <f>IFERROR(INDEX('Kalem Kataloğu'!$D$1:$D$1000,MATCH(1,INDEX(('Kalem Kataloğu'!$A$1:$A$1000=A266)*('Kalem Kataloğu'!$B$1:$B$1000=E266),0),0)),"?")</f>
        <v/>
      </c>
      <c r="H266" s="7" t="n"/>
      <c r="I266" s="7" t="inlineStr">
        <is>
          <t>Hayır</t>
        </is>
      </c>
      <c r="J266" s="5" t="inlineStr">
        <is>
          <t>Drive foto</t>
        </is>
      </c>
      <c r="K266" s="5" t="inlineStr">
        <is>
          <t>VBS 4 sandalye; VTS 2 sandalye + 2 katlanır koltuk [güven: medium]</t>
        </is>
      </c>
    </row>
    <row r="267">
      <c r="A267" s="5" t="inlineStr">
        <is>
          <t>Tare Village Urla</t>
        </is>
      </c>
      <c r="B267" s="5" t="inlineStr">
        <is>
          <t>VSS</t>
        </is>
      </c>
      <c r="C267" s="7" t="n"/>
      <c r="D267" s="6">
        <f>IFERROR(INDEX('Kontrol Adımları'!$D:$D,MATCH(1,INDEX(('Kontrol Adımları'!$A$1:$A$400=B267)*('Kontrol Adımları'!$B$1:$B$400=C267),0),0)),"")</f>
        <v/>
      </c>
      <c r="E267" s="5" t="inlineStr">
        <is>
          <t>dis_katlanir_koltuk</t>
        </is>
      </c>
      <c r="F267" s="6">
        <f>IFERROR(INDEX('Kalem Kataloğu'!$C$1:$C$1000,MATCH(1,INDEX(('Kalem Kataloğu'!$A$1:$A$1000=A267)*('Kalem Kataloğu'!$B$1:$B$1000=E267),0),0)),"?")</f>
        <v/>
      </c>
      <c r="G267" s="6">
        <f>IFERROR(INDEX('Kalem Kataloğu'!$D$1:$D$1000,MATCH(1,INDEX(('Kalem Kataloğu'!$A$1:$A$1000=A267)*('Kalem Kataloğu'!$B$1:$B$1000=E267),0),0)),"?")</f>
        <v/>
      </c>
      <c r="H267" s="7" t="n"/>
      <c r="I267" s="7" t="inlineStr">
        <is>
          <t>Hayır</t>
        </is>
      </c>
      <c r="J267" s="5" t="inlineStr">
        <is>
          <t>Drive foto</t>
        </is>
      </c>
      <c r="K267" s="5" t="inlineStr">
        <is>
          <t xml:space="preserve"> [güven: medium]</t>
        </is>
      </c>
    </row>
    <row r="268" ht="39.6" customHeight="1">
      <c r="A268" s="5" t="inlineStr">
        <is>
          <t>Tare Village Urla</t>
        </is>
      </c>
      <c r="B268" s="5" t="inlineStr">
        <is>
          <t>VSS</t>
        </is>
      </c>
      <c r="C268" s="7" t="n"/>
      <c r="D268" s="6">
        <f>IFERROR(INDEX('Kontrol Adımları'!$D:$D,MATCH(1,INDEX(('Kontrol Adımları'!$A$1:$A$400=B268)*('Kontrol Adımları'!$B$1:$B$400=C268),0),0)),"")</f>
        <v/>
      </c>
      <c r="E268" s="5" t="inlineStr">
        <is>
          <t>kagit_havlu</t>
        </is>
      </c>
      <c r="F268" s="6">
        <f>IFERROR(INDEX('Kalem Kataloğu'!$C$1:$C$1000,MATCH(1,INDEX(('Kalem Kataloğu'!$A$1:$A$1000=A268)*('Kalem Kataloğu'!$B$1:$B$1000=E268),0),0)),"?")</f>
        <v/>
      </c>
      <c r="G268" s="6">
        <f>IFERROR(INDEX('Kalem Kataloğu'!$D$1:$D$1000,MATCH(1,INDEX(('Kalem Kataloğu'!$A$1:$A$1000=A268)*('Kalem Kataloğu'!$B$1:$B$1000=E268),0),0)),"?")</f>
        <v/>
      </c>
      <c r="H268" s="7" t="n">
        <v>2</v>
      </c>
      <c r="I268" s="7" t="inlineStr">
        <is>
          <t>Hayır</t>
        </is>
      </c>
      <c r="J268" s="5" t="inlineStr">
        <is>
          <t>Drive foto</t>
        </is>
      </c>
      <c r="K268" s="5" t="inlineStr">
        <is>
          <t xml:space="preserve"> [güven: medium]</t>
        </is>
      </c>
    </row>
    <row r="269">
      <c r="A269" s="5" t="inlineStr">
        <is>
          <t>Tare Village Urla</t>
        </is>
      </c>
      <c r="B269" s="5" t="inlineStr">
        <is>
          <t>VSS</t>
        </is>
      </c>
      <c r="C269" s="7" t="n"/>
      <c r="D269" s="6">
        <f>IFERROR(INDEX('Kontrol Adımları'!$D:$D,MATCH(1,INDEX(('Kontrol Adımları'!$A$1:$A$400=B269)*('Kontrol Adımları'!$B$1:$B$400=C269),0),0)),"")</f>
        <v/>
      </c>
      <c r="E269" s="5" t="inlineStr">
        <is>
          <t>klima</t>
        </is>
      </c>
      <c r="F269" s="6">
        <f>IFERROR(INDEX('Kalem Kataloğu'!$C$1:$C$1000,MATCH(1,INDEX(('Kalem Kataloğu'!$A$1:$A$1000=A269)*('Kalem Kataloğu'!$B$1:$B$1000=E269),0),0)),"?")</f>
        <v/>
      </c>
      <c r="G269" s="6">
        <f>IFERROR(INDEX('Kalem Kataloğu'!$D$1:$D$1000,MATCH(1,INDEX(('Kalem Kataloğu'!$A$1:$A$1000=A269)*('Kalem Kataloğu'!$B$1:$B$1000=E269),0),0)),"?")</f>
        <v/>
      </c>
      <c r="H269" s="7" t="n">
        <v>1</v>
      </c>
      <c r="I269" s="7" t="inlineStr">
        <is>
          <t>Hayır</t>
        </is>
      </c>
      <c r="J269" s="5" t="inlineStr">
        <is>
          <t>Drive foto</t>
        </is>
      </c>
      <c r="K269" s="5" t="inlineStr">
        <is>
          <t>VGS fotoğrafta görünmüyor [güven: high]</t>
        </is>
      </c>
    </row>
    <row r="270">
      <c r="A270" s="5" t="inlineStr">
        <is>
          <t>Tare Village Urla</t>
        </is>
      </c>
      <c r="B270" s="5" t="inlineStr">
        <is>
          <t>VSS</t>
        </is>
      </c>
      <c r="C270" s="7" t="n"/>
      <c r="D270" s="6">
        <f>IFERROR(INDEX('Kontrol Adımları'!$D:$D,MATCH(1,INDEX(('Kontrol Adımları'!$A$1:$A$400=B270)*('Kontrol Adımları'!$B$1:$B$400=C270),0),0)),"")</f>
        <v/>
      </c>
      <c r="E270" s="5" t="inlineStr">
        <is>
          <t>klozet</t>
        </is>
      </c>
      <c r="F270" s="6">
        <f>IFERROR(INDEX('Kalem Kataloğu'!$C$1:$C$1000,MATCH(1,INDEX(('Kalem Kataloğu'!$A$1:$A$1000=A270)*('Kalem Kataloğu'!$B$1:$B$1000=E270),0),0)),"?")</f>
        <v/>
      </c>
      <c r="G270" s="6">
        <f>IFERROR(INDEX('Kalem Kataloğu'!$D$1:$D$1000,MATCH(1,INDEX(('Kalem Kataloğu'!$A$1:$A$1000=A270)*('Kalem Kataloğu'!$B$1:$B$1000=E270),0),0)),"?")</f>
        <v/>
      </c>
      <c r="H270" s="7" t="n">
        <v>1</v>
      </c>
      <c r="I270" s="7" t="inlineStr">
        <is>
          <t>Hayır</t>
        </is>
      </c>
      <c r="J270" s="5" t="inlineStr">
        <is>
          <t>Drive foto</t>
        </is>
      </c>
      <c r="K270" s="5" t="inlineStr">
        <is>
          <t xml:space="preserve"> [güven: high]</t>
        </is>
      </c>
    </row>
    <row r="271" ht="26.4" customHeight="1">
      <c r="A271" s="5" t="inlineStr">
        <is>
          <t>Tare Village Urla</t>
        </is>
      </c>
      <c r="B271" s="5" t="inlineStr">
        <is>
          <t>VSS</t>
        </is>
      </c>
      <c r="C271" s="7" t="n"/>
      <c r="D271" s="6">
        <f>IFERROR(INDEX('Kontrol Adımları'!$D:$D,MATCH(1,INDEX(('Kontrol Adımları'!$A$1:$A$400=B271)*('Kontrol Adımları'!$B$1:$B$400=C271),0),0)),"")</f>
        <v/>
      </c>
      <c r="E271" s="5" t="inlineStr">
        <is>
          <t>komodin</t>
        </is>
      </c>
      <c r="F271" s="6">
        <f>IFERROR(INDEX('Kalem Kataloğu'!$C$1:$C$1000,MATCH(1,INDEX(('Kalem Kataloğu'!$A$1:$A$1000=A271)*('Kalem Kataloğu'!$B$1:$B$1000=E271),0),0)),"?")</f>
        <v/>
      </c>
      <c r="G271" s="6">
        <f>IFERROR(INDEX('Kalem Kataloğu'!$D$1:$D$1000,MATCH(1,INDEX(('Kalem Kataloğu'!$A$1:$A$1000=A271)*('Kalem Kataloğu'!$B$1:$B$1000=E271),0),0)),"?")</f>
        <v/>
      </c>
      <c r="H271" s="7" t="n">
        <v>2</v>
      </c>
      <c r="I271" s="7" t="inlineStr">
        <is>
          <t>Hayır</t>
        </is>
      </c>
      <c r="J271" s="5" t="inlineStr">
        <is>
          <t>Drive foto</t>
        </is>
      </c>
      <c r="K271" s="5" t="inlineStr">
        <is>
          <t>VBS fotoğrafta tek taraf görünüyor [güven: medium]</t>
        </is>
      </c>
    </row>
    <row r="272">
      <c r="A272" s="5" t="inlineStr">
        <is>
          <t>Tare Village Urla</t>
        </is>
      </c>
      <c r="B272" s="5" t="inlineStr">
        <is>
          <t>VSS</t>
        </is>
      </c>
      <c r="C272" s="7" t="n"/>
      <c r="D272" s="6">
        <f>IFERROR(INDEX('Kontrol Adımları'!$D:$D,MATCH(1,INDEX(('Kontrol Adımları'!$A$1:$A$400=B272)*('Kontrol Adımları'!$B$1:$B$400=C272),0),0)),"")</f>
        <v/>
      </c>
      <c r="E272" s="5" t="inlineStr">
        <is>
          <t>kose_koltuk</t>
        </is>
      </c>
      <c r="F272" s="6">
        <f>IFERROR(INDEX('Kalem Kataloğu'!$C$1:$C$1000,MATCH(1,INDEX(('Kalem Kataloğu'!$A$1:$A$1000=A272)*('Kalem Kataloğu'!$B$1:$B$1000=E272),0),0)),"?")</f>
        <v/>
      </c>
      <c r="G272" s="6">
        <f>IFERROR(INDEX('Kalem Kataloğu'!$D$1:$D$1000,MATCH(1,INDEX(('Kalem Kataloğu'!$A$1:$A$1000=A272)*('Kalem Kataloğu'!$B$1:$B$1000=E272),0),0)),"?")</f>
        <v/>
      </c>
      <c r="H272" s="7" t="n">
        <v>1</v>
      </c>
      <c r="I272" s="7" t="inlineStr">
        <is>
          <t>Hayır</t>
        </is>
      </c>
      <c r="J272" s="5" t="inlineStr">
        <is>
          <t>Drive foto</t>
        </is>
      </c>
      <c r="K272" s="5" t="inlineStr">
        <is>
          <t>VSS ve VTS düz kanepe [güven: high]</t>
        </is>
      </c>
    </row>
    <row r="273">
      <c r="A273" s="5" t="inlineStr">
        <is>
          <t>Tare Village Urla</t>
        </is>
      </c>
      <c r="B273" s="5" t="inlineStr">
        <is>
          <t>VSS</t>
        </is>
      </c>
      <c r="C273" s="7" t="n"/>
      <c r="D273" s="6">
        <f>IFERROR(INDEX('Kontrol Adımları'!$D:$D,MATCH(1,INDEX(('Kontrol Adımları'!$A$1:$A$400=B273)*('Kontrol Adımları'!$B$1:$B$400=C273),0),0)),"")</f>
        <v/>
      </c>
      <c r="E273" s="5" t="inlineStr">
        <is>
          <t>kul_tablasi</t>
        </is>
      </c>
      <c r="F273" s="6">
        <f>IFERROR(INDEX('Kalem Kataloğu'!$C$1:$C$1000,MATCH(1,INDEX(('Kalem Kataloğu'!$A$1:$A$1000=A273)*('Kalem Kataloğu'!$B$1:$B$1000=E273),0),0)),"?")</f>
        <v/>
      </c>
      <c r="G273" s="6">
        <f>IFERROR(INDEX('Kalem Kataloğu'!$D$1:$D$1000,MATCH(1,INDEX(('Kalem Kataloğu'!$A$1:$A$1000=A273)*('Kalem Kataloğu'!$B$1:$B$1000=E273),0),0)),"?")</f>
        <v/>
      </c>
      <c r="H273" s="7" t="n"/>
      <c r="I273" s="7" t="inlineStr">
        <is>
          <t>Hayır</t>
        </is>
      </c>
      <c r="J273" s="5" t="inlineStr">
        <is>
          <t>Drive foto</t>
        </is>
      </c>
      <c r="K273" s="5" t="inlineStr">
        <is>
          <t xml:space="preserve"> [güven: medium]</t>
        </is>
      </c>
    </row>
    <row r="274">
      <c r="A274" s="5" t="inlineStr">
        <is>
          <t>Tare Village Urla</t>
        </is>
      </c>
      <c r="B274" s="5" t="inlineStr">
        <is>
          <t>VSS</t>
        </is>
      </c>
      <c r="C274" s="7" t="n"/>
      <c r="D274" s="6">
        <f>IFERROR(INDEX('Kontrol Adımları'!$D:$D,MATCH(1,INDEX(('Kontrol Adımları'!$A$1:$A$400=B274)*('Kontrol Adımları'!$B$1:$B$400=C274),0),0)),"")</f>
        <v/>
      </c>
      <c r="E274" s="5" t="inlineStr">
        <is>
          <t>mutfak_cop_kovasi</t>
        </is>
      </c>
      <c r="F274" s="6">
        <f>IFERROR(INDEX('Kalem Kataloğu'!$C$1:$C$1000,MATCH(1,INDEX(('Kalem Kataloğu'!$A$1:$A$1000=A274)*('Kalem Kataloğu'!$B$1:$B$1000=E274),0),0)),"?")</f>
        <v/>
      </c>
      <c r="G274" s="6">
        <f>IFERROR(INDEX('Kalem Kataloğu'!$D$1:$D$1000,MATCH(1,INDEX(('Kalem Kataloğu'!$A$1:$A$1000=A274)*('Kalem Kataloğu'!$B$1:$B$1000=E274),0),0)),"?")</f>
        <v/>
      </c>
      <c r="H274" s="7" t="n">
        <v>1</v>
      </c>
      <c r="I274" s="7" t="inlineStr">
        <is>
          <t>Hayır</t>
        </is>
      </c>
      <c r="J274" s="5" t="inlineStr">
        <is>
          <t>Drive foto</t>
        </is>
      </c>
      <c r="K274" s="5" t="inlineStr">
        <is>
          <t xml:space="preserve"> [güven: high]</t>
        </is>
      </c>
    </row>
    <row r="275">
      <c r="A275" s="5" t="inlineStr">
        <is>
          <t>Tare Village Urla</t>
        </is>
      </c>
      <c r="B275" s="5" t="inlineStr">
        <is>
          <t>VSS</t>
        </is>
      </c>
      <c r="C275" s="7" t="n"/>
      <c r="D275" s="6">
        <f>IFERROR(INDEX('Kontrol Adımları'!$D:$D,MATCH(1,INDEX(('Kontrol Adımları'!$A$1:$A$400=B275)*('Kontrol Adımları'!$B$1:$B$400=C275),0),0)),"")</f>
        <v/>
      </c>
      <c r="E275" s="5" t="inlineStr">
        <is>
          <t>ocak</t>
        </is>
      </c>
      <c r="F275" s="6">
        <f>IFERROR(INDEX('Kalem Kataloğu'!$C$1:$C$1000,MATCH(1,INDEX(('Kalem Kataloğu'!$A$1:$A$1000=A275)*('Kalem Kataloğu'!$B$1:$B$1000=E275),0),0)),"?")</f>
        <v/>
      </c>
      <c r="G275" s="6">
        <f>IFERROR(INDEX('Kalem Kataloğu'!$D$1:$D$1000,MATCH(1,INDEX(('Kalem Kataloğu'!$A$1:$A$1000=A275)*('Kalem Kataloğu'!$B$1:$B$1000=E275),0),0)),"?")</f>
        <v/>
      </c>
      <c r="H275" s="7" t="n">
        <v>1</v>
      </c>
      <c r="I275" s="7" t="inlineStr">
        <is>
          <t>Hayır</t>
        </is>
      </c>
      <c r="J275" s="5" t="inlineStr">
        <is>
          <t>Drive foto</t>
        </is>
      </c>
      <c r="K275" s="5" t="inlineStr">
        <is>
          <t>VBS ankastre 2 göz; VSS portatif 2 göz cam ocak [güven: medium]</t>
        </is>
      </c>
    </row>
    <row r="276" ht="39.6" customHeight="1">
      <c r="A276" s="5" t="inlineStr">
        <is>
          <t>Tare Village Urla</t>
        </is>
      </c>
      <c r="B276" s="5" t="inlineStr">
        <is>
          <t>VSS</t>
        </is>
      </c>
      <c r="C276" s="7" t="n"/>
      <c r="D276" s="6">
        <f>IFERROR(INDEX('Kontrol Adımları'!$D:$D,MATCH(1,INDEX(('Kontrol Adımları'!$A$1:$A$400=B276)*('Kontrol Adımları'!$B$1:$B$400=C276),0),0)),"")</f>
        <v/>
      </c>
      <c r="E276" s="5" t="inlineStr">
        <is>
          <t>orta_sehpa</t>
        </is>
      </c>
      <c r="F276" s="6">
        <f>IFERROR(INDEX('Kalem Kataloğu'!$C$1:$C$1000,MATCH(1,INDEX(('Kalem Kataloğu'!$A$1:$A$1000=A276)*('Kalem Kataloğu'!$B$1:$B$1000=E276),0),0)),"?")</f>
        <v/>
      </c>
      <c r="G276" s="6">
        <f>IFERROR(INDEX('Kalem Kataloğu'!$D$1:$D$1000,MATCH(1,INDEX(('Kalem Kataloğu'!$A$1:$A$1000=A276)*('Kalem Kataloğu'!$B$1:$B$1000=E276),0),0)),"?")</f>
        <v/>
      </c>
      <c r="H276" s="7" t="n">
        <v>1</v>
      </c>
      <c r="I276" s="7" t="inlineStr">
        <is>
          <t>Hayır</t>
        </is>
      </c>
      <c r="J276" s="5" t="inlineStr">
        <is>
          <t>Drive foto</t>
        </is>
      </c>
      <c r="K276" s="5" t="inlineStr">
        <is>
          <t xml:space="preserve"> [güven: high]</t>
        </is>
      </c>
    </row>
    <row r="277" ht="26.4" customHeight="1">
      <c r="A277" s="5" t="inlineStr">
        <is>
          <t>Tare Village Urla</t>
        </is>
      </c>
      <c r="B277" s="5" t="inlineStr">
        <is>
          <t>VSS</t>
        </is>
      </c>
      <c r="C277" s="7" t="n"/>
      <c r="D277" s="6">
        <f>IFERROR(INDEX('Kontrol Adımları'!$D:$D,MATCH(1,INDEX(('Kontrol Adımları'!$A$1:$A$400=B277)*('Kontrol Adımları'!$B$1:$B$400=C277),0),0)),"")</f>
        <v/>
      </c>
      <c r="E277" s="5" t="inlineStr">
        <is>
          <t>banyo_cop_kovasi</t>
        </is>
      </c>
      <c r="F277" s="6">
        <f>IFERROR(INDEX('Kalem Kataloğu'!$C$1:$C$1000,MATCH(1,INDEX(('Kalem Kataloğu'!$A$1:$A$1000=A277)*('Kalem Kataloğu'!$B$1:$B$1000=E277),0),0)),"?")</f>
        <v/>
      </c>
      <c r="G277" s="6">
        <f>IFERROR(INDEX('Kalem Kataloğu'!$D$1:$D$1000,MATCH(1,INDEX(('Kalem Kataloğu'!$A$1:$A$1000=A277)*('Kalem Kataloğu'!$B$1:$B$1000=E277),0),0)),"?")</f>
        <v/>
      </c>
      <c r="H277" s="7" t="n"/>
      <c r="I277" s="7" t="inlineStr">
        <is>
          <t>Hayır</t>
        </is>
      </c>
      <c r="J277" s="5" t="inlineStr">
        <is>
          <t>Drive foto</t>
        </is>
      </c>
      <c r="K277" s="5" t="inlineStr">
        <is>
          <t>VGS inox, VBS/VTS siyah [güven: high]</t>
        </is>
      </c>
    </row>
    <row r="278" ht="26.4" customHeight="1">
      <c r="A278" s="5" t="inlineStr">
        <is>
          <t>Tare Village Urla</t>
        </is>
      </c>
      <c r="B278" s="5" t="inlineStr">
        <is>
          <t>VSS</t>
        </is>
      </c>
      <c r="C278" s="7" t="n"/>
      <c r="D278" s="6">
        <f>IFERROR(INDEX('Kontrol Adımları'!$D:$D,MATCH(1,INDEX(('Kontrol Adımları'!$A$1:$A$400=B278)*('Kontrol Adımları'!$B$1:$B$400=C278),0),0)),"")</f>
        <v/>
      </c>
      <c r="E278" s="5" t="inlineStr">
        <is>
          <t>yatak_ortusu</t>
        </is>
      </c>
      <c r="F278" s="6">
        <f>IFERROR(INDEX('Kalem Kataloğu'!$C$1:$C$1000,MATCH(1,INDEX(('Kalem Kataloğu'!$A$1:$A$1000=A278)*('Kalem Kataloğu'!$B$1:$B$1000=E278),0),0)),"?")</f>
        <v/>
      </c>
      <c r="G278" s="6">
        <f>IFERROR(INDEX('Kalem Kataloğu'!$D$1:$D$1000,MATCH(1,INDEX(('Kalem Kataloğu'!$A$1:$A$1000=A278)*('Kalem Kataloğu'!$B$1:$B$1000=E278),0),0)),"?")</f>
        <v/>
      </c>
      <c r="H278" s="7" t="n">
        <v>1</v>
      </c>
      <c r="I278" s="7" t="inlineStr">
        <is>
          <t>Hayır</t>
        </is>
      </c>
      <c r="J278" s="5" t="inlineStr">
        <is>
          <t>Drive foto</t>
        </is>
      </c>
      <c r="K278" s="5" t="inlineStr">
        <is>
          <t xml:space="preserve"> [güven: high]</t>
        </is>
      </c>
    </row>
    <row r="279">
      <c r="A279" s="5" t="inlineStr">
        <is>
          <t>Tare Village Urla</t>
        </is>
      </c>
      <c r="B279" s="5" t="inlineStr">
        <is>
          <t>VSS</t>
        </is>
      </c>
      <c r="C279" s="7" t="n"/>
      <c r="D279" s="6">
        <f>IFERROR(INDEX('Kontrol Adımları'!$D:$D,MATCH(1,INDEX(('Kontrol Adımları'!$A$1:$A$400=B279)*('Kontrol Adımları'!$B$1:$B$400=C279),0),0)),"")</f>
        <v/>
      </c>
      <c r="E279" s="5" t="inlineStr">
        <is>
          <t>tavan_sarkit_lamba</t>
        </is>
      </c>
      <c r="F279" s="6">
        <f>IFERROR(INDEX('Kalem Kataloğu'!$C$1:$C$1000,MATCH(1,INDEX(('Kalem Kataloğu'!$A$1:$A$1000=A279)*('Kalem Kataloğu'!$B$1:$B$1000=E279),0),0)),"?")</f>
        <v/>
      </c>
      <c r="G279" s="6">
        <f>IFERROR(INDEX('Kalem Kataloğu'!$D$1:$D$1000,MATCH(1,INDEX(('Kalem Kataloğu'!$A$1:$A$1000=A279)*('Kalem Kataloğu'!$B$1:$B$1000=E279),0),0)),"?")</f>
        <v/>
      </c>
      <c r="H279" s="7" t="n"/>
      <c r="I279" s="7" t="inlineStr">
        <is>
          <t>Hayır</t>
        </is>
      </c>
      <c r="J279" s="5" t="inlineStr">
        <is>
          <t>Drive foto</t>
        </is>
      </c>
      <c r="K279" s="5" t="inlineStr">
        <is>
          <t xml:space="preserve"> [güven: medium]</t>
        </is>
      </c>
    </row>
    <row r="280">
      <c r="A280" s="5" t="inlineStr">
        <is>
          <t>Tare Village Urla</t>
        </is>
      </c>
      <c r="B280" s="5" t="inlineStr">
        <is>
          <t>VSS</t>
        </is>
      </c>
      <c r="C280" s="7" t="n"/>
      <c r="D280" s="6">
        <f>IFERROR(INDEX('Kontrol Adımları'!$D:$D,MATCH(1,INDEX(('Kontrol Adımları'!$A$1:$A$400=B280)*('Kontrol Adımları'!$B$1:$B$400=C280),0),0)),"")</f>
        <v/>
      </c>
      <c r="E280" s="5" t="inlineStr">
        <is>
          <t>sac_kurutma_makinesi</t>
        </is>
      </c>
      <c r="F280" s="6">
        <f>IFERROR(INDEX('Kalem Kataloğu'!$C$1:$C$1000,MATCH(1,INDEX(('Kalem Kataloğu'!$A$1:$A$1000=A280)*('Kalem Kataloğu'!$B$1:$B$1000=E280),0),0)),"?")</f>
        <v/>
      </c>
      <c r="G280" s="6">
        <f>IFERROR(INDEX('Kalem Kataloğu'!$D$1:$D$1000,MATCH(1,INDEX(('Kalem Kataloğu'!$A$1:$A$1000=A280)*('Kalem Kataloğu'!$B$1:$B$1000=E280),0),0)),"?")</f>
        <v/>
      </c>
      <c r="H280" s="7" t="n">
        <v>1</v>
      </c>
      <c r="I280" s="7" t="inlineStr">
        <is>
          <t>Hayır</t>
        </is>
      </c>
      <c r="J280" s="5" t="inlineStr">
        <is>
          <t>Drive foto</t>
        </is>
      </c>
      <c r="K280" s="5" t="inlineStr">
        <is>
          <t xml:space="preserve"> [güven: high]</t>
        </is>
      </c>
    </row>
    <row r="281" ht="26.4" customHeight="1">
      <c r="A281" s="5" t="inlineStr">
        <is>
          <t>Tare Village Urla</t>
        </is>
      </c>
      <c r="B281" s="5" t="inlineStr">
        <is>
          <t>VSS</t>
        </is>
      </c>
      <c r="C281" s="7" t="n"/>
      <c r="D281" s="6">
        <f>IFERROR(INDEX('Kontrol Adımları'!$D:$D,MATCH(1,INDEX(('Kontrol Adımları'!$A$1:$A$400=B281)*('Kontrol Adımları'!$B$1:$B$400=C281),0),0)),"")</f>
        <v/>
      </c>
      <c r="E281" s="5" t="inlineStr">
        <is>
          <t>tv</t>
        </is>
      </c>
      <c r="F281" s="6">
        <f>IFERROR(INDEX('Kalem Kataloğu'!$C$1:$C$1000,MATCH(1,INDEX(('Kalem Kataloğu'!$A$1:$A$1000=A281)*('Kalem Kataloğu'!$B$1:$B$1000=E281),0),0)),"?")</f>
        <v/>
      </c>
      <c r="G281" s="6">
        <f>IFERROR(INDEX('Kalem Kataloğu'!$D$1:$D$1000,MATCH(1,INDEX(('Kalem Kataloğu'!$A$1:$A$1000=A281)*('Kalem Kataloğu'!$B$1:$B$1000=E281),0),0)),"?")</f>
        <v/>
      </c>
      <c r="H281" s="7" t="n">
        <v>1</v>
      </c>
      <c r="I281" s="7" t="inlineStr">
        <is>
          <t>Hayır</t>
        </is>
      </c>
      <c r="J281" s="5" t="inlineStr">
        <is>
          <t>Drive foto</t>
        </is>
      </c>
      <c r="K281" s="5" t="inlineStr">
        <is>
          <t>VBS/VSS duvar tipi, VTS ayaklı [güven: high]</t>
        </is>
      </c>
    </row>
    <row r="282" ht="26.4" customHeight="1">
      <c r="A282" s="5" t="inlineStr">
        <is>
          <t>Tare Village Urla</t>
        </is>
      </c>
      <c r="B282" s="5" t="inlineStr">
        <is>
          <t>VSS</t>
        </is>
      </c>
      <c r="C282" s="7" t="n"/>
      <c r="D282" s="6">
        <f>IFERROR(INDEX('Kontrol Adımları'!$D:$D,MATCH(1,INDEX(('Kontrol Adımları'!$A$1:$A$400=B282)*('Kontrol Adımları'!$B$1:$B$400=C282),0),0)),"")</f>
        <v/>
      </c>
      <c r="E282" s="5" t="inlineStr">
        <is>
          <t>tv_kumandasi</t>
        </is>
      </c>
      <c r="F282" s="6">
        <f>IFERROR(INDEX('Kalem Kataloğu'!$C$1:$C$1000,MATCH(1,INDEX(('Kalem Kataloğu'!$A$1:$A$1000=A282)*('Kalem Kataloğu'!$B$1:$B$1000=E282),0),0)),"?")</f>
        <v/>
      </c>
      <c r="G282" s="6">
        <f>IFERROR(INDEX('Kalem Kataloğu'!$D$1:$D$1000,MATCH(1,INDEX(('Kalem Kataloğu'!$A$1:$A$1000=A282)*('Kalem Kataloğu'!$B$1:$B$1000=E282),0),0)),"?")</f>
        <v/>
      </c>
      <c r="H282" s="7" t="n"/>
      <c r="I282" s="7" t="inlineStr">
        <is>
          <t>Hayır</t>
        </is>
      </c>
      <c r="J282" s="5" t="inlineStr">
        <is>
          <t>Drive foto</t>
        </is>
      </c>
      <c r="K282" s="5" t="inlineStr">
        <is>
          <t xml:space="preserve"> [güven: medium]</t>
        </is>
      </c>
    </row>
    <row r="283">
      <c r="A283" s="5" t="inlineStr">
        <is>
          <t>Tare Village Urla</t>
        </is>
      </c>
      <c r="B283" s="5" t="inlineStr">
        <is>
          <t>VSS</t>
        </is>
      </c>
      <c r="C283" s="7" t="n"/>
      <c r="D283" s="6">
        <f>IFERROR(INDEX('Kontrol Adımları'!$D:$D,MATCH(1,INDEX(('Kontrol Adımları'!$A$1:$A$400=B283)*('Kontrol Adımları'!$B$1:$B$400=C283),0),0)),"")</f>
        <v/>
      </c>
      <c r="E283" s="5" t="inlineStr">
        <is>
          <t>tablo</t>
        </is>
      </c>
      <c r="F283" s="6">
        <f>IFERROR(INDEX('Kalem Kataloğu'!$C$1:$C$1000,MATCH(1,INDEX(('Kalem Kataloğu'!$A$1:$A$1000=A283)*('Kalem Kataloğu'!$B$1:$B$1000=E283),0),0)),"?")</f>
        <v/>
      </c>
      <c r="G283" s="6">
        <f>IFERROR(INDEX('Kalem Kataloğu'!$D$1:$D$1000,MATCH(1,INDEX(('Kalem Kataloğu'!$A$1:$A$1000=A283)*('Kalem Kataloğu'!$B$1:$B$1000=E283),0),0)),"?")</f>
        <v/>
      </c>
      <c r="H283" s="7" t="n">
        <v>1</v>
      </c>
      <c r="I283" s="7" t="inlineStr">
        <is>
          <t>Hayır</t>
        </is>
      </c>
      <c r="J283" s="5" t="inlineStr">
        <is>
          <t>Drive foto</t>
        </is>
      </c>
      <c r="K283" s="5" t="inlineStr">
        <is>
          <t xml:space="preserve"> [güven: medium]</t>
        </is>
      </c>
    </row>
    <row r="284">
      <c r="A284" s="5" t="inlineStr">
        <is>
          <t>Tare Village Urla</t>
        </is>
      </c>
      <c r="B284" s="5" t="inlineStr">
        <is>
          <t>VSS</t>
        </is>
      </c>
      <c r="C284" s="7" t="n"/>
      <c r="D284" s="6">
        <f>IFERROR(INDEX('Kontrol Adımları'!$D:$D,MATCH(1,INDEX(('Kontrol Adımları'!$A$1:$A$400=B284)*('Kontrol Adımları'!$B$1:$B$400=C284),0),0)),"")</f>
        <v/>
      </c>
      <c r="E284" s="5" t="inlineStr">
        <is>
          <t>lavabo_tas_canak</t>
        </is>
      </c>
      <c r="F284" s="6">
        <f>IFERROR(INDEX('Kalem Kataloğu'!$C$1:$C$1000,MATCH(1,INDEX(('Kalem Kataloğu'!$A$1:$A$1000=A284)*('Kalem Kataloğu'!$B$1:$B$1000=E284),0),0)),"?")</f>
        <v/>
      </c>
      <c r="G284" s="6">
        <f>IFERROR(INDEX('Kalem Kataloğu'!$D$1:$D$1000,MATCH(1,INDEX(('Kalem Kataloğu'!$A$1:$A$1000=A284)*('Kalem Kataloğu'!$B$1:$B$1000=E284),0),0)),"?")</f>
        <v/>
      </c>
      <c r="H284" s="7" t="n">
        <v>1</v>
      </c>
      <c r="I284" s="7" t="inlineStr">
        <is>
          <t>Hayır</t>
        </is>
      </c>
      <c r="J284" s="5" t="inlineStr">
        <is>
          <t>Drive foto</t>
        </is>
      </c>
      <c r="K284" s="5" t="inlineStr">
        <is>
          <t>Tüm odalarda aynı model [güven: high]</t>
        </is>
      </c>
    </row>
    <row r="285">
      <c r="A285" s="5" t="inlineStr">
        <is>
          <t>Tare Village Urla</t>
        </is>
      </c>
      <c r="B285" s="5" t="inlineStr">
        <is>
          <t>VSS</t>
        </is>
      </c>
      <c r="C285" s="7" t="n"/>
      <c r="D285" s="6">
        <f>IFERROR(INDEX('Kontrol Adımları'!$D:$D,MATCH(1,INDEX(('Kontrol Adımları'!$A$1:$A$400=B285)*('Kontrol Adımları'!$B$1:$B$400=C285),0),0)),"")</f>
        <v/>
      </c>
      <c r="E285" s="5" t="inlineStr">
        <is>
          <t>tel_sandalye</t>
        </is>
      </c>
      <c r="F285" s="6">
        <f>IFERROR(INDEX('Kalem Kataloğu'!$C$1:$C$1000,MATCH(1,INDEX(('Kalem Kataloğu'!$A$1:$A$1000=A285)*('Kalem Kataloğu'!$B$1:$B$1000=E285),0),0)),"?")</f>
        <v/>
      </c>
      <c r="G285" s="6">
        <f>IFERROR(INDEX('Kalem Kataloğu'!$D$1:$D$1000,MATCH(1,INDEX(('Kalem Kataloğu'!$A$1:$A$1000=A285)*('Kalem Kataloğu'!$B$1:$B$1000=E285),0),0)),"?")</f>
        <v/>
      </c>
      <c r="H285" s="7" t="n"/>
      <c r="I285" s="7" t="inlineStr">
        <is>
          <t>Hayır</t>
        </is>
      </c>
      <c r="J285" s="5" t="inlineStr">
        <is>
          <t>Drive foto</t>
        </is>
      </c>
      <c r="K285" s="5" t="inlineStr">
        <is>
          <t xml:space="preserve"> [güven: high]</t>
        </is>
      </c>
    </row>
    <row r="286">
      <c r="A286" s="5" t="inlineStr">
        <is>
          <t>Tare Village Urla</t>
        </is>
      </c>
      <c r="B286" s="5" t="inlineStr">
        <is>
          <t>VSS</t>
        </is>
      </c>
      <c r="C286" s="7" t="n"/>
      <c r="D286" s="6">
        <f>IFERROR(INDEX('Kontrol Adımları'!$D:$D,MATCH(1,INDEX(('Kontrol Adımları'!$A$1:$A$400=B286)*('Kontrol Adımları'!$B$1:$B$400=C286),0),0)),"")</f>
        <v/>
      </c>
      <c r="E286" s="5" t="inlineStr">
        <is>
          <t>tuvalet_kagidi_aparati</t>
        </is>
      </c>
      <c r="F286" s="6">
        <f>IFERROR(INDEX('Kalem Kataloğu'!$C$1:$C$1000,MATCH(1,INDEX(('Kalem Kataloğu'!$A$1:$A$1000=A286)*('Kalem Kataloğu'!$B$1:$B$1000=E286),0),0)),"?")</f>
        <v/>
      </c>
      <c r="G286" s="6">
        <f>IFERROR(INDEX('Kalem Kataloğu'!$D$1:$D$1000,MATCH(1,INDEX(('Kalem Kataloğu'!$A$1:$A$1000=A286)*('Kalem Kataloğu'!$B$1:$B$1000=E286),0),0)),"?")</f>
        <v/>
      </c>
      <c r="H286" s="7" t="n"/>
      <c r="I286" s="7" t="inlineStr">
        <is>
          <t>Hayır</t>
        </is>
      </c>
      <c r="J286" s="5" t="inlineStr">
        <is>
          <t>Drive foto</t>
        </is>
      </c>
      <c r="K286" s="5" t="inlineStr">
        <is>
          <t>VSS fotoğrafta görünmüyor [güven: high]</t>
        </is>
      </c>
    </row>
    <row r="287" ht="39.6" customHeight="1">
      <c r="A287" s="5" t="inlineStr">
        <is>
          <t>Tare Village Urla</t>
        </is>
      </c>
      <c r="B287" s="5" t="inlineStr">
        <is>
          <t>VSS</t>
        </is>
      </c>
      <c r="C287" s="7" t="n"/>
      <c r="D287" s="6">
        <f>IFERROR(INDEX('Kontrol Adımları'!$D:$D,MATCH(1,INDEX(('Kontrol Adımları'!$A$1:$A$400=B287)*('Kontrol Adımları'!$B$1:$B$400=C287),0),0)),"")</f>
        <v/>
      </c>
      <c r="E287" s="5" t="inlineStr">
        <is>
          <t>wc_fircasi</t>
        </is>
      </c>
      <c r="F287" s="6">
        <f>IFERROR(INDEX('Kalem Kataloğu'!$C$1:$C$1000,MATCH(1,INDEX(('Kalem Kataloğu'!$A$1:$A$1000=A287)*('Kalem Kataloğu'!$B$1:$B$1000=E287),0),0)),"?")</f>
        <v/>
      </c>
      <c r="G287" s="6">
        <f>IFERROR(INDEX('Kalem Kataloğu'!$D$1:$D$1000,MATCH(1,INDEX(('Kalem Kataloğu'!$A$1:$A$1000=A287)*('Kalem Kataloğu'!$B$1:$B$1000=E287),0),0)),"?")</f>
        <v/>
      </c>
      <c r="H287" s="7" t="n"/>
      <c r="I287" s="7" t="inlineStr">
        <is>
          <t>Hayır</t>
        </is>
      </c>
      <c r="J287" s="5" t="inlineStr">
        <is>
          <t>Drive foto</t>
        </is>
      </c>
      <c r="K287" s="5" t="inlineStr">
        <is>
          <t xml:space="preserve"> [güven: medium]</t>
        </is>
      </c>
    </row>
    <row r="288">
      <c r="A288" s="5" t="inlineStr">
        <is>
          <t>Tare Village Urla</t>
        </is>
      </c>
      <c r="B288" s="5" t="inlineStr">
        <is>
          <t>VSS</t>
        </is>
      </c>
      <c r="C288" s="7" t="n"/>
      <c r="D288" s="6">
        <f>IFERROR(INDEX('Kontrol Adımları'!$D:$D,MATCH(1,INDEX(('Kontrol Adımları'!$A$1:$A$400=B288)*('Kontrol Adımları'!$B$1:$B$400=C288),0),0)),"")</f>
        <v/>
      </c>
      <c r="E288" s="5" t="inlineStr">
        <is>
          <t>yangin_sondurucu</t>
        </is>
      </c>
      <c r="F288" s="6">
        <f>IFERROR(INDEX('Kalem Kataloğu'!$C$1:$C$1000,MATCH(1,INDEX(('Kalem Kataloğu'!$A$1:$A$1000=A288)*('Kalem Kataloğu'!$B$1:$B$1000=E288),0),0)),"?")</f>
        <v/>
      </c>
      <c r="G288" s="6">
        <f>IFERROR(INDEX('Kalem Kataloğu'!$D$1:$D$1000,MATCH(1,INDEX(('Kalem Kataloğu'!$A$1:$A$1000=A288)*('Kalem Kataloğu'!$B$1:$B$1000=E288),0),0)),"?")</f>
        <v/>
      </c>
      <c r="H288" s="7" t="n"/>
      <c r="I288" s="7" t="inlineStr">
        <is>
          <t>Hayır</t>
        </is>
      </c>
      <c r="J288" s="5" t="inlineStr">
        <is>
          <t>Drive foto</t>
        </is>
      </c>
      <c r="K288" s="5" t="inlineStr">
        <is>
          <t xml:space="preserve"> [güven: high]</t>
        </is>
      </c>
    </row>
    <row r="289">
      <c r="A289" s="5" t="inlineStr">
        <is>
          <t>Tare Village Urla</t>
        </is>
      </c>
      <c r="B289" s="5" t="inlineStr">
        <is>
          <t>VSS</t>
        </is>
      </c>
      <c r="C289" s="7" t="n"/>
      <c r="D289" s="6">
        <f>IFERROR(INDEX('Kontrol Adımları'!$D:$D,MATCH(1,INDEX(('Kontrol Adımları'!$A$1:$A$400=B289)*('Kontrol Adımları'!$B$1:$B$400=C289),0),0)),"")</f>
        <v/>
      </c>
      <c r="E289" s="5" t="inlineStr">
        <is>
          <t>saksi_bitki</t>
        </is>
      </c>
      <c r="F289" s="6">
        <f>IFERROR(INDEX('Kalem Kataloğu'!$C$1:$C$1000,MATCH(1,INDEX(('Kalem Kataloğu'!$A$1:$A$1000=A289)*('Kalem Kataloğu'!$B$1:$B$1000=E289),0),0)),"?")</f>
        <v/>
      </c>
      <c r="G289" s="6">
        <f>IFERROR(INDEX('Kalem Kataloğu'!$D$1:$D$1000,MATCH(1,INDEX(('Kalem Kataloğu'!$A$1:$A$1000=A289)*('Kalem Kataloğu'!$B$1:$B$1000=E289),0),0)),"?")</f>
        <v/>
      </c>
      <c r="H289" s="7" t="n">
        <v>1</v>
      </c>
      <c r="I289" s="7" t="inlineStr">
        <is>
          <t>Hayır</t>
        </is>
      </c>
      <c r="J289" s="5" t="inlineStr">
        <is>
          <t>Drive foto</t>
        </is>
      </c>
      <c r="K289" s="5" t="inlineStr">
        <is>
          <t>VTS bitkisi merdiven sahanlığında [güven: medium]</t>
        </is>
      </c>
    </row>
    <row r="290" ht="26.4" customHeight="1">
      <c r="A290" s="5" t="inlineStr">
        <is>
          <t>Tare Village Urla</t>
        </is>
      </c>
      <c r="B290" s="5" t="inlineStr">
        <is>
          <t>VSS</t>
        </is>
      </c>
      <c r="C290" s="7" t="n"/>
      <c r="D290" s="6">
        <f>IFERROR(INDEX('Kontrol Adımları'!$D:$D,MATCH(1,INDEX(('Kontrol Adımları'!$A$1:$A$400=B290)*('Kontrol Adımları'!$B$1:$B$400=C290),0),0)),"")</f>
        <v/>
      </c>
      <c r="E290" s="5" t="inlineStr">
        <is>
          <t>yastik</t>
        </is>
      </c>
      <c r="F290" s="6">
        <f>IFERROR(INDEX('Kalem Kataloğu'!$C$1:$C$1000,MATCH(1,INDEX(('Kalem Kataloğu'!$A$1:$A$1000=A290)*('Kalem Kataloğu'!$B$1:$B$1000=E290),0),0)),"?")</f>
        <v/>
      </c>
      <c r="G290" s="6">
        <f>IFERROR(INDEX('Kalem Kataloğu'!$D$1:$D$1000,MATCH(1,INDEX(('Kalem Kataloğu'!$A$1:$A$1000=A290)*('Kalem Kataloğu'!$B$1:$B$1000=E290),0),0)),"?")</f>
        <v/>
      </c>
      <c r="H290" s="7" t="n">
        <v>2</v>
      </c>
      <c r="I290" s="7" t="inlineStr">
        <is>
          <t>Hayır</t>
        </is>
      </c>
      <c r="J290" s="5" t="inlineStr">
        <is>
          <t>Drive foto</t>
        </is>
      </c>
      <c r="K290" s="5" t="inlineStr">
        <is>
          <t xml:space="preserve"> [güven: high]</t>
        </is>
      </c>
    </row>
    <row r="291" ht="26.4" customHeight="1">
      <c r="A291" s="5" t="inlineStr">
        <is>
          <t>Tare Village Urla</t>
        </is>
      </c>
      <c r="B291" s="5" t="inlineStr">
        <is>
          <t>VSS</t>
        </is>
      </c>
      <c r="C291" s="7" t="n"/>
      <c r="D291" s="6">
        <f>IFERROR(INDEX('Kontrol Adımları'!$D:$D,MATCH(1,INDEX(('Kontrol Adımları'!$A$1:$A$400=B291)*('Kontrol Adımları'!$B$1:$B$400=C291),0),0)),"")</f>
        <v/>
      </c>
      <c r="E291" s="5" t="inlineStr">
        <is>
          <t>yedek_tuvalet_kagidi</t>
        </is>
      </c>
      <c r="F291" s="6">
        <f>IFERROR(INDEX('Kalem Kataloğu'!$C$1:$C$1000,MATCH(1,INDEX(('Kalem Kataloğu'!$A$1:$A$1000=A291)*('Kalem Kataloğu'!$B$1:$B$1000=E291),0),0)),"?")</f>
        <v/>
      </c>
      <c r="G291" s="6">
        <f>IFERROR(INDEX('Kalem Kataloğu'!$D$1:$D$1000,MATCH(1,INDEX(('Kalem Kataloğu'!$A$1:$A$1000=A291)*('Kalem Kataloğu'!$B$1:$B$1000=E291),0),0)),"?")</f>
        <v/>
      </c>
      <c r="H291" s="7" t="n"/>
      <c r="I291" s="7" t="inlineStr">
        <is>
          <t>Hayır</t>
        </is>
      </c>
      <c r="J291" s="5" t="inlineStr">
        <is>
          <t>Drive foto</t>
        </is>
      </c>
      <c r="K291" s="5" t="inlineStr">
        <is>
          <t xml:space="preserve"> [güven: medium]</t>
        </is>
      </c>
    </row>
    <row r="292" ht="26.4" customHeight="1">
      <c r="A292" s="5" t="inlineStr">
        <is>
          <t>Tare Village Urla</t>
        </is>
      </c>
      <c r="B292" s="5" t="inlineStr">
        <is>
          <t>VSS</t>
        </is>
      </c>
      <c r="C292" s="7" t="n"/>
      <c r="D292" s="6">
        <f>IFERROR(INDEX('Kontrol Adımları'!$D:$D,MATCH(1,INDEX(('Kontrol Adımları'!$A$1:$A$400=B292)*('Kontrol Adımları'!$B$1:$B$400=C292),0),0)),"")</f>
        <v/>
      </c>
      <c r="E292" s="5" t="inlineStr">
        <is>
          <t>yemek_masasi</t>
        </is>
      </c>
      <c r="F292" s="6">
        <f>IFERROR(INDEX('Kalem Kataloğu'!$C$1:$C$1000,MATCH(1,INDEX(('Kalem Kataloğu'!$A$1:$A$1000=A292)*('Kalem Kataloğu'!$B$1:$B$1000=E292),0),0)),"?")</f>
        <v/>
      </c>
      <c r="G292" s="6">
        <f>IFERROR(INDEX('Kalem Kataloğu'!$D$1:$D$1000,MATCH(1,INDEX(('Kalem Kataloğu'!$A$1:$A$1000=A292)*('Kalem Kataloğu'!$B$1:$B$1000=E292),0),0)),"?")</f>
        <v/>
      </c>
      <c r="H292" s="7" t="n"/>
      <c r="I292" s="7" t="inlineStr">
        <is>
          <t>Hayır</t>
        </is>
      </c>
      <c r="J292" s="5" t="inlineStr">
        <is>
          <t>Drive foto</t>
        </is>
      </c>
      <c r="K292" s="5" t="inlineStr">
        <is>
          <t>VTS: masa + bank + 2 tel sandalye [güven: high]</t>
        </is>
      </c>
    </row>
    <row r="293">
      <c r="A293" s="5" t="inlineStr">
        <is>
          <t>Tare Village Urla</t>
        </is>
      </c>
      <c r="B293" s="5" t="inlineStr">
        <is>
          <t>VSS</t>
        </is>
      </c>
      <c r="C293" s="7" t="n"/>
      <c r="D293" s="6">
        <f>IFERROR(INDEX('Kontrol Adımları'!$D:$D,MATCH(1,INDEX(('Kontrol Adımları'!$A$1:$A$400=B293)*('Kontrol Adımları'!$B$1:$B$400=C293),0),0)),"")</f>
        <v/>
      </c>
      <c r="E293" s="5" t="inlineStr">
        <is>
          <t>ayna_yuvarlak</t>
        </is>
      </c>
      <c r="F293" s="6">
        <f>IFERROR(INDEX('Kalem Kataloğu'!$C$1:$C$1000,MATCH(1,INDEX(('Kalem Kataloğu'!$A$1:$A$1000=A293)*('Kalem Kataloğu'!$B$1:$B$1000=E293),0),0)),"?")</f>
        <v/>
      </c>
      <c r="G293" s="6">
        <f>IFERROR(INDEX('Kalem Kataloğu'!$D$1:$D$1000,MATCH(1,INDEX(('Kalem Kataloğu'!$A$1:$A$1000=A293)*('Kalem Kataloğu'!$B$1:$B$1000=E293),0),0)),"?")</f>
        <v/>
      </c>
      <c r="H293" s="7" t="n">
        <v>1</v>
      </c>
      <c r="I293" s="7" t="inlineStr">
        <is>
          <t>Hayır</t>
        </is>
      </c>
      <c r="J293" s="5" t="inlineStr">
        <is>
          <t>Drive foto</t>
        </is>
      </c>
      <c r="K293" s="5" t="inlineStr">
        <is>
          <t xml:space="preserve"> [güven: high]</t>
        </is>
      </c>
    </row>
    <row r="294" ht="39.6" customHeight="1">
      <c r="A294" s="5" t="inlineStr">
        <is>
          <t>Tare Village Urla</t>
        </is>
      </c>
      <c r="B294" s="5" t="inlineStr">
        <is>
          <t>VSS</t>
        </is>
      </c>
      <c r="C294" s="7" t="n"/>
      <c r="D294" s="6">
        <f>IFERROR(INDEX('Kontrol Adımları'!$D:$D,MATCH(1,INDEX(('Kontrol Adımları'!$A$1:$A$400=B294)*('Kontrol Adımları'!$B$1:$B$400=C294),0),0)),"")</f>
        <v/>
      </c>
      <c r="E294" s="5" t="inlineStr">
        <is>
          <t>cift_kisilik_yatak</t>
        </is>
      </c>
      <c r="F294" s="6">
        <f>IFERROR(INDEX('Kalem Kataloğu'!$C$1:$C$1000,MATCH(1,INDEX(('Kalem Kataloğu'!$A$1:$A$1000=A294)*('Kalem Kataloğu'!$B$1:$B$1000=E294),0),0)),"?")</f>
        <v/>
      </c>
      <c r="G294" s="6">
        <f>IFERROR(INDEX('Kalem Kataloğu'!$D$1:$D$1000,MATCH(1,INDEX(('Kalem Kataloğu'!$A$1:$A$1000=A294)*('Kalem Kataloğu'!$B$1:$B$1000=E294),0),0)),"?")</f>
        <v/>
      </c>
      <c r="H294" s="7" t="n">
        <v>1</v>
      </c>
      <c r="I294" s="7" t="inlineStr">
        <is>
          <t>Hayır</t>
        </is>
      </c>
      <c r="J294" s="5" t="inlineStr">
        <is>
          <t>Drive foto</t>
        </is>
      </c>
      <c r="K294" s="5" t="inlineStr">
        <is>
          <t xml:space="preserve"> [güven: high]</t>
        </is>
      </c>
    </row>
    <row r="295">
      <c r="A295" s="5" t="inlineStr">
        <is>
          <t>Tare Village Urla</t>
        </is>
      </c>
      <c r="B295" s="5" t="inlineStr">
        <is>
          <t>VSS</t>
        </is>
      </c>
      <c r="C295" s="7" t="n"/>
      <c r="D295" s="6">
        <f>IFERROR(INDEX('Kontrol Adımları'!$D:$D,MATCH(1,INDEX(('Kontrol Adımları'!$A$1:$A$400=B295)*('Kontrol Adımları'!$B$1:$B$400=C295),0),0)),"")</f>
        <v/>
      </c>
      <c r="E295" s="5" t="inlineStr">
        <is>
          <t>sivi_sabun_dispenseri</t>
        </is>
      </c>
      <c r="F295" s="6">
        <f>IFERROR(INDEX('Kalem Kataloğu'!$C$1:$C$1000,MATCH(1,INDEX(('Kalem Kataloğu'!$A$1:$A$1000=A295)*('Kalem Kataloğu'!$B$1:$B$1000=E295),0),0)),"?")</f>
        <v/>
      </c>
      <c r="G295" s="6">
        <f>IFERROR(INDEX('Kalem Kataloğu'!$D$1:$D$1000,MATCH(1,INDEX(('Kalem Kataloğu'!$A$1:$A$1000=A295)*('Kalem Kataloğu'!$B$1:$B$1000=E295),0),0)),"?")</f>
        <v/>
      </c>
      <c r="H295" s="7" t="n"/>
      <c r="I295" s="7" t="inlineStr">
        <is>
          <t>Hayır</t>
        </is>
      </c>
      <c r="J295" s="5" t="inlineStr">
        <is>
          <t>Drive foto</t>
        </is>
      </c>
      <c r="K295" s="5" t="inlineStr">
        <is>
          <t>Diğer odalarda kadrajda yok [güven: medium]</t>
        </is>
      </c>
    </row>
    <row r="296">
      <c r="A296" s="5" t="inlineStr">
        <is>
          <t>Tare Village Urla</t>
        </is>
      </c>
      <c r="B296" s="5" t="inlineStr">
        <is>
          <t>VSS</t>
        </is>
      </c>
      <c r="C296" s="7" t="n"/>
      <c r="D296" s="6">
        <f>IFERROR(INDEX('Kontrol Adımları'!$D:$D,MATCH(1,INDEX(('Kontrol Adımları'!$A$1:$A$400=B296)*('Kontrol Adımları'!$B$1:$B$400=C296),0),0)),"")</f>
        <v/>
      </c>
      <c r="E296" s="5" t="inlineStr">
        <is>
          <t>sifonyer</t>
        </is>
      </c>
      <c r="F296" s="6">
        <f>IFERROR(INDEX('Kalem Kataloğu'!$C$1:$C$1000,MATCH(1,INDEX(('Kalem Kataloğu'!$A$1:$A$1000=A296)*('Kalem Kataloğu'!$B$1:$B$1000=E296),0),0)),"?")</f>
        <v/>
      </c>
      <c r="G296" s="6">
        <f>IFERROR(INDEX('Kalem Kataloğu'!$D$1:$D$1000,MATCH(1,INDEX(('Kalem Kataloğu'!$A$1:$A$1000=A296)*('Kalem Kataloğu'!$B$1:$B$1000=E296),0),0)),"?")</f>
        <v/>
      </c>
      <c r="H296" s="7" t="n">
        <v>1</v>
      </c>
      <c r="I296" s="7" t="inlineStr">
        <is>
          <t>Hayır</t>
        </is>
      </c>
      <c r="J296" s="5" t="inlineStr">
        <is>
          <t>Drive foto</t>
        </is>
      </c>
      <c r="K296" s="5" t="inlineStr">
        <is>
          <t xml:space="preserve"> [güven: medium]</t>
        </is>
      </c>
    </row>
    <row r="297" ht="26.4" customHeight="1">
      <c r="A297" s="5" t="inlineStr">
        <is>
          <t>Tare Village Urla</t>
        </is>
      </c>
      <c r="B297" s="5" t="inlineStr">
        <is>
          <t>VTS</t>
        </is>
      </c>
      <c r="C297" s="7" t="n"/>
      <c r="D297" s="6">
        <f>IFERROR(INDEX('Kontrol Adımları'!$D:$D,MATCH(1,INDEX(('Kontrol Adımları'!$A$1:$A$400=B297)*('Kontrol Adımları'!$B$1:$B$400=C297),0),0)),"")</f>
        <v/>
      </c>
      <c r="E297" s="5" t="inlineStr">
        <is>
          <t>bank</t>
        </is>
      </c>
      <c r="F297" s="6">
        <f>IFERROR(INDEX('Kalem Kataloğu'!$C$1:$C$1000,MATCH(1,INDEX(('Kalem Kataloğu'!$A$1:$A$1000=A297)*('Kalem Kataloğu'!$B$1:$B$1000=E297),0),0)),"?")</f>
        <v/>
      </c>
      <c r="G297" s="6">
        <f>IFERROR(INDEX('Kalem Kataloğu'!$D$1:$D$1000,MATCH(1,INDEX(('Kalem Kataloğu'!$A$1:$A$1000=A297)*('Kalem Kataloğu'!$B$1:$B$1000=E297),0),0)),"?")</f>
        <v/>
      </c>
      <c r="H297" s="7" t="n">
        <v>1</v>
      </c>
      <c r="I297" s="7" t="inlineStr">
        <is>
          <t>Hayır</t>
        </is>
      </c>
      <c r="J297" s="5" t="inlineStr">
        <is>
          <t>Drive foto</t>
        </is>
      </c>
      <c r="K297" s="5" t="inlineStr">
        <is>
          <t xml:space="preserve"> [güven: high]</t>
        </is>
      </c>
    </row>
    <row r="298">
      <c r="A298" s="5" t="inlineStr">
        <is>
          <t>Tare Village Urla</t>
        </is>
      </c>
      <c r="B298" s="5" t="inlineStr">
        <is>
          <t>VTS</t>
        </is>
      </c>
      <c r="C298" s="7" t="n"/>
      <c r="D298" s="6">
        <f>IFERROR(INDEX('Kontrol Adımları'!$D:$D,MATCH(1,INDEX(('Kontrol Adımları'!$A$1:$A$400=B298)*('Kontrol Adımları'!$B$1:$B$400=C298),0),0)),"")</f>
        <v/>
      </c>
      <c r="E298" s="5" t="inlineStr">
        <is>
          <t>ankastre_firin</t>
        </is>
      </c>
      <c r="F298" s="6">
        <f>IFERROR(INDEX('Kalem Kataloğu'!$C$1:$C$1000,MATCH(1,INDEX(('Kalem Kataloğu'!$A$1:$A$1000=A298)*('Kalem Kataloğu'!$B$1:$B$1000=E298),0),0)),"?")</f>
        <v/>
      </c>
      <c r="G298" s="6">
        <f>IFERROR(INDEX('Kalem Kataloğu'!$D$1:$D$1000,MATCH(1,INDEX(('Kalem Kataloğu'!$A$1:$A$1000=A298)*('Kalem Kataloğu'!$B$1:$B$1000=E298),0),0)),"?")</f>
        <v/>
      </c>
      <c r="H298" s="7" t="n"/>
      <c r="I298" s="7" t="inlineStr">
        <is>
          <t>Hayır</t>
        </is>
      </c>
      <c r="J298" s="5" t="inlineStr">
        <is>
          <t>Drive foto</t>
        </is>
      </c>
      <c r="K298" s="5" t="inlineStr">
        <is>
          <t xml:space="preserve"> [güven: high]</t>
        </is>
      </c>
    </row>
    <row r="299">
      <c r="A299" s="5" t="inlineStr">
        <is>
          <t>Tare Village Urla</t>
        </is>
      </c>
      <c r="B299" s="5" t="inlineStr">
        <is>
          <t>VTS</t>
        </is>
      </c>
      <c r="C299" s="7" t="n"/>
      <c r="D299" s="6">
        <f>IFERROR(INDEX('Kontrol Adımları'!$D:$D,MATCH(1,INDEX(('Kontrol Adımları'!$A$1:$A$400=B299)*('Kontrol Adımları'!$B$1:$B$400=C299),0),0)),"")</f>
        <v/>
      </c>
      <c r="E299" s="5" t="inlineStr">
        <is>
          <t>buzdolabi</t>
        </is>
      </c>
      <c r="F299" s="6">
        <f>IFERROR(INDEX('Kalem Kataloğu'!$C$1:$C$1000,MATCH(1,INDEX(('Kalem Kataloğu'!$A$1:$A$1000=A299)*('Kalem Kataloğu'!$B$1:$B$1000=E299),0),0)),"?")</f>
        <v/>
      </c>
      <c r="G299" s="6">
        <f>IFERROR(INDEX('Kalem Kataloğu'!$D$1:$D$1000,MATCH(1,INDEX(('Kalem Kataloğu'!$A$1:$A$1000=A299)*('Kalem Kataloğu'!$B$1:$B$1000=E299),0),0)),"?")</f>
        <v/>
      </c>
      <c r="H299" s="7" t="n"/>
      <c r="I299" s="7" t="inlineStr">
        <is>
          <t>Hayır</t>
        </is>
      </c>
      <c r="J299" s="5" t="inlineStr">
        <is>
          <t>Drive foto</t>
        </is>
      </c>
      <c r="K299" s="5" t="inlineStr">
        <is>
          <t>VGS tam boy beyaz; diğerlerinde kadrajda yok [güven: medium]</t>
        </is>
      </c>
    </row>
    <row r="300">
      <c r="A300" s="5" t="inlineStr">
        <is>
          <t>Tare Village Urla</t>
        </is>
      </c>
      <c r="B300" s="5" t="inlineStr">
        <is>
          <t>VTS</t>
        </is>
      </c>
      <c r="C300" s="7" t="n"/>
      <c r="D300" s="6">
        <f>IFERROR(INDEX('Kontrol Adımları'!$D:$D,MATCH(1,INDEX(('Kontrol Adımları'!$A$1:$A$400=B300)*('Kontrol Adımları'!$B$1:$B$400=C300),0),0)),"")</f>
        <v/>
      </c>
      <c r="E300" s="5" t="inlineStr">
        <is>
          <t>davlumbaz</t>
        </is>
      </c>
      <c r="F300" s="6">
        <f>IFERROR(INDEX('Kalem Kataloğu'!$C$1:$C$1000,MATCH(1,INDEX(('Kalem Kataloğu'!$A$1:$A$1000=A300)*('Kalem Kataloğu'!$B$1:$B$1000=E300),0),0)),"?")</f>
        <v/>
      </c>
      <c r="G300" s="6">
        <f>IFERROR(INDEX('Kalem Kataloğu'!$D$1:$D$1000,MATCH(1,INDEX(('Kalem Kataloğu'!$A$1:$A$1000=A300)*('Kalem Kataloğu'!$B$1:$B$1000=E300),0),0)),"?")</f>
        <v/>
      </c>
      <c r="H300" s="7" t="n"/>
      <c r="I300" s="7" t="inlineStr">
        <is>
          <t>Hayır</t>
        </is>
      </c>
      <c r="J300" s="5" t="inlineStr">
        <is>
          <t>Drive foto</t>
        </is>
      </c>
      <c r="K300" s="5" t="inlineStr">
        <is>
          <t xml:space="preserve"> [güven: medium]</t>
        </is>
      </c>
    </row>
    <row r="301">
      <c r="A301" s="5" t="inlineStr">
        <is>
          <t>Tare Village Urla</t>
        </is>
      </c>
      <c r="B301" s="5" t="inlineStr">
        <is>
          <t>VTS</t>
        </is>
      </c>
      <c r="C301" s="7" t="n"/>
      <c r="D301" s="6">
        <f>IFERROR(INDEX('Kontrol Adımları'!$D:$D,MATCH(1,INDEX(('Kontrol Adımları'!$A$1:$A$400=B301)*('Kontrol Adımları'!$B$1:$B$400=C301),0),0)),"")</f>
        <v/>
      </c>
      <c r="E301" s="5" t="inlineStr">
        <is>
          <t>duvar_saati</t>
        </is>
      </c>
      <c r="F301" s="6">
        <f>IFERROR(INDEX('Kalem Kataloğu'!$C$1:$C$1000,MATCH(1,INDEX(('Kalem Kataloğu'!$A$1:$A$1000=A301)*('Kalem Kataloğu'!$B$1:$B$1000=E301),0),0)),"?")</f>
        <v/>
      </c>
      <c r="G301" s="6">
        <f>IFERROR(INDEX('Kalem Kataloğu'!$D$1:$D$1000,MATCH(1,INDEX(('Kalem Kataloğu'!$A$1:$A$1000=A301)*('Kalem Kataloğu'!$B$1:$B$1000=E301),0),0)),"?")</f>
        <v/>
      </c>
      <c r="H301" s="7" t="n"/>
      <c r="I301" s="7" t="inlineStr">
        <is>
          <t>Hayır</t>
        </is>
      </c>
      <c r="J301" s="5" t="inlineStr">
        <is>
          <t>Drive foto</t>
        </is>
      </c>
      <c r="K301" s="5" t="inlineStr">
        <is>
          <t xml:space="preserve"> [güven: high]</t>
        </is>
      </c>
    </row>
    <row r="302" ht="39.6" customHeight="1">
      <c r="A302" s="5" t="inlineStr">
        <is>
          <t>Tare Village Urla</t>
        </is>
      </c>
      <c r="B302" s="5" t="inlineStr">
        <is>
          <t>VTS</t>
        </is>
      </c>
      <c r="C302" s="7" t="n"/>
      <c r="D302" s="6">
        <f>IFERROR(INDEX('Kontrol Adımları'!$D:$D,MATCH(1,INDEX(('Kontrol Adımları'!$A$1:$A$400=B302)*('Kontrol Adımları'!$B$1:$B$400=C302),0),0)),"")</f>
        <v/>
      </c>
      <c r="E302" s="5" t="inlineStr">
        <is>
          <t>dus_kabini</t>
        </is>
      </c>
      <c r="F302" s="6">
        <f>IFERROR(INDEX('Kalem Kataloğu'!$C$1:$C$1000,MATCH(1,INDEX(('Kalem Kataloğu'!$A$1:$A$1000=A302)*('Kalem Kataloğu'!$B$1:$B$1000=E302),0),0)),"?")</f>
        <v/>
      </c>
      <c r="G302" s="6">
        <f>IFERROR(INDEX('Kalem Kataloğu'!$D$1:$D$1000,MATCH(1,INDEX(('Kalem Kataloğu'!$A$1:$A$1000=A302)*('Kalem Kataloğu'!$B$1:$B$1000=E302),0),0)),"?")</f>
        <v/>
      </c>
      <c r="H302" s="7" t="n">
        <v>1</v>
      </c>
      <c r="I302" s="7" t="inlineStr">
        <is>
          <t>Hayır</t>
        </is>
      </c>
      <c r="J302" s="5" t="inlineStr">
        <is>
          <t>Drive foto</t>
        </is>
      </c>
      <c r="K302" s="5" t="inlineStr">
        <is>
          <t>VTS ve VSS kabini daha büyük, buzlu cam [güven: high]</t>
        </is>
      </c>
    </row>
    <row r="303" ht="26.4" customHeight="1">
      <c r="A303" s="5" t="inlineStr">
        <is>
          <t>Tare Village Urla</t>
        </is>
      </c>
      <c r="B303" s="5" t="inlineStr">
        <is>
          <t>VTS</t>
        </is>
      </c>
      <c r="C303" s="7" t="n"/>
      <c r="D303" s="6">
        <f>IFERROR(INDEX('Kontrol Adımları'!$D:$D,MATCH(1,INDEX(('Kontrol Adımları'!$A$1:$A$400=B303)*('Kontrol Adımları'!$B$1:$B$400=C303),0),0)),"")</f>
        <v/>
      </c>
      <c r="E303" s="5" t="inlineStr">
        <is>
          <t>gardirop</t>
        </is>
      </c>
      <c r="F303" s="6">
        <f>IFERROR(INDEX('Kalem Kataloğu'!$C$1:$C$1000,MATCH(1,INDEX(('Kalem Kataloğu'!$A$1:$A$1000=A303)*('Kalem Kataloğu'!$B$1:$B$1000=E303),0),0)),"?")</f>
        <v/>
      </c>
      <c r="G303" s="6">
        <f>IFERROR(INDEX('Kalem Kataloğu'!$D$1:$D$1000,MATCH(1,INDEX(('Kalem Kataloğu'!$A$1:$A$1000=A303)*('Kalem Kataloğu'!$B$1:$B$1000=E303),0),0)),"?")</f>
        <v/>
      </c>
      <c r="H303" s="7" t="n"/>
      <c r="I303" s="7" t="inlineStr">
        <is>
          <t>Hayır</t>
        </is>
      </c>
      <c r="J303" s="5" t="inlineStr">
        <is>
          <t>Drive foto</t>
        </is>
      </c>
      <c r="K303" s="5" t="inlineStr">
        <is>
          <t xml:space="preserve"> [güven: medium]</t>
        </is>
      </c>
    </row>
    <row r="304" ht="26.4" customHeight="1">
      <c r="A304" s="5" t="inlineStr">
        <is>
          <t>Tare Village Urla</t>
        </is>
      </c>
      <c r="B304" s="5" t="inlineStr">
        <is>
          <t>VTS</t>
        </is>
      </c>
      <c r="C304" s="7" t="n"/>
      <c r="D304" s="6">
        <f>IFERROR(INDEX('Kontrol Adımları'!$D:$D,MATCH(1,INDEX(('Kontrol Adımları'!$A$1:$A$400=B304)*('Kontrol Adımları'!$B$1:$B$400=C304),0),0)),"")</f>
        <v/>
      </c>
      <c r="E304" s="5" t="inlineStr">
        <is>
          <t>hasir_sepet</t>
        </is>
      </c>
      <c r="F304" s="6">
        <f>IFERROR(INDEX('Kalem Kataloğu'!$C$1:$C$1000,MATCH(1,INDEX(('Kalem Kataloğu'!$A$1:$A$1000=A304)*('Kalem Kataloğu'!$B$1:$B$1000=E304),0),0)),"?")</f>
        <v/>
      </c>
      <c r="G304" s="6">
        <f>IFERROR(INDEX('Kalem Kataloğu'!$D$1:$D$1000,MATCH(1,INDEX(('Kalem Kataloğu'!$A$1:$A$1000=A304)*('Kalem Kataloğu'!$B$1:$B$1000=E304),0),0)),"?")</f>
        <v/>
      </c>
      <c r="H304" s="7" t="n">
        <v>1</v>
      </c>
      <c r="I304" s="7" t="inlineStr">
        <is>
          <t>Hayır</t>
        </is>
      </c>
      <c r="J304" s="5" t="inlineStr">
        <is>
          <t>Drive foto</t>
        </is>
      </c>
      <c r="K304" s="5" t="inlineStr">
        <is>
          <t xml:space="preserve"> [güven: high]</t>
        </is>
      </c>
    </row>
    <row r="305">
      <c r="A305" s="5" t="inlineStr">
        <is>
          <t>Tare Village Urla</t>
        </is>
      </c>
      <c r="B305" s="5" t="inlineStr">
        <is>
          <t>VTS</t>
        </is>
      </c>
      <c r="C305" s="7" t="n"/>
      <c r="D305" s="6">
        <f>IFERROR(INDEX('Kontrol Adımları'!$D:$D,MATCH(1,INDEX(('Kontrol Adımları'!$A$1:$A$400=B305)*('Kontrol Adımları'!$B$1:$B$400=C305),0),0)),"")</f>
        <v/>
      </c>
      <c r="E305" s="5" t="inlineStr">
        <is>
          <t>jut_paspas</t>
        </is>
      </c>
      <c r="F305" s="6">
        <f>IFERROR(INDEX('Kalem Kataloğu'!$C$1:$C$1000,MATCH(1,INDEX(('Kalem Kataloğu'!$A$1:$A$1000=A305)*('Kalem Kataloğu'!$B$1:$B$1000=E305),0),0)),"?")</f>
        <v/>
      </c>
      <c r="G305" s="6">
        <f>IFERROR(INDEX('Kalem Kataloğu'!$D$1:$D$1000,MATCH(1,INDEX(('Kalem Kataloğu'!$A$1:$A$1000=A305)*('Kalem Kataloğu'!$B$1:$B$1000=E305),0),0)),"?")</f>
        <v/>
      </c>
      <c r="H305" s="7" t="n">
        <v>2</v>
      </c>
      <c r="I305" s="7" t="inlineStr">
        <is>
          <t>Hayır</t>
        </is>
      </c>
      <c r="J305" s="5" t="inlineStr">
        <is>
          <t>Drive foto</t>
        </is>
      </c>
      <c r="K305" s="5" t="inlineStr">
        <is>
          <t>Görülen adet; tam sayı odada teyit [güven: medium]</t>
        </is>
      </c>
    </row>
    <row r="306">
      <c r="A306" s="5" t="inlineStr">
        <is>
          <t>Tare Village Urla</t>
        </is>
      </c>
      <c r="B306" s="5" t="inlineStr">
        <is>
          <t>VTS</t>
        </is>
      </c>
      <c r="C306" s="7" t="n"/>
      <c r="D306" s="6">
        <f>IFERROR(INDEX('Kontrol Adımları'!$D:$D,MATCH(1,INDEX(('Kontrol Adımları'!$A$1:$A$400=B306)*('Kontrol Adımları'!$B$1:$B$400=C306),0),0)),"")</f>
        <v/>
      </c>
      <c r="E306" s="5" t="inlineStr">
        <is>
          <t>dis_masa</t>
        </is>
      </c>
      <c r="F306" s="6">
        <f>IFERROR(INDEX('Kalem Kataloğu'!$C$1:$C$1000,MATCH(1,INDEX(('Kalem Kataloğu'!$A$1:$A$1000=A306)*('Kalem Kataloğu'!$B$1:$B$1000=E306),0),0)),"?")</f>
        <v/>
      </c>
      <c r="G306" s="6">
        <f>IFERROR(INDEX('Kalem Kataloğu'!$D$1:$D$1000,MATCH(1,INDEX(('Kalem Kataloğu'!$A$1:$A$1000=A306)*('Kalem Kataloğu'!$B$1:$B$1000=E306),0),0)),"?")</f>
        <v/>
      </c>
      <c r="H306" s="7" t="n">
        <v>1</v>
      </c>
      <c r="I306" s="7" t="inlineStr">
        <is>
          <t>Hayır</t>
        </is>
      </c>
      <c r="J306" s="5" t="inlineStr">
        <is>
          <t>Drive foto</t>
        </is>
      </c>
      <c r="K306" s="5" t="inlineStr">
        <is>
          <t xml:space="preserve"> [güven: high]</t>
        </is>
      </c>
    </row>
    <row r="307">
      <c r="A307" s="5" t="inlineStr">
        <is>
          <t>Tare Village Urla</t>
        </is>
      </c>
      <c r="B307" s="5" t="inlineStr">
        <is>
          <t>VTS</t>
        </is>
      </c>
      <c r="C307" s="7" t="n"/>
      <c r="D307" s="6">
        <f>IFERROR(INDEX('Kontrol Adımları'!$D:$D,MATCH(1,INDEX(('Kontrol Adımları'!$A$1:$A$400=B307)*('Kontrol Adımları'!$B$1:$B$400=C307),0),0)),"")</f>
        <v/>
      </c>
      <c r="E307" s="5" t="inlineStr">
        <is>
          <t>dis_sandalye</t>
        </is>
      </c>
      <c r="F307" s="6">
        <f>IFERROR(INDEX('Kalem Kataloğu'!$C$1:$C$1000,MATCH(1,INDEX(('Kalem Kataloğu'!$A$1:$A$1000=A307)*('Kalem Kataloğu'!$B$1:$B$1000=E307),0),0)),"?")</f>
        <v/>
      </c>
      <c r="G307" s="6">
        <f>IFERROR(INDEX('Kalem Kataloğu'!$D$1:$D$1000,MATCH(1,INDEX(('Kalem Kataloğu'!$A$1:$A$1000=A307)*('Kalem Kataloğu'!$B$1:$B$1000=E307),0),0)),"?")</f>
        <v/>
      </c>
      <c r="H307" s="7" t="n">
        <v>2</v>
      </c>
      <c r="I307" s="7" t="inlineStr">
        <is>
          <t>Hayır</t>
        </is>
      </c>
      <c r="J307" s="5" t="inlineStr">
        <is>
          <t>Drive foto</t>
        </is>
      </c>
      <c r="K307" s="5" t="inlineStr">
        <is>
          <t>VBS 4 sandalye; VTS 2 sandalye + 2 katlanır koltuk [güven: medium]</t>
        </is>
      </c>
    </row>
    <row r="308" ht="26.4" customHeight="1">
      <c r="A308" s="5" t="inlineStr">
        <is>
          <t>Tare Village Urla</t>
        </is>
      </c>
      <c r="B308" s="5" t="inlineStr">
        <is>
          <t>VTS</t>
        </is>
      </c>
      <c r="C308" s="7" t="n"/>
      <c r="D308" s="6">
        <f>IFERROR(INDEX('Kontrol Adımları'!$D:$D,MATCH(1,INDEX(('Kontrol Adımları'!$A$1:$A$400=B308)*('Kontrol Adımları'!$B$1:$B$400=C308),0),0)),"")</f>
        <v/>
      </c>
      <c r="E308" s="5" t="inlineStr">
        <is>
          <t>dis_katlanir_koltuk</t>
        </is>
      </c>
      <c r="F308" s="6">
        <f>IFERROR(INDEX('Kalem Kataloğu'!$C$1:$C$1000,MATCH(1,INDEX(('Kalem Kataloğu'!$A$1:$A$1000=A308)*('Kalem Kataloğu'!$B$1:$B$1000=E308),0),0)),"?")</f>
        <v/>
      </c>
      <c r="G308" s="6">
        <f>IFERROR(INDEX('Kalem Kataloğu'!$D$1:$D$1000,MATCH(1,INDEX(('Kalem Kataloğu'!$A$1:$A$1000=A308)*('Kalem Kataloğu'!$B$1:$B$1000=E308),0),0)),"?")</f>
        <v/>
      </c>
      <c r="H308" s="7" t="n">
        <v>2</v>
      </c>
      <c r="I308" s="7" t="inlineStr">
        <is>
          <t>Hayır</t>
        </is>
      </c>
      <c r="J308" s="5" t="inlineStr">
        <is>
          <t>Drive foto</t>
        </is>
      </c>
      <c r="K308" s="5" t="inlineStr">
        <is>
          <t xml:space="preserve"> [güven: medium]</t>
        </is>
      </c>
    </row>
    <row r="309">
      <c r="A309" s="5" t="inlineStr">
        <is>
          <t>Tare Village Urla</t>
        </is>
      </c>
      <c r="B309" s="5" t="inlineStr">
        <is>
          <t>VTS</t>
        </is>
      </c>
      <c r="C309" s="7" t="n"/>
      <c r="D309" s="6">
        <f>IFERROR(INDEX('Kontrol Adımları'!$D:$D,MATCH(1,INDEX(('Kontrol Adımları'!$A$1:$A$400=B309)*('Kontrol Adımları'!$B$1:$B$400=C309),0),0)),"")</f>
        <v/>
      </c>
      <c r="E309" s="5" t="inlineStr">
        <is>
          <t>kagit_havlu</t>
        </is>
      </c>
      <c r="F309" s="6">
        <f>IFERROR(INDEX('Kalem Kataloğu'!$C$1:$C$1000,MATCH(1,INDEX(('Kalem Kataloğu'!$A$1:$A$1000=A309)*('Kalem Kataloğu'!$B$1:$B$1000=E309),0),0)),"?")</f>
        <v/>
      </c>
      <c r="G309" s="6">
        <f>IFERROR(INDEX('Kalem Kataloğu'!$D$1:$D$1000,MATCH(1,INDEX(('Kalem Kataloğu'!$A$1:$A$1000=A309)*('Kalem Kataloğu'!$B$1:$B$1000=E309),0),0)),"?")</f>
        <v/>
      </c>
      <c r="H309" s="7" t="n"/>
      <c r="I309" s="7" t="inlineStr">
        <is>
          <t>Hayır</t>
        </is>
      </c>
      <c r="J309" s="5" t="inlineStr">
        <is>
          <t>Drive foto</t>
        </is>
      </c>
      <c r="K309" s="5" t="inlineStr">
        <is>
          <t xml:space="preserve"> [güven: medium]</t>
        </is>
      </c>
    </row>
    <row r="310">
      <c r="A310" s="5" t="inlineStr">
        <is>
          <t>Tare Village Urla</t>
        </is>
      </c>
      <c r="B310" s="5" t="inlineStr">
        <is>
          <t>VTS</t>
        </is>
      </c>
      <c r="C310" s="7" t="n"/>
      <c r="D310" s="6">
        <f>IFERROR(INDEX('Kontrol Adımları'!$D:$D,MATCH(1,INDEX(('Kontrol Adımları'!$A$1:$A$400=B310)*('Kontrol Adımları'!$B$1:$B$400=C310),0),0)),"")</f>
        <v/>
      </c>
      <c r="E310" s="5" t="inlineStr">
        <is>
          <t>klima</t>
        </is>
      </c>
      <c r="F310" s="6">
        <f>IFERROR(INDEX('Kalem Kataloğu'!$C$1:$C$1000,MATCH(1,INDEX(('Kalem Kataloğu'!$A$1:$A$1000=A310)*('Kalem Kataloğu'!$B$1:$B$1000=E310),0),0)),"?")</f>
        <v/>
      </c>
      <c r="G310" s="6">
        <f>IFERROR(INDEX('Kalem Kataloğu'!$D$1:$D$1000,MATCH(1,INDEX(('Kalem Kataloğu'!$A$1:$A$1000=A310)*('Kalem Kataloğu'!$B$1:$B$1000=E310),0),0)),"?")</f>
        <v/>
      </c>
      <c r="H310" s="7" t="n">
        <v>1</v>
      </c>
      <c r="I310" s="7" t="inlineStr">
        <is>
          <t>Hayır</t>
        </is>
      </c>
      <c r="J310" s="5" t="inlineStr">
        <is>
          <t>Drive foto</t>
        </is>
      </c>
      <c r="K310" s="5" t="inlineStr">
        <is>
          <t>VGS fotoğrafta görünmüyor [güven: high]</t>
        </is>
      </c>
    </row>
    <row r="311" ht="26.4" customHeight="1">
      <c r="A311" s="5" t="inlineStr">
        <is>
          <t>Tare Village Urla</t>
        </is>
      </c>
      <c r="B311" s="5" t="inlineStr">
        <is>
          <t>VTS</t>
        </is>
      </c>
      <c r="C311" s="7" t="n"/>
      <c r="D311" s="6">
        <f>IFERROR(INDEX('Kontrol Adımları'!$D:$D,MATCH(1,INDEX(('Kontrol Adımları'!$A$1:$A$400=B311)*('Kontrol Adımları'!$B$1:$B$400=C311),0),0)),"")</f>
        <v/>
      </c>
      <c r="E311" s="5" t="inlineStr">
        <is>
          <t>klozet</t>
        </is>
      </c>
      <c r="F311" s="6">
        <f>IFERROR(INDEX('Kalem Kataloğu'!$C$1:$C$1000,MATCH(1,INDEX(('Kalem Kataloğu'!$A$1:$A$1000=A311)*('Kalem Kataloğu'!$B$1:$B$1000=E311),0),0)),"?")</f>
        <v/>
      </c>
      <c r="G311" s="6">
        <f>IFERROR(INDEX('Kalem Kataloğu'!$D$1:$D$1000,MATCH(1,INDEX(('Kalem Kataloğu'!$A$1:$A$1000=A311)*('Kalem Kataloğu'!$B$1:$B$1000=E311),0),0)),"?")</f>
        <v/>
      </c>
      <c r="H311" s="7" t="n">
        <v>1</v>
      </c>
      <c r="I311" s="7" t="inlineStr">
        <is>
          <t>Hayır</t>
        </is>
      </c>
      <c r="J311" s="5" t="inlineStr">
        <is>
          <t>Drive foto</t>
        </is>
      </c>
      <c r="K311" s="5" t="inlineStr">
        <is>
          <t xml:space="preserve"> [güven: high]</t>
        </is>
      </c>
    </row>
    <row r="312">
      <c r="A312" s="5" t="inlineStr">
        <is>
          <t>Tare Village Urla</t>
        </is>
      </c>
      <c r="B312" s="5" t="inlineStr">
        <is>
          <t>VTS</t>
        </is>
      </c>
      <c r="C312" s="7" t="n"/>
      <c r="D312" s="6">
        <f>IFERROR(INDEX('Kontrol Adımları'!$D:$D,MATCH(1,INDEX(('Kontrol Adımları'!$A$1:$A$400=B312)*('Kontrol Adımları'!$B$1:$B$400=C312),0),0)),"")</f>
        <v/>
      </c>
      <c r="E312" s="5" t="inlineStr">
        <is>
          <t>komodin</t>
        </is>
      </c>
      <c r="F312" s="6">
        <f>IFERROR(INDEX('Kalem Kataloğu'!$C$1:$C$1000,MATCH(1,INDEX(('Kalem Kataloğu'!$A$1:$A$1000=A312)*('Kalem Kataloğu'!$B$1:$B$1000=E312),0),0)),"?")</f>
        <v/>
      </c>
      <c r="G312" s="6">
        <f>IFERROR(INDEX('Kalem Kataloğu'!$D$1:$D$1000,MATCH(1,INDEX(('Kalem Kataloğu'!$A$1:$A$1000=A312)*('Kalem Kataloğu'!$B$1:$B$1000=E312),0),0)),"?")</f>
        <v/>
      </c>
      <c r="H312" s="7" t="n">
        <v>1</v>
      </c>
      <c r="I312" s="7" t="inlineStr">
        <is>
          <t>Hayır</t>
        </is>
      </c>
      <c r="J312" s="5" t="inlineStr">
        <is>
          <t>Drive foto</t>
        </is>
      </c>
      <c r="K312" s="5" t="inlineStr">
        <is>
          <t>VBS fotoğrafta tek taraf görünüyor [güven: medium]</t>
        </is>
      </c>
    </row>
    <row r="313">
      <c r="A313" s="5" t="inlineStr">
        <is>
          <t>Tare Village Urla</t>
        </is>
      </c>
      <c r="B313" s="5" t="inlineStr">
        <is>
          <t>VTS</t>
        </is>
      </c>
      <c r="C313" s="7" t="n"/>
      <c r="D313" s="6">
        <f>IFERROR(INDEX('Kontrol Adımları'!$D:$D,MATCH(1,INDEX(('Kontrol Adımları'!$A$1:$A$400=B313)*('Kontrol Adımları'!$B$1:$B$400=C313),0),0)),"")</f>
        <v/>
      </c>
      <c r="E313" s="5" t="inlineStr">
        <is>
          <t>kose_koltuk</t>
        </is>
      </c>
      <c r="F313" s="6">
        <f>IFERROR(INDEX('Kalem Kataloğu'!$C$1:$C$1000,MATCH(1,INDEX(('Kalem Kataloğu'!$A$1:$A$1000=A313)*('Kalem Kataloğu'!$B$1:$B$1000=E313),0),0)),"?")</f>
        <v/>
      </c>
      <c r="G313" s="6">
        <f>IFERROR(INDEX('Kalem Kataloğu'!$D$1:$D$1000,MATCH(1,INDEX(('Kalem Kataloğu'!$A$1:$A$1000=A313)*('Kalem Kataloğu'!$B$1:$B$1000=E313),0),0)),"?")</f>
        <v/>
      </c>
      <c r="H313" s="7" t="n">
        <v>1</v>
      </c>
      <c r="I313" s="7" t="inlineStr">
        <is>
          <t>Hayır</t>
        </is>
      </c>
      <c r="J313" s="5" t="inlineStr">
        <is>
          <t>Drive foto</t>
        </is>
      </c>
      <c r="K313" s="5" t="inlineStr">
        <is>
          <t>VSS ve VTS düz kanepe [güven: high]</t>
        </is>
      </c>
    </row>
    <row r="314">
      <c r="A314" s="5" t="inlineStr">
        <is>
          <t>Tare Village Urla</t>
        </is>
      </c>
      <c r="B314" s="5" t="inlineStr">
        <is>
          <t>VTS</t>
        </is>
      </c>
      <c r="C314" s="7" t="n"/>
      <c r="D314" s="6">
        <f>IFERROR(INDEX('Kontrol Adımları'!$D:$D,MATCH(1,INDEX(('Kontrol Adımları'!$A$1:$A$400=B314)*('Kontrol Adımları'!$B$1:$B$400=C314),0),0)),"")</f>
        <v/>
      </c>
      <c r="E314" s="5" t="inlineStr">
        <is>
          <t>kul_tablasi</t>
        </is>
      </c>
      <c r="F314" s="6">
        <f>IFERROR(INDEX('Kalem Kataloğu'!$C$1:$C$1000,MATCH(1,INDEX(('Kalem Kataloğu'!$A$1:$A$1000=A314)*('Kalem Kataloğu'!$B$1:$B$1000=E314),0),0)),"?")</f>
        <v/>
      </c>
      <c r="G314" s="6">
        <f>IFERROR(INDEX('Kalem Kataloğu'!$D$1:$D$1000,MATCH(1,INDEX(('Kalem Kataloğu'!$A$1:$A$1000=A314)*('Kalem Kataloğu'!$B$1:$B$1000=E314),0),0)),"?")</f>
        <v/>
      </c>
      <c r="H314" s="7" t="n"/>
      <c r="I314" s="7" t="inlineStr">
        <is>
          <t>Hayır</t>
        </is>
      </c>
      <c r="J314" s="5" t="inlineStr">
        <is>
          <t>Drive foto</t>
        </is>
      </c>
      <c r="K314" s="5" t="inlineStr">
        <is>
          <t xml:space="preserve"> [güven: medium]</t>
        </is>
      </c>
    </row>
    <row r="315">
      <c r="A315" s="5" t="inlineStr">
        <is>
          <t>Tare Village Urla</t>
        </is>
      </c>
      <c r="B315" s="5" t="inlineStr">
        <is>
          <t>VTS</t>
        </is>
      </c>
      <c r="C315" s="7" t="n"/>
      <c r="D315" s="6">
        <f>IFERROR(INDEX('Kontrol Adımları'!$D:$D,MATCH(1,INDEX(('Kontrol Adımları'!$A$1:$A$400=B315)*('Kontrol Adımları'!$B$1:$B$400=C315),0),0)),"")</f>
        <v/>
      </c>
      <c r="E315" s="5" t="inlineStr">
        <is>
          <t>mutfak_cop_kovasi</t>
        </is>
      </c>
      <c r="F315" s="6">
        <f>IFERROR(INDEX('Kalem Kataloğu'!$C$1:$C$1000,MATCH(1,INDEX(('Kalem Kataloğu'!$A$1:$A$1000=A315)*('Kalem Kataloğu'!$B$1:$B$1000=E315),0),0)),"?")</f>
        <v/>
      </c>
      <c r="G315" s="6">
        <f>IFERROR(INDEX('Kalem Kataloğu'!$D$1:$D$1000,MATCH(1,INDEX(('Kalem Kataloğu'!$A$1:$A$1000=A315)*('Kalem Kataloğu'!$B$1:$B$1000=E315),0),0)),"?")</f>
        <v/>
      </c>
      <c r="H315" s="7" t="n"/>
      <c r="I315" s="7" t="inlineStr">
        <is>
          <t>Hayır</t>
        </is>
      </c>
      <c r="J315" s="5" t="inlineStr">
        <is>
          <t>Drive foto</t>
        </is>
      </c>
      <c r="K315" s="5" t="inlineStr">
        <is>
          <t xml:space="preserve"> [güven: high]</t>
        </is>
      </c>
    </row>
    <row r="316" ht="26.4" customHeight="1">
      <c r="A316" s="5" t="inlineStr">
        <is>
          <t>Tare Village Urla</t>
        </is>
      </c>
      <c r="B316" s="5" t="inlineStr">
        <is>
          <t>VTS</t>
        </is>
      </c>
      <c r="C316" s="7" t="n"/>
      <c r="D316" s="6">
        <f>IFERROR(INDEX('Kontrol Adımları'!$D:$D,MATCH(1,INDEX(('Kontrol Adımları'!$A$1:$A$400=B316)*('Kontrol Adımları'!$B$1:$B$400=C316),0),0)),"")</f>
        <v/>
      </c>
      <c r="E316" s="5" t="inlineStr">
        <is>
          <t>ocak</t>
        </is>
      </c>
      <c r="F316" s="6">
        <f>IFERROR(INDEX('Kalem Kataloğu'!$C$1:$C$1000,MATCH(1,INDEX(('Kalem Kataloğu'!$A$1:$A$1000=A316)*('Kalem Kataloğu'!$B$1:$B$1000=E316),0),0)),"?")</f>
        <v/>
      </c>
      <c r="G316" s="6">
        <f>IFERROR(INDEX('Kalem Kataloğu'!$D$1:$D$1000,MATCH(1,INDEX(('Kalem Kataloğu'!$A$1:$A$1000=A316)*('Kalem Kataloğu'!$B$1:$B$1000=E316),0),0)),"?")</f>
        <v/>
      </c>
      <c r="H316" s="7" t="n"/>
      <c r="I316" s="7" t="inlineStr">
        <is>
          <t>Hayır</t>
        </is>
      </c>
      <c r="J316" s="5" t="inlineStr">
        <is>
          <t>Drive foto</t>
        </is>
      </c>
      <c r="K316" s="5" t="inlineStr">
        <is>
          <t>VBS ankastre 2 göz; VSS portatif 2 göz cam ocak [güven: medium]</t>
        </is>
      </c>
    </row>
    <row r="317">
      <c r="A317" s="5" t="inlineStr">
        <is>
          <t>Tare Village Urla</t>
        </is>
      </c>
      <c r="B317" s="5" t="inlineStr">
        <is>
          <t>VTS</t>
        </is>
      </c>
      <c r="C317" s="7" t="n"/>
      <c r="D317" s="6">
        <f>IFERROR(INDEX('Kontrol Adımları'!$D:$D,MATCH(1,INDEX(('Kontrol Adımları'!$A$1:$A$400=B317)*('Kontrol Adımları'!$B$1:$B$400=C317),0),0)),"")</f>
        <v/>
      </c>
      <c r="E317" s="5" t="inlineStr">
        <is>
          <t>orta_sehpa</t>
        </is>
      </c>
      <c r="F317" s="6">
        <f>IFERROR(INDEX('Kalem Kataloğu'!$C$1:$C$1000,MATCH(1,INDEX(('Kalem Kataloğu'!$A$1:$A$1000=A317)*('Kalem Kataloğu'!$B$1:$B$1000=E317),0),0)),"?")</f>
        <v/>
      </c>
      <c r="G317" s="6">
        <f>IFERROR(INDEX('Kalem Kataloğu'!$D$1:$D$1000,MATCH(1,INDEX(('Kalem Kataloğu'!$A$1:$A$1000=A317)*('Kalem Kataloğu'!$B$1:$B$1000=E317),0),0)),"?")</f>
        <v/>
      </c>
      <c r="H317" s="7" t="n">
        <v>1</v>
      </c>
      <c r="I317" s="7" t="inlineStr">
        <is>
          <t>Hayır</t>
        </is>
      </c>
      <c r="J317" s="5" t="inlineStr">
        <is>
          <t>Drive foto</t>
        </is>
      </c>
      <c r="K317" s="5" t="inlineStr">
        <is>
          <t xml:space="preserve"> [güven: high]</t>
        </is>
      </c>
    </row>
    <row r="318">
      <c r="A318" s="5" t="inlineStr">
        <is>
          <t>Tare Village Urla</t>
        </is>
      </c>
      <c r="B318" s="5" t="inlineStr">
        <is>
          <t>VTS</t>
        </is>
      </c>
      <c r="C318" s="7" t="n"/>
      <c r="D318" s="6">
        <f>IFERROR(INDEX('Kontrol Adımları'!$D:$D,MATCH(1,INDEX(('Kontrol Adımları'!$A$1:$A$400=B318)*('Kontrol Adımları'!$B$1:$B$400=C318),0),0)),"")</f>
        <v/>
      </c>
      <c r="E318" s="5" t="inlineStr">
        <is>
          <t>banyo_cop_kovasi</t>
        </is>
      </c>
      <c r="F318" s="6">
        <f>IFERROR(INDEX('Kalem Kataloğu'!$C$1:$C$1000,MATCH(1,INDEX(('Kalem Kataloğu'!$A$1:$A$1000=A318)*('Kalem Kataloğu'!$B$1:$B$1000=E318),0),0)),"?")</f>
        <v/>
      </c>
      <c r="G318" s="6">
        <f>IFERROR(INDEX('Kalem Kataloğu'!$D$1:$D$1000,MATCH(1,INDEX(('Kalem Kataloğu'!$A$1:$A$1000=A318)*('Kalem Kataloğu'!$B$1:$B$1000=E318),0),0)),"?")</f>
        <v/>
      </c>
      <c r="H318" s="7" t="n">
        <v>1</v>
      </c>
      <c r="I318" s="7" t="inlineStr">
        <is>
          <t>Hayır</t>
        </is>
      </c>
      <c r="J318" s="5" t="inlineStr">
        <is>
          <t>Drive foto</t>
        </is>
      </c>
      <c r="K318" s="5" t="inlineStr">
        <is>
          <t>VGS inox, VBS/VTS siyah [güven: high]</t>
        </is>
      </c>
    </row>
    <row r="319">
      <c r="A319" s="5" t="inlineStr">
        <is>
          <t>Tare Village Urla</t>
        </is>
      </c>
      <c r="B319" s="5" t="inlineStr">
        <is>
          <t>VTS</t>
        </is>
      </c>
      <c r="C319" s="7" t="n"/>
      <c r="D319" s="6">
        <f>IFERROR(INDEX('Kontrol Adımları'!$D:$D,MATCH(1,INDEX(('Kontrol Adımları'!$A$1:$A$400=B319)*('Kontrol Adımları'!$B$1:$B$400=C319),0),0)),"")</f>
        <v/>
      </c>
      <c r="E319" s="5" t="inlineStr">
        <is>
          <t>yatak_ortusu</t>
        </is>
      </c>
      <c r="F319" s="6">
        <f>IFERROR(INDEX('Kalem Kataloğu'!$C$1:$C$1000,MATCH(1,INDEX(('Kalem Kataloğu'!$A$1:$A$1000=A319)*('Kalem Kataloğu'!$B$1:$B$1000=E319),0),0)),"?")</f>
        <v/>
      </c>
      <c r="G319" s="6">
        <f>IFERROR(INDEX('Kalem Kataloğu'!$D$1:$D$1000,MATCH(1,INDEX(('Kalem Kataloğu'!$A$1:$A$1000=A319)*('Kalem Kataloğu'!$B$1:$B$1000=E319),0),0)),"?")</f>
        <v/>
      </c>
      <c r="H319" s="7" t="n">
        <v>1</v>
      </c>
      <c r="I319" s="7" t="inlineStr">
        <is>
          <t>Hayır</t>
        </is>
      </c>
      <c r="J319" s="5" t="inlineStr">
        <is>
          <t>Drive foto</t>
        </is>
      </c>
      <c r="K319" s="5" t="inlineStr">
        <is>
          <t xml:space="preserve"> [güven: high]</t>
        </is>
      </c>
    </row>
    <row r="320">
      <c r="A320" s="5" t="inlineStr">
        <is>
          <t>Tare Village Urla</t>
        </is>
      </c>
      <c r="B320" s="5" t="inlineStr">
        <is>
          <t>VTS</t>
        </is>
      </c>
      <c r="C320" s="7" t="n"/>
      <c r="D320" s="6">
        <f>IFERROR(INDEX('Kontrol Adımları'!$D:$D,MATCH(1,INDEX(('Kontrol Adımları'!$A$1:$A$400=B320)*('Kontrol Adımları'!$B$1:$B$400=C320),0),0)),"")</f>
        <v/>
      </c>
      <c r="E320" s="5" t="inlineStr">
        <is>
          <t>tavan_sarkit_lamba</t>
        </is>
      </c>
      <c r="F320" s="6">
        <f>IFERROR(INDEX('Kalem Kataloğu'!$C$1:$C$1000,MATCH(1,INDEX(('Kalem Kataloğu'!$A$1:$A$1000=A320)*('Kalem Kataloğu'!$B$1:$B$1000=E320),0),0)),"?")</f>
        <v/>
      </c>
      <c r="G320" s="6">
        <f>IFERROR(INDEX('Kalem Kataloğu'!$D$1:$D$1000,MATCH(1,INDEX(('Kalem Kataloğu'!$A$1:$A$1000=A320)*('Kalem Kataloğu'!$B$1:$B$1000=E320),0),0)),"?")</f>
        <v/>
      </c>
      <c r="H320" s="7" t="n"/>
      <c r="I320" s="7" t="inlineStr">
        <is>
          <t>Hayır</t>
        </is>
      </c>
      <c r="J320" s="5" t="inlineStr">
        <is>
          <t>Drive foto</t>
        </is>
      </c>
      <c r="K320" s="5" t="inlineStr">
        <is>
          <t xml:space="preserve"> [güven: medium]</t>
        </is>
      </c>
    </row>
    <row r="321">
      <c r="A321" s="5" t="inlineStr">
        <is>
          <t>Tare Village Urla</t>
        </is>
      </c>
      <c r="B321" s="5" t="inlineStr">
        <is>
          <t>VTS</t>
        </is>
      </c>
      <c r="C321" s="7" t="n"/>
      <c r="D321" s="6">
        <f>IFERROR(INDEX('Kontrol Adımları'!$D:$D,MATCH(1,INDEX(('Kontrol Adımları'!$A$1:$A$400=B321)*('Kontrol Adımları'!$B$1:$B$400=C321),0),0)),"")</f>
        <v/>
      </c>
      <c r="E321" s="5" t="inlineStr">
        <is>
          <t>sac_kurutma_makinesi</t>
        </is>
      </c>
      <c r="F321" s="6">
        <f>IFERROR(INDEX('Kalem Kataloğu'!$C$1:$C$1000,MATCH(1,INDEX(('Kalem Kataloğu'!$A$1:$A$1000=A321)*('Kalem Kataloğu'!$B$1:$B$1000=E321),0),0)),"?")</f>
        <v/>
      </c>
      <c r="G321" s="6">
        <f>IFERROR(INDEX('Kalem Kataloğu'!$D$1:$D$1000,MATCH(1,INDEX(('Kalem Kataloğu'!$A$1:$A$1000=A321)*('Kalem Kataloğu'!$B$1:$B$1000=E321),0),0)),"?")</f>
        <v/>
      </c>
      <c r="H321" s="7" t="n"/>
      <c r="I321" s="7" t="inlineStr">
        <is>
          <t>Hayır</t>
        </is>
      </c>
      <c r="J321" s="5" t="inlineStr">
        <is>
          <t>Drive foto</t>
        </is>
      </c>
      <c r="K321" s="5" t="inlineStr">
        <is>
          <t xml:space="preserve"> [güven: high]</t>
        </is>
      </c>
    </row>
    <row r="322">
      <c r="A322" s="5" t="inlineStr">
        <is>
          <t>Tare Village Urla</t>
        </is>
      </c>
      <c r="B322" s="5" t="inlineStr">
        <is>
          <t>VTS</t>
        </is>
      </c>
      <c r="C322" s="7" t="n"/>
      <c r="D322" s="6">
        <f>IFERROR(INDEX('Kontrol Adımları'!$D:$D,MATCH(1,INDEX(('Kontrol Adımları'!$A$1:$A$400=B322)*('Kontrol Adımları'!$B$1:$B$400=C322),0),0)),"")</f>
        <v/>
      </c>
      <c r="E322" s="5" t="inlineStr">
        <is>
          <t>tv</t>
        </is>
      </c>
      <c r="F322" s="6">
        <f>IFERROR(INDEX('Kalem Kataloğu'!$C$1:$C$1000,MATCH(1,INDEX(('Kalem Kataloğu'!$A$1:$A$1000=A322)*('Kalem Kataloğu'!$B$1:$B$1000=E322),0),0)),"?")</f>
        <v/>
      </c>
      <c r="G322" s="6">
        <f>IFERROR(INDEX('Kalem Kataloğu'!$D$1:$D$1000,MATCH(1,INDEX(('Kalem Kataloğu'!$A$1:$A$1000=A322)*('Kalem Kataloğu'!$B$1:$B$1000=E322),0),0)),"?")</f>
        <v/>
      </c>
      <c r="H322" s="7" t="n">
        <v>1</v>
      </c>
      <c r="I322" s="7" t="inlineStr">
        <is>
          <t>Hayır</t>
        </is>
      </c>
      <c r="J322" s="5" t="inlineStr">
        <is>
          <t>Drive foto</t>
        </is>
      </c>
      <c r="K322" s="5" t="inlineStr">
        <is>
          <t>VBS/VSS duvar tipi, VTS ayaklı [güven: high]</t>
        </is>
      </c>
    </row>
    <row r="323">
      <c r="A323" s="5" t="inlineStr">
        <is>
          <t>Tare Village Urla</t>
        </is>
      </c>
      <c r="B323" s="5" t="inlineStr">
        <is>
          <t>VTS</t>
        </is>
      </c>
      <c r="C323" s="7" t="n"/>
      <c r="D323" s="6">
        <f>IFERROR(INDEX('Kontrol Adımları'!$D:$D,MATCH(1,INDEX(('Kontrol Adımları'!$A$1:$A$400=B323)*('Kontrol Adımları'!$B$1:$B$400=C323),0),0)),"")</f>
        <v/>
      </c>
      <c r="E323" s="5" t="inlineStr">
        <is>
          <t>tv_kumandasi</t>
        </is>
      </c>
      <c r="F323" s="6">
        <f>IFERROR(INDEX('Kalem Kataloğu'!$C$1:$C$1000,MATCH(1,INDEX(('Kalem Kataloğu'!$A$1:$A$1000=A323)*('Kalem Kataloğu'!$B$1:$B$1000=E323),0),0)),"?")</f>
        <v/>
      </c>
      <c r="G323" s="6">
        <f>IFERROR(INDEX('Kalem Kataloğu'!$D$1:$D$1000,MATCH(1,INDEX(('Kalem Kataloğu'!$A$1:$A$1000=A323)*('Kalem Kataloğu'!$B$1:$B$1000=E323),0),0)),"?")</f>
        <v/>
      </c>
      <c r="H323" s="7" t="n"/>
      <c r="I323" s="7" t="inlineStr">
        <is>
          <t>Hayır</t>
        </is>
      </c>
      <c r="J323" s="5" t="inlineStr">
        <is>
          <t>Drive foto</t>
        </is>
      </c>
      <c r="K323" s="5" t="inlineStr">
        <is>
          <t xml:space="preserve"> [güven: medium]</t>
        </is>
      </c>
    </row>
    <row r="324">
      <c r="A324" s="5" t="inlineStr">
        <is>
          <t>Tare Village Urla</t>
        </is>
      </c>
      <c r="B324" s="5" t="inlineStr">
        <is>
          <t>VTS</t>
        </is>
      </c>
      <c r="C324" s="7" t="n"/>
      <c r="D324" s="6">
        <f>IFERROR(INDEX('Kontrol Adımları'!$D:$D,MATCH(1,INDEX(('Kontrol Adımları'!$A$1:$A$400=B324)*('Kontrol Adımları'!$B$1:$B$400=C324),0),0)),"")</f>
        <v/>
      </c>
      <c r="E324" s="5" t="inlineStr">
        <is>
          <t>tablo</t>
        </is>
      </c>
      <c r="F324" s="6">
        <f>IFERROR(INDEX('Kalem Kataloğu'!$C$1:$C$1000,MATCH(1,INDEX(('Kalem Kataloğu'!$A$1:$A$1000=A324)*('Kalem Kataloğu'!$B$1:$B$1000=E324),0),0)),"?")</f>
        <v/>
      </c>
      <c r="G324" s="6">
        <f>IFERROR(INDEX('Kalem Kataloğu'!$D$1:$D$1000,MATCH(1,INDEX(('Kalem Kataloğu'!$A$1:$A$1000=A324)*('Kalem Kataloğu'!$B$1:$B$1000=E324),0),0)),"?")</f>
        <v/>
      </c>
      <c r="H324" s="7" t="n">
        <v>2</v>
      </c>
      <c r="I324" s="7" t="inlineStr">
        <is>
          <t>Hayır</t>
        </is>
      </c>
      <c r="J324" s="5" t="inlineStr">
        <is>
          <t>Drive foto</t>
        </is>
      </c>
      <c r="K324" s="5" t="inlineStr">
        <is>
          <t xml:space="preserve"> [güven: medium]</t>
        </is>
      </c>
    </row>
    <row r="325" ht="26.4" customHeight="1">
      <c r="A325" s="5" t="inlineStr">
        <is>
          <t>Tare Village Urla</t>
        </is>
      </c>
      <c r="B325" s="5" t="inlineStr">
        <is>
          <t>VTS</t>
        </is>
      </c>
      <c r="C325" s="7" t="n"/>
      <c r="D325" s="6">
        <f>IFERROR(INDEX('Kontrol Adımları'!$D:$D,MATCH(1,INDEX(('Kontrol Adımları'!$A$1:$A$400=B325)*('Kontrol Adımları'!$B$1:$B$400=C325),0),0)),"")</f>
        <v/>
      </c>
      <c r="E325" s="5" t="inlineStr">
        <is>
          <t>lavabo_tas_canak</t>
        </is>
      </c>
      <c r="F325" s="6">
        <f>IFERROR(INDEX('Kalem Kataloğu'!$C$1:$C$1000,MATCH(1,INDEX(('Kalem Kataloğu'!$A$1:$A$1000=A325)*('Kalem Kataloğu'!$B$1:$B$1000=E325),0),0)),"?")</f>
        <v/>
      </c>
      <c r="G325" s="6">
        <f>IFERROR(INDEX('Kalem Kataloğu'!$D$1:$D$1000,MATCH(1,INDEX(('Kalem Kataloğu'!$A$1:$A$1000=A325)*('Kalem Kataloğu'!$B$1:$B$1000=E325),0),0)),"?")</f>
        <v/>
      </c>
      <c r="H325" s="7" t="n">
        <v>1</v>
      </c>
      <c r="I325" s="7" t="inlineStr">
        <is>
          <t>Hayır</t>
        </is>
      </c>
      <c r="J325" s="5" t="inlineStr">
        <is>
          <t>Drive foto</t>
        </is>
      </c>
      <c r="K325" s="5" t="inlineStr">
        <is>
          <t>Tüm odalarda aynı model [güven: high]</t>
        </is>
      </c>
    </row>
    <row r="326">
      <c r="A326" s="5" t="inlineStr">
        <is>
          <t>Tare Village Urla</t>
        </is>
      </c>
      <c r="B326" s="5" t="inlineStr">
        <is>
          <t>VTS</t>
        </is>
      </c>
      <c r="C326" s="7" t="n"/>
      <c r="D326" s="6">
        <f>IFERROR(INDEX('Kontrol Adımları'!$D:$D,MATCH(1,INDEX(('Kontrol Adımları'!$A$1:$A$400=B326)*('Kontrol Adımları'!$B$1:$B$400=C326),0),0)),"")</f>
        <v/>
      </c>
      <c r="E326" s="5" t="inlineStr">
        <is>
          <t>tel_sandalye</t>
        </is>
      </c>
      <c r="F326" s="6">
        <f>IFERROR(INDEX('Kalem Kataloğu'!$C$1:$C$1000,MATCH(1,INDEX(('Kalem Kataloğu'!$A$1:$A$1000=A326)*('Kalem Kataloğu'!$B$1:$B$1000=E326),0),0)),"?")</f>
        <v/>
      </c>
      <c r="G326" s="6">
        <f>IFERROR(INDEX('Kalem Kataloğu'!$D$1:$D$1000,MATCH(1,INDEX(('Kalem Kataloğu'!$A$1:$A$1000=A326)*('Kalem Kataloğu'!$B$1:$B$1000=E326),0),0)),"?")</f>
        <v/>
      </c>
      <c r="H326" s="7" t="n">
        <v>2</v>
      </c>
      <c r="I326" s="7" t="inlineStr">
        <is>
          <t>Hayır</t>
        </is>
      </c>
      <c r="J326" s="5" t="inlineStr">
        <is>
          <t>Drive foto</t>
        </is>
      </c>
      <c r="K326" s="5" t="inlineStr">
        <is>
          <t xml:space="preserve"> [güven: high]</t>
        </is>
      </c>
    </row>
    <row r="327">
      <c r="A327" s="5" t="inlineStr">
        <is>
          <t>Tare Village Urla</t>
        </is>
      </c>
      <c r="B327" s="5" t="inlineStr">
        <is>
          <t>VTS</t>
        </is>
      </c>
      <c r="C327" s="7" t="n"/>
      <c r="D327" s="6">
        <f>IFERROR(INDEX('Kontrol Adımları'!$D:$D,MATCH(1,INDEX(('Kontrol Adımları'!$A$1:$A$400=B327)*('Kontrol Adımları'!$B$1:$B$400=C327),0),0)),"")</f>
        <v/>
      </c>
      <c r="E327" s="5" t="inlineStr">
        <is>
          <t>tuvalet_kagidi_aparati</t>
        </is>
      </c>
      <c r="F327" s="6">
        <f>IFERROR(INDEX('Kalem Kataloğu'!$C$1:$C$1000,MATCH(1,INDEX(('Kalem Kataloğu'!$A$1:$A$1000=A327)*('Kalem Kataloğu'!$B$1:$B$1000=E327),0),0)),"?")</f>
        <v/>
      </c>
      <c r="G327" s="6">
        <f>IFERROR(INDEX('Kalem Kataloğu'!$D$1:$D$1000,MATCH(1,INDEX(('Kalem Kataloğu'!$A$1:$A$1000=A327)*('Kalem Kataloğu'!$B$1:$B$1000=E327),0),0)),"?")</f>
        <v/>
      </c>
      <c r="H327" s="7" t="n">
        <v>1</v>
      </c>
      <c r="I327" s="7" t="inlineStr">
        <is>
          <t>Hayır</t>
        </is>
      </c>
      <c r="J327" s="5" t="inlineStr">
        <is>
          <t>Drive foto</t>
        </is>
      </c>
      <c r="K327" s="5" t="inlineStr">
        <is>
          <t>VSS fotoğrafta görünmüyor [güven: high]</t>
        </is>
      </c>
    </row>
    <row r="328">
      <c r="A328" s="5" t="inlineStr">
        <is>
          <t>Tare Village Urla</t>
        </is>
      </c>
      <c r="B328" s="5" t="inlineStr">
        <is>
          <t>VTS</t>
        </is>
      </c>
      <c r="C328" s="7" t="n"/>
      <c r="D328" s="6">
        <f>IFERROR(INDEX('Kontrol Adımları'!$D:$D,MATCH(1,INDEX(('Kontrol Adımları'!$A$1:$A$400=B328)*('Kontrol Adımları'!$B$1:$B$400=C328),0),0)),"")</f>
        <v/>
      </c>
      <c r="E328" s="5" t="inlineStr">
        <is>
          <t>wc_fircasi</t>
        </is>
      </c>
      <c r="F328" s="6">
        <f>IFERROR(INDEX('Kalem Kataloğu'!$C$1:$C$1000,MATCH(1,INDEX(('Kalem Kataloğu'!$A$1:$A$1000=A328)*('Kalem Kataloğu'!$B$1:$B$1000=E328),0),0)),"?")</f>
        <v/>
      </c>
      <c r="G328" s="6">
        <f>IFERROR(INDEX('Kalem Kataloğu'!$D$1:$D$1000,MATCH(1,INDEX(('Kalem Kataloğu'!$A$1:$A$1000=A328)*('Kalem Kataloğu'!$B$1:$B$1000=E328),0),0)),"?")</f>
        <v/>
      </c>
      <c r="H328" s="7" t="n"/>
      <c r="I328" s="7" t="inlineStr">
        <is>
          <t>Hayır</t>
        </is>
      </c>
      <c r="J328" s="5" t="inlineStr">
        <is>
          <t>Drive foto</t>
        </is>
      </c>
      <c r="K328" s="5" t="inlineStr">
        <is>
          <t xml:space="preserve"> [güven: medium]</t>
        </is>
      </c>
    </row>
    <row r="329">
      <c r="A329" s="5" t="inlineStr">
        <is>
          <t>Tare Village Urla</t>
        </is>
      </c>
      <c r="B329" s="5" t="inlineStr">
        <is>
          <t>VTS</t>
        </is>
      </c>
      <c r="C329" s="7" t="n"/>
      <c r="D329" s="6">
        <f>IFERROR(INDEX('Kontrol Adımları'!$D:$D,MATCH(1,INDEX(('Kontrol Adımları'!$A$1:$A$400=B329)*('Kontrol Adımları'!$B$1:$B$400=C329),0),0)),"")</f>
        <v/>
      </c>
      <c r="E329" s="5" t="inlineStr">
        <is>
          <t>yangin_sondurucu</t>
        </is>
      </c>
      <c r="F329" s="6">
        <f>IFERROR(INDEX('Kalem Kataloğu'!$C$1:$C$1000,MATCH(1,INDEX(('Kalem Kataloğu'!$A$1:$A$1000=A329)*('Kalem Kataloğu'!$B$1:$B$1000=E329),0),0)),"?")</f>
        <v/>
      </c>
      <c r="G329" s="6">
        <f>IFERROR(INDEX('Kalem Kataloğu'!$D$1:$D$1000,MATCH(1,INDEX(('Kalem Kataloğu'!$A$1:$A$1000=A329)*('Kalem Kataloğu'!$B$1:$B$1000=E329),0),0)),"?")</f>
        <v/>
      </c>
      <c r="H329" s="7" t="n"/>
      <c r="I329" s="7" t="inlineStr">
        <is>
          <t>Hayır</t>
        </is>
      </c>
      <c r="J329" s="5" t="inlineStr">
        <is>
          <t>Drive foto</t>
        </is>
      </c>
      <c r="K329" s="5" t="inlineStr">
        <is>
          <t xml:space="preserve"> [güven: high]</t>
        </is>
      </c>
    </row>
    <row r="330">
      <c r="A330" s="5" t="inlineStr">
        <is>
          <t>Tare Village Urla</t>
        </is>
      </c>
      <c r="B330" s="5" t="inlineStr">
        <is>
          <t>VTS</t>
        </is>
      </c>
      <c r="C330" s="7" t="n"/>
      <c r="D330" s="6">
        <f>IFERROR(INDEX('Kontrol Adımları'!$D:$D,MATCH(1,INDEX(('Kontrol Adımları'!$A$1:$A$400=B330)*('Kontrol Adımları'!$B$1:$B$400=C330),0),0)),"")</f>
        <v/>
      </c>
      <c r="E330" s="5" t="inlineStr">
        <is>
          <t>saksi_bitki</t>
        </is>
      </c>
      <c r="F330" s="6">
        <f>IFERROR(INDEX('Kalem Kataloğu'!$C$1:$C$1000,MATCH(1,INDEX(('Kalem Kataloğu'!$A$1:$A$1000=A330)*('Kalem Kataloğu'!$B$1:$B$1000=E330),0),0)),"?")</f>
        <v/>
      </c>
      <c r="G330" s="6">
        <f>IFERROR(INDEX('Kalem Kataloğu'!$D$1:$D$1000,MATCH(1,INDEX(('Kalem Kataloğu'!$A$1:$A$1000=A330)*('Kalem Kataloğu'!$B$1:$B$1000=E330),0),0)),"?")</f>
        <v/>
      </c>
      <c r="H330" s="7" t="n">
        <v>1</v>
      </c>
      <c r="I330" s="7" t="inlineStr">
        <is>
          <t>Hayır</t>
        </is>
      </c>
      <c r="J330" s="5" t="inlineStr">
        <is>
          <t>Drive foto</t>
        </is>
      </c>
      <c r="K330" s="5" t="inlineStr">
        <is>
          <t>VTS bitkisi merdiven sahanlığında [güven: medium]</t>
        </is>
      </c>
    </row>
    <row r="331">
      <c r="A331" s="5" t="inlineStr">
        <is>
          <t>Tare Village Urla</t>
        </is>
      </c>
      <c r="B331" s="5" t="inlineStr">
        <is>
          <t>VTS</t>
        </is>
      </c>
      <c r="C331" s="7" t="n"/>
      <c r="D331" s="6">
        <f>IFERROR(INDEX('Kontrol Adımları'!$D:$D,MATCH(1,INDEX(('Kontrol Adımları'!$A$1:$A$400=B331)*('Kontrol Adımları'!$B$1:$B$400=C331),0),0)),"")</f>
        <v/>
      </c>
      <c r="E331" s="5" t="inlineStr">
        <is>
          <t>yastik</t>
        </is>
      </c>
      <c r="F331" s="6">
        <f>IFERROR(INDEX('Kalem Kataloğu'!$C$1:$C$1000,MATCH(1,INDEX(('Kalem Kataloğu'!$A$1:$A$1000=A331)*('Kalem Kataloğu'!$B$1:$B$1000=E331),0),0)),"?")</f>
        <v/>
      </c>
      <c r="G331" s="6">
        <f>IFERROR(INDEX('Kalem Kataloğu'!$D$1:$D$1000,MATCH(1,INDEX(('Kalem Kataloğu'!$A$1:$A$1000=A331)*('Kalem Kataloğu'!$B$1:$B$1000=E331),0),0)),"?")</f>
        <v/>
      </c>
      <c r="H331" s="7" t="n">
        <v>2</v>
      </c>
      <c r="I331" s="7" t="inlineStr">
        <is>
          <t>Hayır</t>
        </is>
      </c>
      <c r="J331" s="5" t="inlineStr">
        <is>
          <t>Drive foto</t>
        </is>
      </c>
      <c r="K331" s="5" t="inlineStr">
        <is>
          <t xml:space="preserve"> [güven: high]</t>
        </is>
      </c>
    </row>
    <row r="332">
      <c r="A332" s="5" t="inlineStr">
        <is>
          <t>Tare Village Urla</t>
        </is>
      </c>
      <c r="B332" s="5" t="inlineStr">
        <is>
          <t>VTS</t>
        </is>
      </c>
      <c r="C332" s="7" t="n"/>
      <c r="D332" s="6">
        <f>IFERROR(INDEX('Kontrol Adımları'!$D:$D,MATCH(1,INDEX(('Kontrol Adımları'!$A$1:$A$400=B332)*('Kontrol Adımları'!$B$1:$B$400=C332),0),0)),"")</f>
        <v/>
      </c>
      <c r="E332" s="5" t="inlineStr">
        <is>
          <t>yedek_tuvalet_kagidi</t>
        </is>
      </c>
      <c r="F332" s="6">
        <f>IFERROR(INDEX('Kalem Kataloğu'!$C$1:$C$1000,MATCH(1,INDEX(('Kalem Kataloğu'!$A$1:$A$1000=A332)*('Kalem Kataloğu'!$B$1:$B$1000=E332),0),0)),"?")</f>
        <v/>
      </c>
      <c r="G332" s="6">
        <f>IFERROR(INDEX('Kalem Kataloğu'!$D$1:$D$1000,MATCH(1,INDEX(('Kalem Kataloğu'!$A$1:$A$1000=A332)*('Kalem Kataloğu'!$B$1:$B$1000=E332),0),0)),"?")</f>
        <v/>
      </c>
      <c r="H332" s="7" t="n"/>
      <c r="I332" s="7" t="inlineStr">
        <is>
          <t>Hayır</t>
        </is>
      </c>
      <c r="J332" s="5" t="inlineStr">
        <is>
          <t>Drive foto</t>
        </is>
      </c>
      <c r="K332" s="5" t="inlineStr">
        <is>
          <t xml:space="preserve"> [güven: medium]</t>
        </is>
      </c>
    </row>
    <row r="333">
      <c r="A333" s="5" t="inlineStr">
        <is>
          <t>Tare Village Urla</t>
        </is>
      </c>
      <c r="B333" s="5" t="inlineStr">
        <is>
          <t>VTS</t>
        </is>
      </c>
      <c r="C333" s="7" t="n"/>
      <c r="D333" s="6">
        <f>IFERROR(INDEX('Kontrol Adımları'!$D:$D,MATCH(1,INDEX(('Kontrol Adımları'!$A$1:$A$400=B333)*('Kontrol Adımları'!$B$1:$B$400=C333),0),0)),"")</f>
        <v/>
      </c>
      <c r="E333" s="5" t="inlineStr">
        <is>
          <t>yemek_masasi</t>
        </is>
      </c>
      <c r="F333" s="6">
        <f>IFERROR(INDEX('Kalem Kataloğu'!$C$1:$C$1000,MATCH(1,INDEX(('Kalem Kataloğu'!$A$1:$A$1000=A333)*('Kalem Kataloğu'!$B$1:$B$1000=E333),0),0)),"?")</f>
        <v/>
      </c>
      <c r="G333" s="6">
        <f>IFERROR(INDEX('Kalem Kataloğu'!$D$1:$D$1000,MATCH(1,INDEX(('Kalem Kataloğu'!$A$1:$A$1000=A333)*('Kalem Kataloğu'!$B$1:$B$1000=E333),0),0)),"?")</f>
        <v/>
      </c>
      <c r="H333" s="7" t="n">
        <v>1</v>
      </c>
      <c r="I333" s="7" t="inlineStr">
        <is>
          <t>Hayır</t>
        </is>
      </c>
      <c r="J333" s="5" t="inlineStr">
        <is>
          <t>Drive foto</t>
        </is>
      </c>
      <c r="K333" s="5" t="inlineStr">
        <is>
          <t>VTS: masa + bank + 2 tel sandalye [güven: high]</t>
        </is>
      </c>
    </row>
    <row r="334">
      <c r="A334" s="5" t="inlineStr">
        <is>
          <t>Tare Village Urla</t>
        </is>
      </c>
      <c r="B334" s="5" t="inlineStr">
        <is>
          <t>VTS</t>
        </is>
      </c>
      <c r="C334" s="7" t="n"/>
      <c r="D334" s="6">
        <f>IFERROR(INDEX('Kontrol Adımları'!$D:$D,MATCH(1,INDEX(('Kontrol Adımları'!$A$1:$A$400=B334)*('Kontrol Adımları'!$B$1:$B$400=C334),0),0)),"")</f>
        <v/>
      </c>
      <c r="E334" s="5" t="inlineStr">
        <is>
          <t>ayna_yuvarlak</t>
        </is>
      </c>
      <c r="F334" s="6">
        <f>IFERROR(INDEX('Kalem Kataloğu'!$C$1:$C$1000,MATCH(1,INDEX(('Kalem Kataloğu'!$A$1:$A$1000=A334)*('Kalem Kataloğu'!$B$1:$B$1000=E334),0),0)),"?")</f>
        <v/>
      </c>
      <c r="G334" s="6">
        <f>IFERROR(INDEX('Kalem Kataloğu'!$D$1:$D$1000,MATCH(1,INDEX(('Kalem Kataloğu'!$A$1:$A$1000=A334)*('Kalem Kataloğu'!$B$1:$B$1000=E334),0),0)),"?")</f>
        <v/>
      </c>
      <c r="H334" s="7" t="n">
        <v>1</v>
      </c>
      <c r="I334" s="7" t="inlineStr">
        <is>
          <t>Hayır</t>
        </is>
      </c>
      <c r="J334" s="5" t="inlineStr">
        <is>
          <t>Drive foto</t>
        </is>
      </c>
      <c r="K334" s="5" t="inlineStr">
        <is>
          <t xml:space="preserve"> [güven: high]</t>
        </is>
      </c>
    </row>
    <row r="335">
      <c r="A335" s="5" t="inlineStr">
        <is>
          <t>Tare Village Urla</t>
        </is>
      </c>
      <c r="B335" s="5" t="inlineStr">
        <is>
          <t>VTS</t>
        </is>
      </c>
      <c r="C335" s="7" t="n"/>
      <c r="D335" s="6">
        <f>IFERROR(INDEX('Kontrol Adımları'!$D:$D,MATCH(1,INDEX(('Kontrol Adımları'!$A$1:$A$400=B335)*('Kontrol Adımları'!$B$1:$B$400=C335),0),0)),"")</f>
        <v/>
      </c>
      <c r="E335" s="5" t="inlineStr">
        <is>
          <t>cift_kisilik_yatak</t>
        </is>
      </c>
      <c r="F335" s="6">
        <f>IFERROR(INDEX('Kalem Kataloğu'!$C$1:$C$1000,MATCH(1,INDEX(('Kalem Kataloğu'!$A$1:$A$1000=A335)*('Kalem Kataloğu'!$B$1:$B$1000=E335),0),0)),"?")</f>
        <v/>
      </c>
      <c r="G335" s="6">
        <f>IFERROR(INDEX('Kalem Kataloğu'!$D$1:$D$1000,MATCH(1,INDEX(('Kalem Kataloğu'!$A$1:$A$1000=A335)*('Kalem Kataloğu'!$B$1:$B$1000=E335),0),0)),"?")</f>
        <v/>
      </c>
      <c r="H335" s="7" t="n">
        <v>1</v>
      </c>
      <c r="I335" s="7" t="inlineStr">
        <is>
          <t>Hayır</t>
        </is>
      </c>
      <c r="J335" s="5" t="inlineStr">
        <is>
          <t>Drive foto</t>
        </is>
      </c>
      <c r="K335" s="5" t="inlineStr">
        <is>
          <t xml:space="preserve"> [güven: high]</t>
        </is>
      </c>
    </row>
    <row r="336">
      <c r="A336" s="5" t="inlineStr">
        <is>
          <t>Tare Village Urla</t>
        </is>
      </c>
      <c r="B336" s="5" t="inlineStr">
        <is>
          <t>VTS</t>
        </is>
      </c>
      <c r="C336" s="7" t="n"/>
      <c r="D336" s="6">
        <f>IFERROR(INDEX('Kontrol Adımları'!$D:$D,MATCH(1,INDEX(('Kontrol Adımları'!$A$1:$A$400=B336)*('Kontrol Adımları'!$B$1:$B$400=C336),0),0)),"")</f>
        <v/>
      </c>
      <c r="E336" s="5" t="inlineStr">
        <is>
          <t>sivi_sabun_dispenseri</t>
        </is>
      </c>
      <c r="F336" s="6">
        <f>IFERROR(INDEX('Kalem Kataloğu'!$C$1:$C$1000,MATCH(1,INDEX(('Kalem Kataloğu'!$A$1:$A$1000=A336)*('Kalem Kataloğu'!$B$1:$B$1000=E336),0),0)),"?")</f>
        <v/>
      </c>
      <c r="G336" s="6">
        <f>IFERROR(INDEX('Kalem Kataloğu'!$D$1:$D$1000,MATCH(1,INDEX(('Kalem Kataloğu'!$A$1:$A$1000=A336)*('Kalem Kataloğu'!$B$1:$B$1000=E336),0),0)),"?")</f>
        <v/>
      </c>
      <c r="H336" s="7" t="n"/>
      <c r="I336" s="7" t="inlineStr">
        <is>
          <t>Hayır</t>
        </is>
      </c>
      <c r="J336" s="5" t="inlineStr">
        <is>
          <t>Drive foto</t>
        </is>
      </c>
      <c r="K336" s="5" t="inlineStr">
        <is>
          <t>Diğer odalarda kadrajda yok [güven: medium]</t>
        </is>
      </c>
    </row>
    <row r="337">
      <c r="A337" s="5" t="inlineStr">
        <is>
          <t>Tare Village Urla</t>
        </is>
      </c>
      <c r="B337" s="5" t="inlineStr">
        <is>
          <t>VTS</t>
        </is>
      </c>
      <c r="C337" s="7" t="n"/>
      <c r="D337" s="6">
        <f>IFERROR(INDEX('Kontrol Adımları'!$D:$D,MATCH(1,INDEX(('Kontrol Adımları'!$A$1:$A$400=B337)*('Kontrol Adımları'!$B$1:$B$400=C337),0),0)),"")</f>
        <v/>
      </c>
      <c r="E337" s="5" t="inlineStr">
        <is>
          <t>sifonyer</t>
        </is>
      </c>
      <c r="F337" s="6">
        <f>IFERROR(INDEX('Kalem Kataloğu'!$C$1:$C$1000,MATCH(1,INDEX(('Kalem Kataloğu'!$A$1:$A$1000=A337)*('Kalem Kataloğu'!$B$1:$B$1000=E337),0),0)),"?")</f>
        <v/>
      </c>
      <c r="G337" s="6">
        <f>IFERROR(INDEX('Kalem Kataloğu'!$D$1:$D$1000,MATCH(1,INDEX(('Kalem Kataloğu'!$A$1:$A$1000=A337)*('Kalem Kataloğu'!$B$1:$B$1000=E337),0),0)),"?")</f>
        <v/>
      </c>
      <c r="H337" s="7" t="n"/>
      <c r="I337" s="7" t="inlineStr">
        <is>
          <t>Hayır</t>
        </is>
      </c>
      <c r="J337" s="5" t="inlineStr">
        <is>
          <t>Drive foto</t>
        </is>
      </c>
      <c r="K337" s="5" t="inlineStr">
        <is>
          <t xml:space="preserve"> [güven: medium]</t>
        </is>
      </c>
    </row>
    <row r="338">
      <c r="A338" s="5" t="inlineStr">
        <is>
          <t>Tiny Houses</t>
        </is>
      </c>
      <c r="B338" s="5" t="inlineStr">
        <is>
          <t>TNY</t>
        </is>
      </c>
      <c r="C338" s="7" t="n"/>
      <c r="D338" s="6">
        <f>IFERROR(INDEX('Kontrol Adımları'!$D:$D,MATCH(1,INDEX(('Kontrol Adımları'!$A$1:$A$400=B338)*('Kontrol Adımları'!$B$1:$B$400=C338),0),0)),"")</f>
        <v/>
      </c>
      <c r="E338" s="5" t="inlineStr">
        <is>
          <t>loft_yatak</t>
        </is>
      </c>
      <c r="F338" s="6">
        <f>IFERROR(INDEX('Kalem Kataloğu'!$C$1:$C$1000,MATCH(1,INDEX(('Kalem Kataloğu'!$A$1:$A$1000=A338)*('Kalem Kataloğu'!$B$1:$B$1000=E338),0),0)),"?")</f>
        <v/>
      </c>
      <c r="G338" s="6">
        <f>IFERROR(INDEX('Kalem Kataloğu'!$D$1:$D$1000,MATCH(1,INDEX(('Kalem Kataloğu'!$A$1:$A$1000=A338)*('Kalem Kataloğu'!$B$1:$B$1000=E338),0),0)),"?")</f>
        <v/>
      </c>
      <c r="H338" s="7" t="n">
        <v>1</v>
      </c>
      <c r="I338" s="7" t="inlineStr">
        <is>
          <t>Hayır</t>
        </is>
      </c>
      <c r="J338" s="5" t="inlineStr">
        <is>
          <t>Drive foto</t>
        </is>
      </c>
      <c r="K338" s="5" t="inlineStr">
        <is>
          <t>Çift kişilik şilte zeminde [güven: high]</t>
        </is>
      </c>
    </row>
    <row r="339">
      <c r="A339" s="5" t="inlineStr">
        <is>
          <t>Tiny Houses</t>
        </is>
      </c>
      <c r="B339" s="5" t="inlineStr">
        <is>
          <t>TNY</t>
        </is>
      </c>
      <c r="C339" s="7" t="n"/>
      <c r="D339" s="6">
        <f>IFERROR(INDEX('Kontrol Adımları'!$D:$D,MATCH(1,INDEX(('Kontrol Adımları'!$A$1:$A$400=B339)*('Kontrol Adımları'!$B$1:$B$400=C339),0),0)),"")</f>
        <v/>
      </c>
      <c r="E339" s="5" t="inlineStr">
        <is>
          <t>bahce_masa</t>
        </is>
      </c>
      <c r="F339" s="6">
        <f>IFERROR(INDEX('Kalem Kataloğu'!$C$1:$C$1000,MATCH(1,INDEX(('Kalem Kataloğu'!$A$1:$A$1000=A339)*('Kalem Kataloğu'!$B$1:$B$1000=E339),0),0)),"?")</f>
        <v/>
      </c>
      <c r="G339" s="6">
        <f>IFERROR(INDEX('Kalem Kataloğu'!$D$1:$D$1000,MATCH(1,INDEX(('Kalem Kataloğu'!$A$1:$A$1000=A339)*('Kalem Kataloğu'!$B$1:$B$1000=E339),0),0)),"?")</f>
        <v/>
      </c>
      <c r="H339" s="7" t="n">
        <v>1</v>
      </c>
      <c r="I339" s="7" t="inlineStr">
        <is>
          <t>Hayır</t>
        </is>
      </c>
      <c r="J339" s="5" t="inlineStr">
        <is>
          <t>Drive foto</t>
        </is>
      </c>
      <c r="K339" s="5" t="inlineStr">
        <is>
          <t>Ünitelere göre masa tipi farklı (beyaz plastik sandalyeler de var: 2601) [güven: medium]</t>
        </is>
      </c>
    </row>
    <row r="340">
      <c r="A340" s="5" t="inlineStr">
        <is>
          <t>Tiny Houses</t>
        </is>
      </c>
      <c r="B340" s="5" t="inlineStr">
        <is>
          <t>TNY</t>
        </is>
      </c>
      <c r="C340" s="7" t="n"/>
      <c r="D340" s="6">
        <f>IFERROR(INDEX('Kontrol Adımları'!$D:$D,MATCH(1,INDEX(('Kontrol Adımları'!$A$1:$A$400=B340)*('Kontrol Adımları'!$B$1:$B$400=C340),0),0)),"")</f>
        <v/>
      </c>
      <c r="E340" s="5" t="inlineStr">
        <is>
          <t>bahce_sandalye</t>
        </is>
      </c>
      <c r="F340" s="6">
        <f>IFERROR(INDEX('Kalem Kataloğu'!$C$1:$C$1000,MATCH(1,INDEX(('Kalem Kataloğu'!$A$1:$A$1000=A340)*('Kalem Kataloğu'!$B$1:$B$1000=E340),0),0)),"?")</f>
        <v/>
      </c>
      <c r="G340" s="6">
        <f>IFERROR(INDEX('Kalem Kataloğu'!$D$1:$D$1000,MATCH(1,INDEX(('Kalem Kataloğu'!$A$1:$A$1000=A340)*('Kalem Kataloğu'!$B$1:$B$1000=E340),0),0)),"?")</f>
        <v/>
      </c>
      <c r="H340" s="7" t="n"/>
      <c r="I340" s="7" t="inlineStr">
        <is>
          <t>Hayır</t>
        </is>
      </c>
      <c r="J340" s="5" t="inlineStr">
        <is>
          <t>Drive foto</t>
        </is>
      </c>
      <c r="K340" s="5" t="inlineStr">
        <is>
          <t>2607: 4 rattan sandalye; diğer ünitelerde beyaz plastik — ünite başına teyit [güven: medium]</t>
        </is>
      </c>
    </row>
    <row r="341">
      <c r="A341" s="5" t="inlineStr">
        <is>
          <t>Tiny Houses</t>
        </is>
      </c>
      <c r="B341" s="5" t="inlineStr">
        <is>
          <t>TNY</t>
        </is>
      </c>
      <c r="C341" s="7" t="n"/>
      <c r="D341" s="6">
        <f>IFERROR(INDEX('Kontrol Adımları'!$D:$D,MATCH(1,INDEX(('Kontrol Adımları'!$A$1:$A$400=B341)*('Kontrol Adımları'!$B$1:$B$400=C341),0),0)),"")</f>
        <v/>
      </c>
      <c r="E341" s="5" t="inlineStr">
        <is>
          <t>banyo_paspasi</t>
        </is>
      </c>
      <c r="F341" s="6">
        <f>IFERROR(INDEX('Kalem Kataloğu'!$C$1:$C$1000,MATCH(1,INDEX(('Kalem Kataloğu'!$A$1:$A$1000=A341)*('Kalem Kataloğu'!$B$1:$B$1000=E341),0),0)),"?")</f>
        <v/>
      </c>
      <c r="G341" s="6">
        <f>IFERROR(INDEX('Kalem Kataloğu'!$D$1:$D$1000,MATCH(1,INDEX(('Kalem Kataloğu'!$A$1:$A$1000=A341)*('Kalem Kataloğu'!$B$1:$B$1000=E341),0),0)),"?")</f>
        <v/>
      </c>
      <c r="H341" s="7" t="n">
        <v>1</v>
      </c>
      <c r="I341" s="7" t="inlineStr">
        <is>
          <t>Hayır</t>
        </is>
      </c>
      <c r="J341" s="5" t="inlineStr">
        <is>
          <t>Drive foto</t>
        </is>
      </c>
      <c r="K341" s="5" t="inlineStr">
        <is>
          <t xml:space="preserve"> [güven: high]</t>
        </is>
      </c>
    </row>
    <row r="342">
      <c r="A342" s="5" t="inlineStr">
        <is>
          <t>Tiny Houses</t>
        </is>
      </c>
      <c r="B342" s="5" t="inlineStr">
        <is>
          <t>TNY</t>
        </is>
      </c>
      <c r="C342" s="7" t="n"/>
      <c r="D342" s="6">
        <f>IFERROR(INDEX('Kontrol Adımları'!$D:$D,MATCH(1,INDEX(('Kontrol Adımları'!$A$1:$A$400=B342)*('Kontrol Adımları'!$B$1:$B$400=C342),0),0)),"")</f>
        <v/>
      </c>
      <c r="E342" s="5" t="inlineStr">
        <is>
          <t>orta_sehpa</t>
        </is>
      </c>
      <c r="F342" s="6">
        <f>IFERROR(INDEX('Kalem Kataloğu'!$C$1:$C$1000,MATCH(1,INDEX(('Kalem Kataloğu'!$A$1:$A$1000=A342)*('Kalem Kataloğu'!$B$1:$B$1000=E342),0),0)),"?")</f>
        <v/>
      </c>
      <c r="G342" s="6">
        <f>IFERROR(INDEX('Kalem Kataloğu'!$D$1:$D$1000,MATCH(1,INDEX(('Kalem Kataloğu'!$A$1:$A$1000=A342)*('Kalem Kataloğu'!$B$1:$B$1000=E342),0),0)),"?")</f>
        <v/>
      </c>
      <c r="H342" s="7" t="n">
        <v>1</v>
      </c>
      <c r="I342" s="7" t="inlineStr">
        <is>
          <t>Hayır</t>
        </is>
      </c>
      <c r="J342" s="5" t="inlineStr">
        <is>
          <t>Drive foto</t>
        </is>
      </c>
      <c r="K342" s="5" t="inlineStr">
        <is>
          <t xml:space="preserve"> [güven: high]</t>
        </is>
      </c>
    </row>
    <row r="343">
      <c r="A343" s="5" t="inlineStr">
        <is>
          <t>Tiny Houses</t>
        </is>
      </c>
      <c r="B343" s="5" t="inlineStr">
        <is>
          <t>TNY</t>
        </is>
      </c>
      <c r="C343" s="7" t="n"/>
      <c r="D343" s="6">
        <f>IFERROR(INDEX('Kontrol Adımları'!$D:$D,MATCH(1,INDEX(('Kontrol Adımları'!$A$1:$A$400=B343)*('Kontrol Adımları'!$B$1:$B$400=C343),0),0)),"")</f>
        <v/>
      </c>
      <c r="E343" s="5" t="inlineStr">
        <is>
          <t>evye_batarya</t>
        </is>
      </c>
      <c r="F343" s="6">
        <f>IFERROR(INDEX('Kalem Kataloğu'!$C$1:$C$1000,MATCH(1,INDEX(('Kalem Kataloğu'!$A$1:$A$1000=A343)*('Kalem Kataloğu'!$B$1:$B$1000=E343),0),0)),"?")</f>
        <v/>
      </c>
      <c r="G343" s="6">
        <f>IFERROR(INDEX('Kalem Kataloğu'!$D$1:$D$1000,MATCH(1,INDEX(('Kalem Kataloğu'!$A$1:$A$1000=A343)*('Kalem Kataloğu'!$B$1:$B$1000=E343),0),0)),"?")</f>
        <v/>
      </c>
      <c r="H343" s="7" t="n">
        <v>1</v>
      </c>
      <c r="I343" s="7" t="inlineStr">
        <is>
          <t>Hayır</t>
        </is>
      </c>
      <c r="J343" s="5" t="inlineStr">
        <is>
          <t>Drive foto</t>
        </is>
      </c>
      <c r="K343" s="5" t="inlineStr">
        <is>
          <t xml:space="preserve"> [güven: high]</t>
        </is>
      </c>
    </row>
    <row r="344">
      <c r="A344" s="5" t="inlineStr">
        <is>
          <t>Tiny Houses</t>
        </is>
      </c>
      <c r="B344" s="5" t="inlineStr">
        <is>
          <t>TNY</t>
        </is>
      </c>
      <c r="C344" s="7" t="n"/>
      <c r="D344" s="6">
        <f>IFERROR(INDEX('Kontrol Adımları'!$D:$D,MATCH(1,INDEX(('Kontrol Adımları'!$A$1:$A$400=B344)*('Kontrol Adımları'!$B$1:$B$400=C344),0),0)),"")</f>
        <v/>
      </c>
      <c r="E344" s="5" t="inlineStr">
        <is>
          <t>hali</t>
        </is>
      </c>
      <c r="F344" s="6">
        <f>IFERROR(INDEX('Kalem Kataloğu'!$C$1:$C$1000,MATCH(1,INDEX(('Kalem Kataloğu'!$A$1:$A$1000=A344)*('Kalem Kataloğu'!$B$1:$B$1000=E344),0),0)),"?")</f>
        <v/>
      </c>
      <c r="G344" s="6">
        <f>IFERROR(INDEX('Kalem Kataloğu'!$D$1:$D$1000,MATCH(1,INDEX(('Kalem Kataloğu'!$A$1:$A$1000=A344)*('Kalem Kataloğu'!$B$1:$B$1000=E344),0),0)),"?")</f>
        <v/>
      </c>
      <c r="H344" s="7" t="n"/>
      <c r="I344" s="7" t="inlineStr">
        <is>
          <t>Hayır</t>
        </is>
      </c>
      <c r="J344" s="5" t="inlineStr">
        <is>
          <t>Drive foto</t>
        </is>
      </c>
      <c r="K344" s="5" t="inlineStr">
        <is>
          <t>Loft ve yatak yanında; adet ünite başına teyit [güven: medium]</t>
        </is>
      </c>
    </row>
    <row r="345" ht="26.4" customHeight="1">
      <c r="A345" s="5" t="inlineStr">
        <is>
          <t>Tiny Houses</t>
        </is>
      </c>
      <c r="B345" s="5" t="inlineStr">
        <is>
          <t>TNY</t>
        </is>
      </c>
      <c r="C345" s="7" t="n"/>
      <c r="D345" s="6">
        <f>IFERROR(INDEX('Kontrol Adımları'!$D:$D,MATCH(1,INDEX(('Kontrol Adımları'!$A$1:$A$400=B345)*('Kontrol Adımları'!$B$1:$B$400=C345),0),0)),"")</f>
        <v/>
      </c>
      <c r="E345" s="5" t="inlineStr">
        <is>
          <t>duvar_tv</t>
        </is>
      </c>
      <c r="F345" s="6">
        <f>IFERROR(INDEX('Kalem Kataloğu'!$C$1:$C$1000,MATCH(1,INDEX(('Kalem Kataloğu'!$A$1:$A$1000=A345)*('Kalem Kataloğu'!$B$1:$B$1000=E345),0),0)),"?")</f>
        <v/>
      </c>
      <c r="G345" s="6">
        <f>IFERROR(INDEX('Kalem Kataloğu'!$D$1:$D$1000,MATCH(1,INDEX(('Kalem Kataloğu'!$A$1:$A$1000=A345)*('Kalem Kataloğu'!$B$1:$B$1000=E345),0),0)),"?")</f>
        <v/>
      </c>
      <c r="H345" s="7" t="n">
        <v>1</v>
      </c>
      <c r="I345" s="7" t="inlineStr">
        <is>
          <t>Hayır</t>
        </is>
      </c>
      <c r="J345" s="5" t="inlineStr">
        <is>
          <t>Drive foto</t>
        </is>
      </c>
      <c r="K345" s="5" t="inlineStr">
        <is>
          <t xml:space="preserve"> [güven: high]</t>
        </is>
      </c>
    </row>
    <row r="346">
      <c r="A346" s="5" t="inlineStr">
        <is>
          <t>Tiny Houses</t>
        </is>
      </c>
      <c r="B346" s="5" t="inlineStr">
        <is>
          <t>TNY</t>
        </is>
      </c>
      <c r="C346" s="7" t="n"/>
      <c r="D346" s="6">
        <f>IFERROR(INDEX('Kontrol Adımları'!$D:$D,MATCH(1,INDEX(('Kontrol Adımları'!$A$1:$A$400=B346)*('Kontrol Adımları'!$B$1:$B$400=C346),0),0)),"")</f>
        <v/>
      </c>
      <c r="E346" s="5" t="inlineStr">
        <is>
          <t>hasir_supla</t>
        </is>
      </c>
      <c r="F346" s="6">
        <f>IFERROR(INDEX('Kalem Kataloğu'!$C$1:$C$1000,MATCH(1,INDEX(('Kalem Kataloğu'!$A$1:$A$1000=A346)*('Kalem Kataloğu'!$B$1:$B$1000=E346),0),0)),"?")</f>
        <v/>
      </c>
      <c r="G346" s="6">
        <f>IFERROR(INDEX('Kalem Kataloğu'!$D$1:$D$1000,MATCH(1,INDEX(('Kalem Kataloğu'!$A$1:$A$1000=A346)*('Kalem Kataloğu'!$B$1:$B$1000=E346),0),0)),"?")</f>
        <v/>
      </c>
      <c r="H346" s="7" t="n">
        <v>1</v>
      </c>
      <c r="I346" s="7" t="inlineStr">
        <is>
          <t>Hayır</t>
        </is>
      </c>
      <c r="J346" s="5" t="inlineStr">
        <is>
          <t>Drive foto</t>
        </is>
      </c>
      <c r="K346" s="5" t="inlineStr">
        <is>
          <t xml:space="preserve"> [güven: high]</t>
        </is>
      </c>
    </row>
    <row r="347">
      <c r="A347" s="5" t="inlineStr">
        <is>
          <t>Tiny Houses</t>
        </is>
      </c>
      <c r="B347" s="5" t="inlineStr">
        <is>
          <t>TNY</t>
        </is>
      </c>
      <c r="C347" s="7" t="n"/>
      <c r="D347" s="6">
        <f>IFERROR(INDEX('Kontrol Adımları'!$D:$D,MATCH(1,INDEX(('Kontrol Adımları'!$A$1:$A$400=B347)*('Kontrol Adımları'!$B$1:$B$400=C347),0),0)),"")</f>
        <v/>
      </c>
      <c r="E347" s="5" t="inlineStr">
        <is>
          <t>isikli_ayna</t>
        </is>
      </c>
      <c r="F347" s="6">
        <f>IFERROR(INDEX('Kalem Kataloğu'!$C$1:$C$1000,MATCH(1,INDEX(('Kalem Kataloğu'!$A$1:$A$1000=A347)*('Kalem Kataloğu'!$B$1:$B$1000=E347),0),0)),"?")</f>
        <v/>
      </c>
      <c r="G347" s="6">
        <f>IFERROR(INDEX('Kalem Kataloğu'!$D$1:$D$1000,MATCH(1,INDEX(('Kalem Kataloğu'!$A$1:$A$1000=A347)*('Kalem Kataloğu'!$B$1:$B$1000=E347),0),0)),"?")</f>
        <v/>
      </c>
      <c r="H347" s="7" t="n">
        <v>1</v>
      </c>
      <c r="I347" s="7" t="inlineStr">
        <is>
          <t>Hayır</t>
        </is>
      </c>
      <c r="J347" s="5" t="inlineStr">
        <is>
          <t>Drive foto</t>
        </is>
      </c>
      <c r="K347" s="5" t="inlineStr">
        <is>
          <t xml:space="preserve"> [güven: high]</t>
        </is>
      </c>
    </row>
    <row r="348">
      <c r="A348" s="5" t="inlineStr">
        <is>
          <t>Tiny Houses</t>
        </is>
      </c>
      <c r="B348" s="5" t="inlineStr">
        <is>
          <t>TNY</t>
        </is>
      </c>
      <c r="C348" s="7" t="n"/>
      <c r="D348" s="6">
        <f>IFERROR(INDEX('Kontrol Adımları'!$D:$D,MATCH(1,INDEX(('Kontrol Adımları'!$A$1:$A$400=B348)*('Kontrol Adımları'!$B$1:$B$400=C348),0),0)),"")</f>
        <v/>
      </c>
      <c r="E348" s="5" t="inlineStr">
        <is>
          <t>kanepe</t>
        </is>
      </c>
      <c r="F348" s="6">
        <f>IFERROR(INDEX('Kalem Kataloğu'!$C$1:$C$1000,MATCH(1,INDEX(('Kalem Kataloğu'!$A$1:$A$1000=A348)*('Kalem Kataloğu'!$B$1:$B$1000=E348),0),0)),"?")</f>
        <v/>
      </c>
      <c r="G348" s="6">
        <f>IFERROR(INDEX('Kalem Kataloğu'!$D$1:$D$1000,MATCH(1,INDEX(('Kalem Kataloğu'!$A$1:$A$1000=A348)*('Kalem Kataloğu'!$B$1:$B$1000=E348),0),0)),"?")</f>
        <v/>
      </c>
      <c r="H348" s="7" t="n">
        <v>1</v>
      </c>
      <c r="I348" s="7" t="inlineStr">
        <is>
          <t>Hayır</t>
        </is>
      </c>
      <c r="J348" s="5" t="inlineStr">
        <is>
          <t>Drive foto</t>
        </is>
      </c>
      <c r="K348" s="5" t="inlineStr">
        <is>
          <t xml:space="preserve"> [güven: high]</t>
        </is>
      </c>
    </row>
    <row r="349" ht="26.4" customHeight="1">
      <c r="A349" s="5" t="inlineStr">
        <is>
          <t>Tiny Houses</t>
        </is>
      </c>
      <c r="B349" s="5" t="inlineStr">
        <is>
          <t>TNY</t>
        </is>
      </c>
      <c r="C349" s="7" t="n"/>
      <c r="D349" s="6">
        <f>IFERROR(INDEX('Kontrol Adımları'!$D:$D,MATCH(1,INDEX(('Kontrol Adımları'!$A$1:$A$400=B349)*('Kontrol Adımları'!$B$1:$B$400=C349),0),0)),"")</f>
        <v/>
      </c>
      <c r="E349" s="5" t="inlineStr">
        <is>
          <t>klozet</t>
        </is>
      </c>
      <c r="F349" s="6">
        <f>IFERROR(INDEX('Kalem Kataloğu'!$C$1:$C$1000,MATCH(1,INDEX(('Kalem Kataloğu'!$A$1:$A$1000=A349)*('Kalem Kataloğu'!$B$1:$B$1000=E349),0),0)),"?")</f>
        <v/>
      </c>
      <c r="G349" s="6">
        <f>IFERROR(INDEX('Kalem Kataloğu'!$D$1:$D$1000,MATCH(1,INDEX(('Kalem Kataloğu'!$A$1:$A$1000=A349)*('Kalem Kataloğu'!$B$1:$B$1000=E349),0),0)),"?")</f>
        <v/>
      </c>
      <c r="H349" s="7" t="n">
        <v>1</v>
      </c>
      <c r="I349" s="7" t="inlineStr">
        <is>
          <t>Hayır</t>
        </is>
      </c>
      <c r="J349" s="5" t="inlineStr">
        <is>
          <t>Drive foto</t>
        </is>
      </c>
      <c r="K349" s="5" t="inlineStr">
        <is>
          <t>Kenarda kısmen görünüyor [güven: medium]</t>
        </is>
      </c>
    </row>
    <row r="350">
      <c r="A350" s="5" t="inlineStr">
        <is>
          <t>Tiny Houses</t>
        </is>
      </c>
      <c r="B350" s="5" t="inlineStr">
        <is>
          <t>TNY</t>
        </is>
      </c>
      <c r="C350" s="7" t="n"/>
      <c r="D350" s="6">
        <f>IFERROR(INDEX('Kontrol Adımları'!$D:$D,MATCH(1,INDEX(('Kontrol Adımları'!$A$1:$A$400=B350)*('Kontrol Adımları'!$B$1:$B$400=C350),0),0)),"")</f>
        <v/>
      </c>
      <c r="E350" s="5" t="inlineStr">
        <is>
          <t>kumanda</t>
        </is>
      </c>
      <c r="F350" s="6">
        <f>IFERROR(INDEX('Kalem Kataloğu'!$C$1:$C$1000,MATCH(1,INDEX(('Kalem Kataloğu'!$A$1:$A$1000=A350)*('Kalem Kataloğu'!$B$1:$B$1000=E350),0),0)),"?")</f>
        <v/>
      </c>
      <c r="G350" s="6">
        <f>IFERROR(INDEX('Kalem Kataloğu'!$D$1:$D$1000,MATCH(1,INDEX(('Kalem Kataloğu'!$A$1:$A$1000=A350)*('Kalem Kataloğu'!$B$1:$B$1000=E350),0),0)),"?")</f>
        <v/>
      </c>
      <c r="H350" s="7" t="n">
        <v>2</v>
      </c>
      <c r="I350" s="7" t="inlineStr">
        <is>
          <t>Hayır</t>
        </is>
      </c>
      <c r="J350" s="5" t="inlineStr">
        <is>
          <t>Drive foto</t>
        </is>
      </c>
      <c r="K350" s="5" t="inlineStr">
        <is>
          <t xml:space="preserve"> [güven: high]</t>
        </is>
      </c>
    </row>
    <row r="351">
      <c r="A351" s="5" t="inlineStr">
        <is>
          <t>Tiny Houses</t>
        </is>
      </c>
      <c r="B351" s="5" t="inlineStr">
        <is>
          <t>TNY</t>
        </is>
      </c>
      <c r="C351" s="7" t="n"/>
      <c r="D351" s="6">
        <f>IFERROR(INDEX('Kontrol Adımları'!$D:$D,MATCH(1,INDEX(('Kontrol Adımları'!$A$1:$A$400=B351)*('Kontrol Adımları'!$B$1:$B$400=C351),0),0)),"")</f>
        <v/>
      </c>
      <c r="E351" s="5" t="inlineStr">
        <is>
          <t>lavabo_dolabi</t>
        </is>
      </c>
      <c r="F351" s="6">
        <f>IFERROR(INDEX('Kalem Kataloğu'!$C$1:$C$1000,MATCH(1,INDEX(('Kalem Kataloğu'!$A$1:$A$1000=A351)*('Kalem Kataloğu'!$B$1:$B$1000=E351),0),0)),"?")</f>
        <v/>
      </c>
      <c r="G351" s="6">
        <f>IFERROR(INDEX('Kalem Kataloğu'!$D$1:$D$1000,MATCH(1,INDEX(('Kalem Kataloğu'!$A$1:$A$1000=A351)*('Kalem Kataloğu'!$B$1:$B$1000=E351),0),0)),"?")</f>
        <v/>
      </c>
      <c r="H351" s="7" t="n">
        <v>1</v>
      </c>
      <c r="I351" s="7" t="inlineStr">
        <is>
          <t>Hayır</t>
        </is>
      </c>
      <c r="J351" s="5" t="inlineStr">
        <is>
          <t>Drive foto</t>
        </is>
      </c>
      <c r="K351" s="5" t="inlineStr">
        <is>
          <t xml:space="preserve"> [güven: high]</t>
        </is>
      </c>
    </row>
    <row r="352" ht="26.4" customHeight="1">
      <c r="A352" s="5" t="inlineStr">
        <is>
          <t>Tiny Houses</t>
        </is>
      </c>
      <c r="B352" s="5" t="inlineStr">
        <is>
          <t>TNY</t>
        </is>
      </c>
      <c r="C352" s="7" t="n"/>
      <c r="D352" s="6">
        <f>IFERROR(INDEX('Kontrol Adımları'!$D:$D,MATCH(1,INDEX(('Kontrol Adımları'!$A$1:$A$400=B352)*('Kontrol Adımları'!$B$1:$B$400=C352),0),0)),"")</f>
        <v/>
      </c>
      <c r="E352" s="5" t="inlineStr">
        <is>
          <t>dus_kabini</t>
        </is>
      </c>
      <c r="F352" s="6">
        <f>IFERROR(INDEX('Kalem Kataloğu'!$C$1:$C$1000,MATCH(1,INDEX(('Kalem Kataloğu'!$A$1:$A$1000=A352)*('Kalem Kataloğu'!$B$1:$B$1000=E352),0),0)),"?")</f>
        <v/>
      </c>
      <c r="G352" s="6">
        <f>IFERROR(INDEX('Kalem Kataloğu'!$D$1:$D$1000,MATCH(1,INDEX(('Kalem Kataloğu'!$A$1:$A$1000=A352)*('Kalem Kataloğu'!$B$1:$B$1000=E352),0),0)),"?")</f>
        <v/>
      </c>
      <c r="H352" s="7" t="n">
        <v>1</v>
      </c>
      <c r="I352" s="7" t="inlineStr">
        <is>
          <t>Hayır</t>
        </is>
      </c>
      <c r="J352" s="5" t="inlineStr">
        <is>
          <t>Drive foto</t>
        </is>
      </c>
      <c r="K352" s="5" t="inlineStr">
        <is>
          <t xml:space="preserve"> [güven: high]</t>
        </is>
      </c>
    </row>
    <row r="353">
      <c r="A353" s="5" t="inlineStr">
        <is>
          <t>Tiny Houses</t>
        </is>
      </c>
      <c r="B353" s="5" t="inlineStr">
        <is>
          <t>TNY</t>
        </is>
      </c>
      <c r="C353" s="7" t="n"/>
      <c r="D353" s="6">
        <f>IFERROR(INDEX('Kontrol Adımları'!$D:$D,MATCH(1,INDEX(('Kontrol Adımları'!$A$1:$A$400=B353)*('Kontrol Adımları'!$B$1:$B$400=C353),0),0)),"")</f>
        <v/>
      </c>
      <c r="E353" s="5" t="inlineStr">
        <is>
          <t>klima</t>
        </is>
      </c>
      <c r="F353" s="6">
        <f>IFERROR(INDEX('Kalem Kataloğu'!$C$1:$C$1000,MATCH(1,INDEX(('Kalem Kataloğu'!$A$1:$A$1000=A353)*('Kalem Kataloğu'!$B$1:$B$1000=E353),0),0)),"?")</f>
        <v/>
      </c>
      <c r="G353" s="6">
        <f>IFERROR(INDEX('Kalem Kataloğu'!$D$1:$D$1000,MATCH(1,INDEX(('Kalem Kataloğu'!$A$1:$A$1000=A353)*('Kalem Kataloğu'!$B$1:$B$1000=E353),0),0)),"?")</f>
        <v/>
      </c>
      <c r="H353" s="7" t="n">
        <v>1</v>
      </c>
      <c r="I353" s="7" t="inlineStr">
        <is>
          <t>Hayır</t>
        </is>
      </c>
      <c r="J353" s="5" t="inlineStr">
        <is>
          <t>Drive foto</t>
        </is>
      </c>
      <c r="K353" s="5" t="inlineStr">
        <is>
          <t xml:space="preserve"> [güven: high]</t>
        </is>
      </c>
    </row>
    <row r="354">
      <c r="A354" s="5" t="inlineStr">
        <is>
          <t>Tiny Houses</t>
        </is>
      </c>
      <c r="B354" s="5" t="inlineStr">
        <is>
          <t>TNY</t>
        </is>
      </c>
      <c r="C354" s="7" t="n"/>
      <c r="D354" s="6">
        <f>IFERROR(INDEX('Kontrol Adımları'!$D:$D,MATCH(1,INDEX(('Kontrol Adımları'!$A$1:$A$400=B354)*('Kontrol Adımları'!$B$1:$B$400=C354),0),0)),"")</f>
        <v/>
      </c>
      <c r="E354" s="5" t="inlineStr">
        <is>
          <t>sivi_sabun</t>
        </is>
      </c>
      <c r="F354" s="6">
        <f>IFERROR(INDEX('Kalem Kataloğu'!$C$1:$C$1000,MATCH(1,INDEX(('Kalem Kataloğu'!$A$1:$A$1000=A354)*('Kalem Kataloğu'!$B$1:$B$1000=E354),0),0)),"?")</f>
        <v/>
      </c>
      <c r="G354" s="6">
        <f>IFERROR(INDEX('Kalem Kataloğu'!$D$1:$D$1000,MATCH(1,INDEX(('Kalem Kataloğu'!$A$1:$A$1000=A354)*('Kalem Kataloğu'!$B$1:$B$1000=E354),0),0)),"?")</f>
        <v/>
      </c>
      <c r="H354" s="7" t="n">
        <v>1</v>
      </c>
      <c r="I354" s="7" t="inlineStr">
        <is>
          <t>Hayır</t>
        </is>
      </c>
      <c r="J354" s="5" t="inlineStr">
        <is>
          <t>Drive foto</t>
        </is>
      </c>
      <c r="K354" s="5" t="inlineStr">
        <is>
          <t xml:space="preserve"> [güven: high]</t>
        </is>
      </c>
    </row>
    <row r="355">
      <c r="A355" s="5" t="inlineStr">
        <is>
          <t>Tiny Houses</t>
        </is>
      </c>
      <c r="B355" s="5" t="inlineStr">
        <is>
          <t>TNY</t>
        </is>
      </c>
      <c r="C355" s="7" t="n"/>
      <c r="D355" s="6">
        <f>IFERROR(INDEX('Kontrol Adımları'!$D:$D,MATCH(1,INDEX(('Kontrol Adımları'!$A$1:$A$400=B355)*('Kontrol Adımları'!$B$1:$B$400=C355),0),0)),"")</f>
        <v/>
      </c>
      <c r="E355" s="5" t="inlineStr">
        <is>
          <t>mini_ocak</t>
        </is>
      </c>
      <c r="F355" s="6">
        <f>IFERROR(INDEX('Kalem Kataloğu'!$C$1:$C$1000,MATCH(1,INDEX(('Kalem Kataloğu'!$A$1:$A$1000=A355)*('Kalem Kataloğu'!$B$1:$B$1000=E355),0),0)),"?")</f>
        <v/>
      </c>
      <c r="G355" s="6">
        <f>IFERROR(INDEX('Kalem Kataloğu'!$D$1:$D$1000,MATCH(1,INDEX(('Kalem Kataloğu'!$A$1:$A$1000=A355)*('Kalem Kataloğu'!$B$1:$B$1000=E355),0),0)),"?")</f>
        <v/>
      </c>
      <c r="H355" s="7" t="n">
        <v>1</v>
      </c>
      <c r="I355" s="7" t="inlineStr">
        <is>
          <t>Hayır</t>
        </is>
      </c>
      <c r="J355" s="5" t="inlineStr">
        <is>
          <t>Drive foto</t>
        </is>
      </c>
      <c r="K355" s="5" t="inlineStr">
        <is>
          <t>Özellik dosyasında Tiny House için Ocak "-" ama fotoğrafta tezgahta tek göz ocak var — teyit [güven: medium]</t>
        </is>
      </c>
    </row>
    <row r="356">
      <c r="A356" s="5" t="inlineStr">
        <is>
          <t>Tiny Houses</t>
        </is>
      </c>
      <c r="B356" s="5" t="inlineStr">
        <is>
          <t>TNY</t>
        </is>
      </c>
      <c r="C356" s="7" t="n"/>
      <c r="D356" s="6">
        <f>IFERROR(INDEX('Kontrol Adımları'!$D:$D,MATCH(1,INDEX(('Kontrol Adımları'!$A$1:$A$400=B356)*('Kontrol Adımları'!$B$1:$B$400=C356),0),0)),"")</f>
        <v/>
      </c>
      <c r="E356" s="5" t="inlineStr">
        <is>
          <t>tuvalet_kagidi</t>
        </is>
      </c>
      <c r="F356" s="6">
        <f>IFERROR(INDEX('Kalem Kataloğu'!$C$1:$C$1000,MATCH(1,INDEX(('Kalem Kataloğu'!$A$1:$A$1000=A356)*('Kalem Kataloğu'!$B$1:$B$1000=E356),0),0)),"?")</f>
        <v/>
      </c>
      <c r="G356" s="6">
        <f>IFERROR(INDEX('Kalem Kataloğu'!$D$1:$D$1000,MATCH(1,INDEX(('Kalem Kataloğu'!$A$1:$A$1000=A356)*('Kalem Kataloğu'!$B$1:$B$1000=E356),0),0)),"?")</f>
        <v/>
      </c>
      <c r="H356" s="7" t="n">
        <v>1</v>
      </c>
      <c r="I356" s="7" t="inlineStr">
        <is>
          <t>Hayır</t>
        </is>
      </c>
      <c r="J356" s="5" t="inlineStr">
        <is>
          <t>Drive foto</t>
        </is>
      </c>
      <c r="K356" s="5" t="inlineStr">
        <is>
          <t xml:space="preserve"> [güven: high]</t>
        </is>
      </c>
    </row>
    <row r="357" ht="26.4" customHeight="1">
      <c r="A357" s="5" t="inlineStr">
        <is>
          <t>Tiny Houses</t>
        </is>
      </c>
      <c r="B357" s="5" t="inlineStr">
        <is>
          <t>TNY</t>
        </is>
      </c>
      <c r="C357" s="7" t="n"/>
      <c r="D357" s="6">
        <f>IFERROR(INDEX('Kontrol Adımları'!$D:$D,MATCH(1,INDEX(('Kontrol Adımları'!$A$1:$A$400=B357)*('Kontrol Adımları'!$B$1:$B$400=C357),0),0)),"")</f>
        <v/>
      </c>
      <c r="E357" s="5" t="inlineStr">
        <is>
          <t>tuvalet_kagidi_aparati</t>
        </is>
      </c>
      <c r="F357" s="6">
        <f>IFERROR(INDEX('Kalem Kataloğu'!$C$1:$C$1000,MATCH(1,INDEX(('Kalem Kataloğu'!$A$1:$A$1000=A357)*('Kalem Kataloğu'!$B$1:$B$1000=E357),0),0)),"?")</f>
        <v/>
      </c>
      <c r="G357" s="6">
        <f>IFERROR(INDEX('Kalem Kataloğu'!$D$1:$D$1000,MATCH(1,INDEX(('Kalem Kataloğu'!$A$1:$A$1000=A357)*('Kalem Kataloğu'!$B$1:$B$1000=E357),0),0)),"?")</f>
        <v/>
      </c>
      <c r="H357" s="7" t="n">
        <v>1</v>
      </c>
      <c r="I357" s="7" t="inlineStr">
        <is>
          <t>Hayır</t>
        </is>
      </c>
      <c r="J357" s="5" t="inlineStr">
        <is>
          <t>Drive foto</t>
        </is>
      </c>
      <c r="K357" s="5" t="inlineStr">
        <is>
          <t xml:space="preserve"> [güven: high]</t>
        </is>
      </c>
    </row>
    <row r="358">
      <c r="A358" s="5" t="inlineStr">
        <is>
          <t>Tiny Houses</t>
        </is>
      </c>
      <c r="B358" s="5" t="inlineStr">
        <is>
          <t>TNY</t>
        </is>
      </c>
      <c r="C358" s="7" t="n"/>
      <c r="D358" s="6">
        <f>IFERROR(INDEX('Kontrol Adımları'!$D:$D,MATCH(1,INDEX(('Kontrol Adımları'!$A$1:$A$400=B358)*('Kontrol Adımları'!$B$1:$B$400=C358),0),0)),"")</f>
        <v/>
      </c>
      <c r="E358" s="5" t="inlineStr">
        <is>
          <t>yangin_sondurucu</t>
        </is>
      </c>
      <c r="F358" s="6">
        <f>IFERROR(INDEX('Kalem Kataloğu'!$C$1:$C$1000,MATCH(1,INDEX(('Kalem Kataloğu'!$A$1:$A$1000=A358)*('Kalem Kataloğu'!$B$1:$B$1000=E358),0),0)),"?")</f>
        <v/>
      </c>
      <c r="G358" s="6">
        <f>IFERROR(INDEX('Kalem Kataloğu'!$D$1:$D$1000,MATCH(1,INDEX(('Kalem Kataloğu'!$A$1:$A$1000=A358)*('Kalem Kataloğu'!$B$1:$B$1000=E358),0),0)),"?")</f>
        <v/>
      </c>
      <c r="H358" s="7" t="n">
        <v>1</v>
      </c>
      <c r="I358" s="7" t="inlineStr">
        <is>
          <t>Hayır</t>
        </is>
      </c>
      <c r="J358" s="5" t="inlineStr">
        <is>
          <t>Drive foto</t>
        </is>
      </c>
      <c r="K358" s="5" t="inlineStr">
        <is>
          <t>Deck yanında kırmızı tüp [güven: medium]</t>
        </is>
      </c>
    </row>
    <row r="359">
      <c r="A359" s="5" t="inlineStr">
        <is>
          <t>Tiny Houses</t>
        </is>
      </c>
      <c r="B359" s="5" t="inlineStr">
        <is>
          <t>TNY</t>
        </is>
      </c>
      <c r="C359" s="7" t="n"/>
      <c r="D359" s="6">
        <f>IFERROR(INDEX('Kontrol Adımları'!$D:$D,MATCH(1,INDEX(('Kontrol Adımları'!$A$1:$A$400=B359)*('Kontrol Adımları'!$B$1:$B$400=C359),0),0)),"")</f>
        <v/>
      </c>
      <c r="E359" s="5" t="inlineStr">
        <is>
          <t>yastik</t>
        </is>
      </c>
      <c r="F359" s="6">
        <f>IFERROR(INDEX('Kalem Kataloğu'!$C$1:$C$1000,MATCH(1,INDEX(('Kalem Kataloğu'!$A$1:$A$1000=A359)*('Kalem Kataloğu'!$B$1:$B$1000=E359),0),0)),"?")</f>
        <v/>
      </c>
      <c r="G359" s="6">
        <f>IFERROR(INDEX('Kalem Kataloğu'!$D$1:$D$1000,MATCH(1,INDEX(('Kalem Kataloğu'!$A$1:$A$1000=A359)*('Kalem Kataloğu'!$B$1:$B$1000=E359),0),0)),"?")</f>
        <v/>
      </c>
      <c r="H359" s="7" t="n"/>
      <c r="I359" s="7" t="inlineStr">
        <is>
          <t>Hayır</t>
        </is>
      </c>
      <c r="J359" s="5" t="inlineStr">
        <is>
          <t>Drive foto</t>
        </is>
      </c>
      <c r="K359" s="5" t="inlineStr">
        <is>
          <t>Her yatakta 2; toplam üniteye göre 2-4 [güven: medium]</t>
        </is>
      </c>
    </row>
    <row r="360">
      <c r="A360" s="5" t="inlineStr">
        <is>
          <t>Tiny Houses</t>
        </is>
      </c>
      <c r="B360" s="5" t="inlineStr">
        <is>
          <t>TNY</t>
        </is>
      </c>
      <c r="C360" s="7" t="n"/>
      <c r="D360" s="6">
        <f>IFERROR(INDEX('Kontrol Adımları'!$D:$D,MATCH(1,INDEX(('Kontrol Adımları'!$A$1:$A$400=B360)*('Kontrol Adımları'!$B$1:$B$400=C360),0),0)),"")</f>
        <v/>
      </c>
      <c r="E360" s="5" t="inlineStr">
        <is>
          <t>zebra_perde</t>
        </is>
      </c>
      <c r="F360" s="6">
        <f>IFERROR(INDEX('Kalem Kataloğu'!$C$1:$C$1000,MATCH(1,INDEX(('Kalem Kataloğu'!$A$1:$A$1000=A360)*('Kalem Kataloğu'!$B$1:$B$1000=E360),0),0)),"?")</f>
        <v/>
      </c>
      <c r="G360" s="6">
        <f>IFERROR(INDEX('Kalem Kataloğu'!$D$1:$D$1000,MATCH(1,INDEX(('Kalem Kataloğu'!$A$1:$A$1000=A360)*('Kalem Kataloğu'!$B$1:$B$1000=E360),0),0)),"?")</f>
        <v/>
      </c>
      <c r="H360" s="7" t="n"/>
      <c r="I360" s="7" t="inlineStr">
        <is>
          <t>Hayır</t>
        </is>
      </c>
      <c r="J360" s="5" t="inlineStr">
        <is>
          <t>Drive foto</t>
        </is>
      </c>
      <c r="K360" s="5" t="inlineStr">
        <is>
          <t>Pencere sayısı kadar [güven: medium]</t>
        </is>
      </c>
    </row>
    <row r="361">
      <c r="A361" s="5" t="inlineStr">
        <is>
          <t>Tiny Houses</t>
        </is>
      </c>
      <c r="B361" s="5" t="inlineStr">
        <is>
          <t>TNY</t>
        </is>
      </c>
      <c r="C361" s="7" t="n"/>
      <c r="D361" s="6">
        <f>IFERROR(INDEX('Kontrol Adımları'!$D:$D,MATCH(1,INDEX(('Kontrol Adımları'!$A$1:$A$400=B361)*('Kontrol Adımları'!$B$1:$B$400=C361),0),0)),"")</f>
        <v/>
      </c>
      <c r="E361" s="5" t="inlineStr">
        <is>
          <t>cift_kisilik_yatak</t>
        </is>
      </c>
      <c r="F361" s="6">
        <f>IFERROR(INDEX('Kalem Kataloğu'!$C$1:$C$1000,MATCH(1,INDEX(('Kalem Kataloğu'!$A$1:$A$1000=A361)*('Kalem Kataloğu'!$B$1:$B$1000=E361),0),0)),"?")</f>
        <v/>
      </c>
      <c r="G361" s="6">
        <f>IFERROR(INDEX('Kalem Kataloğu'!$D$1:$D$1000,MATCH(1,INDEX(('Kalem Kataloğu'!$A$1:$A$1000=A361)*('Kalem Kataloğu'!$B$1:$B$1000=E361),0),0)),"?")</f>
        <v/>
      </c>
      <c r="H361" s="7" t="n"/>
      <c r="I361" s="7" t="inlineStr">
        <is>
          <t>Hayır</t>
        </is>
      </c>
      <c r="J361" s="5" t="inlineStr">
        <is>
          <t>Drive foto</t>
        </is>
      </c>
      <c r="K361" s="5" t="inlineStr">
        <is>
          <t>Bazı ünitelerde alt katta yatak odası var (2725); her ünitede var mı teyit [güven: medium]</t>
        </is>
      </c>
    </row>
    <row r="362">
      <c r="A362" s="5" t="inlineStr">
        <is>
          <t>Tare Houses Hotel</t>
        </is>
      </c>
      <c r="B362" s="5" t="inlineStr">
        <is>
          <t>X1</t>
        </is>
      </c>
      <c r="C362" s="7" t="n">
        <v>1</v>
      </c>
      <c r="D362">
        <f>IFERROR(INDEX('Kontrol Adımları'!$D:$D,MATCH(1,INDEX(('Kontrol Adımları'!$A$1:$A$400=B362)*('Kontrol Adımları'!$B$1:$B$400=C362),0),0)),"")</f>
        <v/>
      </c>
      <c r="E362" s="5" t="inlineStr">
        <is>
          <t>tv</t>
        </is>
      </c>
      <c r="F362">
        <f>IFERROR(INDEX('Kalem Kataloğu'!$C$1:$C$1000,MATCH(1,INDEX(('Kalem Kataloğu'!$A$1:$A$1000=A362)*('Kalem Kataloğu'!$B$1:$B$1000=E362),0),0)),"?")</f>
        <v/>
      </c>
      <c r="G362">
        <f>IFERROR(INDEX('Kalem Kataloğu'!$D$1:$D$1000,MATCH(1,INDEX(('Kalem Kataloğu'!$A$1:$A$1000=A362)*('Kalem Kataloğu'!$B$1:$B$1000=E362),0),0)),"?")</f>
        <v/>
      </c>
      <c r="H362" s="7" t="n">
        <v>1</v>
      </c>
      <c r="I362" s="7" t="inlineStr">
        <is>
          <t>Evet</t>
        </is>
      </c>
      <c r="J362" s="5" t="inlineStr">
        <is>
          <t>Drive foto (20.10.2026)</t>
        </is>
      </c>
      <c r="K362" s="5" t="inlineStr">
        <is>
          <t>Yatak odasında 1 TV (video); oturma bölümünde TV yok</t>
        </is>
      </c>
    </row>
    <row r="363">
      <c r="A363" s="5" t="inlineStr">
        <is>
          <t>Tare Houses Hotel</t>
        </is>
      </c>
      <c r="B363" s="5" t="inlineStr">
        <is>
          <t>X1</t>
        </is>
      </c>
      <c r="C363" s="7" t="n">
        <v>2</v>
      </c>
      <c r="D363">
        <f>IFERROR(INDEX('Kontrol Adımları'!$D:$D,MATCH(1,INDEX(('Kontrol Adımları'!$A$1:$A$400=B363)*('Kontrol Adımları'!$B$1:$B$400=C363),0),0)),"")</f>
        <v/>
      </c>
      <c r="E363" s="5" t="inlineStr">
        <is>
          <t>vessel_sink</t>
        </is>
      </c>
      <c r="F363">
        <f>IFERROR(INDEX('Kalem Kataloğu'!$C$1:$C$1000,MATCH(1,INDEX(('Kalem Kataloğu'!$A$1:$A$1000=A363)*('Kalem Kataloğu'!$B$1:$B$1000=E363),0),0)),"?")</f>
        <v/>
      </c>
      <c r="G363">
        <f>IFERROR(INDEX('Kalem Kataloğu'!$D$1:$D$1000,MATCH(1,INDEX(('Kalem Kataloğu'!$A$1:$A$1000=A363)*('Kalem Kataloğu'!$B$1:$B$1000=E363),0),0)),"?")</f>
        <v/>
      </c>
      <c r="H363" s="7" t="n">
        <v>1</v>
      </c>
      <c r="I363" s="7" t="inlineStr">
        <is>
          <t>Evet</t>
        </is>
      </c>
      <c r="J363" s="5" t="inlineStr">
        <is>
          <t>Drive foto (20.10.2026)</t>
        </is>
      </c>
      <c r="K363" s="5" t="n"/>
    </row>
    <row r="364">
      <c r="A364" s="5" t="inlineStr">
        <is>
          <t>Tare Houses Hotel</t>
        </is>
      </c>
      <c r="B364" s="5" t="inlineStr">
        <is>
          <t>X1</t>
        </is>
      </c>
      <c r="C364" s="7" t="n">
        <v>2</v>
      </c>
      <c r="D364">
        <f>IFERROR(INDEX('Kontrol Adımları'!$D:$D,MATCH(1,INDEX(('Kontrol Adımları'!$A$1:$A$400=B364)*('Kontrol Adımları'!$B$1:$B$400=C364),0),0)),"")</f>
        <v/>
      </c>
      <c r="E364" s="5" t="inlineStr">
        <is>
          <t>basin_faucet</t>
        </is>
      </c>
      <c r="F364">
        <f>IFERROR(INDEX('Kalem Kataloğu'!$C$1:$C$1000,MATCH(1,INDEX(('Kalem Kataloğu'!$A$1:$A$1000=A364)*('Kalem Kataloğu'!$B$1:$B$1000=E364),0),0)),"?")</f>
        <v/>
      </c>
      <c r="G364">
        <f>IFERROR(INDEX('Kalem Kataloğu'!$D$1:$D$1000,MATCH(1,INDEX(('Kalem Kataloğu'!$A$1:$A$1000=A364)*('Kalem Kataloğu'!$B$1:$B$1000=E364),0),0)),"?")</f>
        <v/>
      </c>
      <c r="H364" s="7" t="n">
        <v>1</v>
      </c>
      <c r="I364" s="7" t="inlineStr">
        <is>
          <t>Evet</t>
        </is>
      </c>
      <c r="J364" s="5" t="inlineStr">
        <is>
          <t>Drive foto (20.10.2026)</t>
        </is>
      </c>
      <c r="K364" s="5" t="n"/>
    </row>
    <row r="365">
      <c r="A365" s="5" t="inlineStr">
        <is>
          <t>Tare Houses Hotel</t>
        </is>
      </c>
      <c r="B365" s="5" t="inlineStr">
        <is>
          <t>X1</t>
        </is>
      </c>
      <c r="C365" s="7" t="n">
        <v>2</v>
      </c>
      <c r="D365">
        <f>IFERROR(INDEX('Kontrol Adımları'!$D:$D,MATCH(1,INDEX(('Kontrol Adımları'!$A$1:$A$400=B365)*('Kontrol Adımları'!$B$1:$B$400=C365),0),0)),"")</f>
        <v/>
      </c>
      <c r="E365" s="5" t="inlineStr">
        <is>
          <t>led_mirror</t>
        </is>
      </c>
      <c r="F365">
        <f>IFERROR(INDEX('Kalem Kataloğu'!$C$1:$C$1000,MATCH(1,INDEX(('Kalem Kataloğu'!$A$1:$A$1000=A365)*('Kalem Kataloğu'!$B$1:$B$1000=E365),0),0)),"?")</f>
        <v/>
      </c>
      <c r="G365">
        <f>IFERROR(INDEX('Kalem Kataloğu'!$D$1:$D$1000,MATCH(1,INDEX(('Kalem Kataloğu'!$A$1:$A$1000=A365)*('Kalem Kataloğu'!$B$1:$B$1000=E365),0),0)),"?")</f>
        <v/>
      </c>
      <c r="H365" s="7" t="n">
        <v>1</v>
      </c>
      <c r="I365" s="7" t="inlineStr">
        <is>
          <t>Evet</t>
        </is>
      </c>
      <c r="J365" s="5" t="inlineStr">
        <is>
          <t>Drive foto (20.10.2026)</t>
        </is>
      </c>
      <c r="K365" s="5" t="n"/>
    </row>
    <row r="366" ht="26.4" customHeight="1">
      <c r="A366" s="5" t="inlineStr">
        <is>
          <t>Tare Houses Hotel</t>
        </is>
      </c>
      <c r="B366" s="5" t="inlineStr">
        <is>
          <t>X1</t>
        </is>
      </c>
      <c r="C366" s="7" t="n">
        <v>2</v>
      </c>
      <c r="D366">
        <f>IFERROR(INDEX('Kontrol Adımları'!$D:$D,MATCH(1,INDEX(('Kontrol Adımları'!$A$1:$A$400=B366)*('Kontrol Adımları'!$B$1:$B$400=C366),0),0)),"")</f>
        <v/>
      </c>
      <c r="E366" s="5" t="inlineStr">
        <is>
          <t>liquid_soap</t>
        </is>
      </c>
      <c r="F366">
        <f>IFERROR(INDEX('Kalem Kataloğu'!$C$1:$C$1000,MATCH(1,INDEX(('Kalem Kataloğu'!$A$1:$A$1000=A366)*('Kalem Kataloğu'!$B$1:$B$1000=E366),0),0)),"?")</f>
        <v/>
      </c>
      <c r="G366">
        <f>IFERROR(INDEX('Kalem Kataloğu'!$D$1:$D$1000,MATCH(1,INDEX(('Kalem Kataloğu'!$A$1:$A$1000=A366)*('Kalem Kataloğu'!$B$1:$B$1000=E366),0),0)),"?")</f>
        <v/>
      </c>
      <c r="H366" s="7" t="n">
        <v>1</v>
      </c>
      <c r="I366" s="7" t="inlineStr">
        <is>
          <t>Evet</t>
        </is>
      </c>
      <c r="J366" s="5" t="inlineStr">
        <is>
          <t>Drive foto (20.10.2026)</t>
        </is>
      </c>
      <c r="K366" s="5" t="n"/>
    </row>
    <row r="367">
      <c r="A367" s="5" t="inlineStr">
        <is>
          <t>Tare Houses Hotel</t>
        </is>
      </c>
      <c r="B367" s="5" t="inlineStr">
        <is>
          <t>X1</t>
        </is>
      </c>
      <c r="C367" s="7" t="n">
        <v>2</v>
      </c>
      <c r="D367">
        <f>IFERROR(INDEX('Kontrol Adımları'!$D:$D,MATCH(1,INDEX(('Kontrol Adımları'!$A$1:$A$400=B367)*('Kontrol Adımları'!$B$1:$B$400=C367),0),0)),"")</f>
        <v/>
      </c>
      <c r="E367" s="5" t="inlineStr">
        <is>
          <t>towel_bar</t>
        </is>
      </c>
      <c r="F367">
        <f>IFERROR(INDEX('Kalem Kataloğu'!$C$1:$C$1000,MATCH(1,INDEX(('Kalem Kataloğu'!$A$1:$A$1000=A367)*('Kalem Kataloğu'!$B$1:$B$1000=E367),0),0)),"?")</f>
        <v/>
      </c>
      <c r="G367">
        <f>IFERROR(INDEX('Kalem Kataloğu'!$D$1:$D$1000,MATCH(1,INDEX(('Kalem Kataloğu'!$A$1:$A$1000=A367)*('Kalem Kataloğu'!$B$1:$B$1000=E367),0),0)),"?")</f>
        <v/>
      </c>
      <c r="H367" s="7" t="n">
        <v>1</v>
      </c>
      <c r="I367" s="7" t="inlineStr">
        <is>
          <t>Evet</t>
        </is>
      </c>
      <c r="J367" s="5" t="inlineStr">
        <is>
          <t>Drive foto (20.10.2026)</t>
        </is>
      </c>
      <c r="K367" s="5" t="n"/>
    </row>
    <row r="368">
      <c r="A368" s="5" t="inlineStr">
        <is>
          <t>Tare Houses Hotel</t>
        </is>
      </c>
      <c r="B368" s="5" t="inlineStr">
        <is>
          <t>X1</t>
        </is>
      </c>
      <c r="C368" s="7" t="n">
        <v>2</v>
      </c>
      <c r="D368">
        <f>IFERROR(INDEX('Kontrol Adımları'!$D:$D,MATCH(1,INDEX(('Kontrol Adımları'!$A$1:$A$400=B368)*('Kontrol Adımları'!$B$1:$B$400=C368),0),0)),"")</f>
        <v/>
      </c>
      <c r="E368" s="5" t="inlineStr">
        <is>
          <t>towel_ring</t>
        </is>
      </c>
      <c r="F368">
        <f>IFERROR(INDEX('Kalem Kataloğu'!$C$1:$C$1000,MATCH(1,INDEX(('Kalem Kataloğu'!$A$1:$A$1000=A368)*('Kalem Kataloğu'!$B$1:$B$1000=E368),0),0)),"?")</f>
        <v/>
      </c>
      <c r="G368">
        <f>IFERROR(INDEX('Kalem Kataloğu'!$D$1:$D$1000,MATCH(1,INDEX(('Kalem Kataloğu'!$A$1:$A$1000=A368)*('Kalem Kataloğu'!$B$1:$B$1000=E368),0),0)),"?")</f>
        <v/>
      </c>
      <c r="H368" s="7" t="n">
        <v>2</v>
      </c>
      <c r="I368" s="7" t="inlineStr">
        <is>
          <t>Evet</t>
        </is>
      </c>
      <c r="J368" s="5" t="inlineStr">
        <is>
          <t>Drive foto (20.10.2026)</t>
        </is>
      </c>
      <c r="K368" s="5" t="inlineStr">
        <is>
          <t>Lavabo yanında + duşta</t>
        </is>
      </c>
    </row>
    <row r="369">
      <c r="A369" s="5" t="inlineStr">
        <is>
          <t>Tare Houses Hotel</t>
        </is>
      </c>
      <c r="B369" s="5" t="inlineStr">
        <is>
          <t>X1</t>
        </is>
      </c>
      <c r="C369" s="7" t="n">
        <v>3</v>
      </c>
      <c r="D369">
        <f>IFERROR(INDEX('Kontrol Adımları'!$D:$D,MATCH(1,INDEX(('Kontrol Adımları'!$A$1:$A$400=B369)*('Kontrol Adımları'!$B$1:$B$400=C369),0),0)),"")</f>
        <v/>
      </c>
      <c r="E369" s="5" t="inlineStr">
        <is>
          <t>bath_towel</t>
        </is>
      </c>
      <c r="F369">
        <f>IFERROR(INDEX('Kalem Kataloğu'!$C$1:$C$1000,MATCH(1,INDEX(('Kalem Kataloğu'!$A$1:$A$1000=A369)*('Kalem Kataloğu'!$B$1:$B$1000=E369),0),0)),"?")</f>
        <v/>
      </c>
      <c r="G369">
        <f>IFERROR(INDEX('Kalem Kataloğu'!$D$1:$D$1000,MATCH(1,INDEX(('Kalem Kataloğu'!$A$1:$A$1000=A369)*('Kalem Kataloğu'!$B$1:$B$1000=E369),0),0)),"?")</f>
        <v/>
      </c>
      <c r="H369" s="7" t="n">
        <v>2</v>
      </c>
      <c r="I369" s="7" t="inlineStr">
        <is>
          <t>Evet</t>
        </is>
      </c>
      <c r="J369" s="5" t="inlineStr">
        <is>
          <t>Drive foto (20.10.2026)</t>
        </is>
      </c>
      <c r="K369" s="5" t="n"/>
    </row>
    <row r="370">
      <c r="A370" s="5" t="inlineStr">
        <is>
          <t>Tare Houses Hotel</t>
        </is>
      </c>
      <c r="B370" s="5" t="inlineStr">
        <is>
          <t>X1</t>
        </is>
      </c>
      <c r="C370" s="7" t="n">
        <v>3</v>
      </c>
      <c r="D370">
        <f>IFERROR(INDEX('Kontrol Adımları'!$D:$D,MATCH(1,INDEX(('Kontrol Adımları'!$A$1:$A$400=B370)*('Kontrol Adımları'!$B$1:$B$400=C370),0),0)),"")</f>
        <v/>
      </c>
      <c r="E370" s="5" t="inlineStr">
        <is>
          <t>hand_towel</t>
        </is>
      </c>
      <c r="F370">
        <f>IFERROR(INDEX('Kalem Kataloğu'!$C$1:$C$1000,MATCH(1,INDEX(('Kalem Kataloğu'!$A$1:$A$1000=A370)*('Kalem Kataloğu'!$B$1:$B$1000=E370),0),0)),"?")</f>
        <v/>
      </c>
      <c r="G370">
        <f>IFERROR(INDEX('Kalem Kataloğu'!$D$1:$D$1000,MATCH(1,INDEX(('Kalem Kataloğu'!$A$1:$A$1000=A370)*('Kalem Kataloğu'!$B$1:$B$1000=E370),0),0)),"?")</f>
        <v/>
      </c>
      <c r="H370" s="7" t="n">
        <v>2</v>
      </c>
      <c r="I370" s="7" t="inlineStr">
        <is>
          <t>Evet</t>
        </is>
      </c>
      <c r="J370" s="5" t="inlineStr">
        <is>
          <t>Drive foto (20.10.2026)</t>
        </is>
      </c>
      <c r="K370" s="5" t="n"/>
    </row>
    <row r="371">
      <c r="A371" s="5" t="inlineStr">
        <is>
          <t>Tare Houses Hotel</t>
        </is>
      </c>
      <c r="B371" s="5" t="inlineStr">
        <is>
          <t>X1</t>
        </is>
      </c>
      <c r="C371" s="7" t="n">
        <v>3</v>
      </c>
      <c r="D371">
        <f>IFERROR(INDEX('Kontrol Adımları'!$D:$D,MATCH(1,INDEX(('Kontrol Adımları'!$A$1:$A$400=B371)*('Kontrol Adımları'!$B$1:$B$400=C371),0),0)),"")</f>
        <v/>
      </c>
      <c r="E371" s="5" t="inlineStr">
        <is>
          <t>slippers</t>
        </is>
      </c>
      <c r="F371">
        <f>IFERROR(INDEX('Kalem Kataloğu'!$C$1:$C$1000,MATCH(1,INDEX(('Kalem Kataloğu'!$A$1:$A$1000=A371)*('Kalem Kataloğu'!$B$1:$B$1000=E371),0),0)),"?")</f>
        <v/>
      </c>
      <c r="G371">
        <f>IFERROR(INDEX('Kalem Kataloğu'!$D$1:$D$1000,MATCH(1,INDEX(('Kalem Kataloğu'!$A$1:$A$1000=A371)*('Kalem Kataloğu'!$B$1:$B$1000=E371),0),0)),"?")</f>
        <v/>
      </c>
      <c r="H371" s="7" t="n">
        <v>2</v>
      </c>
      <c r="I371" s="7" t="inlineStr">
        <is>
          <t>Evet</t>
        </is>
      </c>
      <c r="J371" s="5" t="inlineStr">
        <is>
          <t>Drive foto (20.10.2026)</t>
        </is>
      </c>
      <c r="K371" s="5" t="n"/>
    </row>
    <row r="372">
      <c r="A372" s="5" t="inlineStr">
        <is>
          <t>Tare Houses Hotel</t>
        </is>
      </c>
      <c r="B372" s="5" t="inlineStr">
        <is>
          <t>X1</t>
        </is>
      </c>
      <c r="C372" s="7" t="n">
        <v>3</v>
      </c>
      <c r="D372">
        <f>IFERROR(INDEX('Kontrol Adımları'!$D:$D,MATCH(1,INDEX(('Kontrol Adımları'!$A$1:$A$400=B372)*('Kontrol Adımları'!$B$1:$B$400=C372),0),0)),"")</f>
        <v/>
      </c>
      <c r="E372" s="5" t="inlineStr">
        <is>
          <t>toilet_paper_spare</t>
        </is>
      </c>
      <c r="F372">
        <f>IFERROR(INDEX('Kalem Kataloğu'!$C$1:$C$1000,MATCH(1,INDEX(('Kalem Kataloğu'!$A$1:$A$1000=A372)*('Kalem Kataloğu'!$B$1:$B$1000=E372),0),0)),"?")</f>
        <v/>
      </c>
      <c r="G372">
        <f>IFERROR(INDEX('Kalem Kataloğu'!$D$1:$D$1000,MATCH(1,INDEX(('Kalem Kataloğu'!$A$1:$A$1000=A372)*('Kalem Kataloğu'!$B$1:$B$1000=E372),0),0)),"?")</f>
        <v/>
      </c>
      <c r="H372" s="7" t="n">
        <v>1</v>
      </c>
      <c r="I372" s="7" t="inlineStr">
        <is>
          <t>Evet</t>
        </is>
      </c>
      <c r="J372" s="5" t="inlineStr">
        <is>
          <t>Drive foto (20.10.2026)</t>
        </is>
      </c>
      <c r="K372" s="5" t="n"/>
    </row>
    <row r="373">
      <c r="A373" s="5" t="inlineStr">
        <is>
          <t>Tare Houses Hotel</t>
        </is>
      </c>
      <c r="B373" s="5" t="inlineStr">
        <is>
          <t>X1</t>
        </is>
      </c>
      <c r="C373" s="7" t="n">
        <v>3</v>
      </c>
      <c r="D373">
        <f>IFERROR(INDEX('Kontrol Adımları'!$D:$D,MATCH(1,INDEX(('Kontrol Adımları'!$A$1:$A$400=B373)*('Kontrol Adımları'!$B$1:$B$400=C373),0),0)),"")</f>
        <v/>
      </c>
      <c r="E373" s="5" t="inlineStr">
        <is>
          <t>hair_dryer</t>
        </is>
      </c>
      <c r="F373">
        <f>IFERROR(INDEX('Kalem Kataloğu'!$C$1:$C$1000,MATCH(1,INDEX(('Kalem Kataloğu'!$A$1:$A$1000=A373)*('Kalem Kataloğu'!$B$1:$B$1000=E373),0),0)),"?")</f>
        <v/>
      </c>
      <c r="G373">
        <f>IFERROR(INDEX('Kalem Kataloğu'!$D$1:$D$1000,MATCH(1,INDEX(('Kalem Kataloğu'!$A$1:$A$1000=A373)*('Kalem Kataloğu'!$B$1:$B$1000=E373),0),0)),"?")</f>
        <v/>
      </c>
      <c r="H373" s="7" t="n">
        <v>1</v>
      </c>
      <c r="I373" s="7" t="inlineStr">
        <is>
          <t>Evet</t>
        </is>
      </c>
      <c r="J373" s="5" t="inlineStr">
        <is>
          <t>Drive foto (20.10.2026)</t>
        </is>
      </c>
      <c r="K373" s="5" t="n"/>
    </row>
    <row r="374">
      <c r="A374" s="5" t="inlineStr">
        <is>
          <t>Tare Houses Hotel</t>
        </is>
      </c>
      <c r="B374" s="5" t="inlineStr">
        <is>
          <t>X1</t>
        </is>
      </c>
      <c r="C374" s="7" t="n">
        <v>3</v>
      </c>
      <c r="D374">
        <f>IFERROR(INDEX('Kontrol Adımları'!$D:$D,MATCH(1,INDEX(('Kontrol Adımları'!$A$1:$A$400=B374)*('Kontrol Adımları'!$B$1:$B$400=C374),0),0)),"")</f>
        <v/>
      </c>
      <c r="E374" s="5" t="inlineStr">
        <is>
          <t>vanity_unit</t>
        </is>
      </c>
      <c r="F374">
        <f>IFERROR(INDEX('Kalem Kataloğu'!$C$1:$C$1000,MATCH(1,INDEX(('Kalem Kataloğu'!$A$1:$A$1000=A374)*('Kalem Kataloğu'!$B$1:$B$1000=E374),0),0)),"?")</f>
        <v/>
      </c>
      <c r="G374">
        <f>IFERROR(INDEX('Kalem Kataloğu'!$D$1:$D$1000,MATCH(1,INDEX(('Kalem Kataloğu'!$A$1:$A$1000=A374)*('Kalem Kataloğu'!$B$1:$B$1000=E374),0),0)),"?")</f>
        <v/>
      </c>
      <c r="H374" s="7" t="n">
        <v>1</v>
      </c>
      <c r="I374" s="7" t="inlineStr">
        <is>
          <t>Evet</t>
        </is>
      </c>
      <c r="J374" s="5" t="inlineStr">
        <is>
          <t>Drive foto (20.10.2026)</t>
        </is>
      </c>
      <c r="K374" s="5" t="n"/>
    </row>
    <row r="375">
      <c r="A375" s="5" t="inlineStr">
        <is>
          <t>Tare Houses Hotel</t>
        </is>
      </c>
      <c r="B375" s="5" t="inlineStr">
        <is>
          <t>X1</t>
        </is>
      </c>
      <c r="C375" s="7" t="n">
        <v>4</v>
      </c>
      <c r="D375">
        <f>IFERROR(INDEX('Kontrol Adımları'!$D:$D,MATCH(1,INDEX(('Kontrol Adımları'!$A$1:$A$400=B375)*('Kontrol Adımları'!$B$1:$B$400=C375),0),0)),"")</f>
        <v/>
      </c>
      <c r="E375" s="5" t="inlineStr">
        <is>
          <t>wc</t>
        </is>
      </c>
      <c r="F375">
        <f>IFERROR(INDEX('Kalem Kataloğu'!$C$1:$C$1000,MATCH(1,INDEX(('Kalem Kataloğu'!$A$1:$A$1000=A375)*('Kalem Kataloğu'!$B$1:$B$1000=E375),0),0)),"?")</f>
        <v/>
      </c>
      <c r="G375">
        <f>IFERROR(INDEX('Kalem Kataloğu'!$D$1:$D$1000,MATCH(1,INDEX(('Kalem Kataloğu'!$A$1:$A$1000=A375)*('Kalem Kataloğu'!$B$1:$B$1000=E375),0),0)),"?")</f>
        <v/>
      </c>
      <c r="H375" s="7" t="n">
        <v>1</v>
      </c>
      <c r="I375" s="7" t="inlineStr">
        <is>
          <t>Evet</t>
        </is>
      </c>
      <c r="J375" s="5" t="inlineStr">
        <is>
          <t>Drive foto (20.10.2026)</t>
        </is>
      </c>
      <c r="K375" s="5" t="n"/>
    </row>
    <row r="376">
      <c r="A376" s="5" t="inlineStr">
        <is>
          <t>Tare Houses Hotel</t>
        </is>
      </c>
      <c r="B376" s="5" t="inlineStr">
        <is>
          <t>X1</t>
        </is>
      </c>
      <c r="C376" s="7" t="n">
        <v>4</v>
      </c>
      <c r="D376">
        <f>IFERROR(INDEX('Kontrol Adımları'!$D:$D,MATCH(1,INDEX(('Kontrol Adımları'!$A$1:$A$400=B376)*('Kontrol Adımları'!$B$1:$B$400=C376),0),0)),"")</f>
        <v/>
      </c>
      <c r="E376" s="5" t="inlineStr">
        <is>
          <t>flush_plate</t>
        </is>
      </c>
      <c r="F376">
        <f>IFERROR(INDEX('Kalem Kataloğu'!$C$1:$C$1000,MATCH(1,INDEX(('Kalem Kataloğu'!$A$1:$A$1000=A376)*('Kalem Kataloğu'!$B$1:$B$1000=E376),0),0)),"?")</f>
        <v/>
      </c>
      <c r="G376">
        <f>IFERROR(INDEX('Kalem Kataloğu'!$D$1:$D$1000,MATCH(1,INDEX(('Kalem Kataloğu'!$A$1:$A$1000=A376)*('Kalem Kataloğu'!$B$1:$B$1000=E376),0),0)),"?")</f>
        <v/>
      </c>
      <c r="H376" s="7" t="n">
        <v>1</v>
      </c>
      <c r="I376" s="7" t="inlineStr">
        <is>
          <t>Evet</t>
        </is>
      </c>
      <c r="J376" s="5" t="inlineStr">
        <is>
          <t>Drive foto (20.10.2026)</t>
        </is>
      </c>
      <c r="K376" s="5" t="n"/>
    </row>
    <row r="377">
      <c r="A377" s="5" t="inlineStr">
        <is>
          <t>Tare Houses Hotel</t>
        </is>
      </c>
      <c r="B377" s="5" t="inlineStr">
        <is>
          <t>X1</t>
        </is>
      </c>
      <c r="C377" s="7" t="n">
        <v>4</v>
      </c>
      <c r="D377">
        <f>IFERROR(INDEX('Kontrol Adımları'!$D:$D,MATCH(1,INDEX(('Kontrol Adımları'!$A$1:$A$400=B377)*('Kontrol Adımları'!$B$1:$B$400=C377),0),0)),"")</f>
        <v/>
      </c>
      <c r="E377" s="5" t="inlineStr">
        <is>
          <t>toilet_paper</t>
        </is>
      </c>
      <c r="F377">
        <f>IFERROR(INDEX('Kalem Kataloğu'!$C$1:$C$1000,MATCH(1,INDEX(('Kalem Kataloğu'!$A$1:$A$1000=A377)*('Kalem Kataloğu'!$B$1:$B$1000=E377),0),0)),"?")</f>
        <v/>
      </c>
      <c r="G377">
        <f>IFERROR(INDEX('Kalem Kataloğu'!$D$1:$D$1000,MATCH(1,INDEX(('Kalem Kataloğu'!$A$1:$A$1000=A377)*('Kalem Kataloğu'!$B$1:$B$1000=E377),0),0)),"?")</f>
        <v/>
      </c>
      <c r="H377" s="7" t="n">
        <v>1</v>
      </c>
      <c r="I377" s="7" t="inlineStr">
        <is>
          <t>Evet</t>
        </is>
      </c>
      <c r="J377" s="5" t="inlineStr">
        <is>
          <t>Drive foto (20.10.2026)</t>
        </is>
      </c>
      <c r="K377" s="5" t="n"/>
    </row>
    <row r="378">
      <c r="A378" s="5" t="inlineStr">
        <is>
          <t>Tare Houses Hotel</t>
        </is>
      </c>
      <c r="B378" s="5" t="inlineStr">
        <is>
          <t>X1</t>
        </is>
      </c>
      <c r="C378" s="7" t="n">
        <v>4</v>
      </c>
      <c r="D378">
        <f>IFERROR(INDEX('Kontrol Adımları'!$D:$D,MATCH(1,INDEX(('Kontrol Adımları'!$A$1:$A$400=B378)*('Kontrol Adımları'!$B$1:$B$400=C378),0),0)),"")</f>
        <v/>
      </c>
      <c r="E378" s="5" t="inlineStr">
        <is>
          <t>toilet_paper_holder</t>
        </is>
      </c>
      <c r="F378">
        <f>IFERROR(INDEX('Kalem Kataloğu'!$C$1:$C$1000,MATCH(1,INDEX(('Kalem Kataloğu'!$A$1:$A$1000=A378)*('Kalem Kataloğu'!$B$1:$B$1000=E378),0),0)),"?")</f>
        <v/>
      </c>
      <c r="G378">
        <f>IFERROR(INDEX('Kalem Kataloğu'!$D$1:$D$1000,MATCH(1,INDEX(('Kalem Kataloğu'!$A$1:$A$1000=A378)*('Kalem Kataloğu'!$B$1:$B$1000=E378),0),0)),"?")</f>
        <v/>
      </c>
      <c r="H378" s="7" t="n">
        <v>1</v>
      </c>
      <c r="I378" s="7" t="inlineStr">
        <is>
          <t>Evet</t>
        </is>
      </c>
      <c r="J378" s="5" t="inlineStr">
        <is>
          <t>Drive foto (20.10.2026)</t>
        </is>
      </c>
      <c r="K378" s="5" t="n"/>
    </row>
    <row r="379">
      <c r="A379" s="5" t="inlineStr">
        <is>
          <t>Tare Houses Hotel</t>
        </is>
      </c>
      <c r="B379" s="5" t="inlineStr">
        <is>
          <t>X1</t>
        </is>
      </c>
      <c r="C379" s="7" t="n">
        <v>4</v>
      </c>
      <c r="D379">
        <f>IFERROR(INDEX('Kontrol Adımları'!$D:$D,MATCH(1,INDEX(('Kontrol Adımları'!$A$1:$A$400=B379)*('Kontrol Adımları'!$B$1:$B$400=C379),0),0)),"")</f>
        <v/>
      </c>
      <c r="E379" s="5" t="inlineStr">
        <is>
          <t>toilet_brush</t>
        </is>
      </c>
      <c r="F379">
        <f>IFERROR(INDEX('Kalem Kataloğu'!$C$1:$C$1000,MATCH(1,INDEX(('Kalem Kataloğu'!$A$1:$A$1000=A379)*('Kalem Kataloğu'!$B$1:$B$1000=E379),0),0)),"?")</f>
        <v/>
      </c>
      <c r="G379">
        <f>IFERROR(INDEX('Kalem Kataloğu'!$D$1:$D$1000,MATCH(1,INDEX(('Kalem Kataloğu'!$A$1:$A$1000=A379)*('Kalem Kataloğu'!$B$1:$B$1000=E379),0),0)),"?")</f>
        <v/>
      </c>
      <c r="H379" s="7" t="n">
        <v>1</v>
      </c>
      <c r="I379" s="7" t="inlineStr">
        <is>
          <t>Evet</t>
        </is>
      </c>
      <c r="J379" s="5" t="inlineStr">
        <is>
          <t>Drive foto (20.10.2026)</t>
        </is>
      </c>
      <c r="K379" s="5" t="n"/>
    </row>
    <row r="380">
      <c r="A380" s="5" t="inlineStr">
        <is>
          <t>Tare Houses Hotel</t>
        </is>
      </c>
      <c r="B380" s="5" t="inlineStr">
        <is>
          <t>X1</t>
        </is>
      </c>
      <c r="C380" s="7" t="n">
        <v>4</v>
      </c>
      <c r="D380">
        <f>IFERROR(INDEX('Kontrol Adımları'!$D:$D,MATCH(1,INDEX(('Kontrol Adımları'!$A$1:$A$400=B380)*('Kontrol Adımları'!$B$1:$B$400=C380),0),0)),"")</f>
        <v/>
      </c>
      <c r="E380" s="5" t="inlineStr">
        <is>
          <t>bath_bin</t>
        </is>
      </c>
      <c r="F380">
        <f>IFERROR(INDEX('Kalem Kataloğu'!$C$1:$C$1000,MATCH(1,INDEX(('Kalem Kataloğu'!$A$1:$A$1000=A380)*('Kalem Kataloğu'!$B$1:$B$1000=E380),0),0)),"?")</f>
        <v/>
      </c>
      <c r="G380">
        <f>IFERROR(INDEX('Kalem Kataloğu'!$D$1:$D$1000,MATCH(1,INDEX(('Kalem Kataloğu'!$A$1:$A$1000=A380)*('Kalem Kataloğu'!$B$1:$B$1000=E380),0),0)),"?")</f>
        <v/>
      </c>
      <c r="H380" s="7" t="n">
        <v>1</v>
      </c>
      <c r="I380" s="7" t="inlineStr">
        <is>
          <t>Evet</t>
        </is>
      </c>
      <c r="J380" s="5" t="inlineStr">
        <is>
          <t>Drive foto (20.10.2026)</t>
        </is>
      </c>
      <c r="K380" s="5" t="n"/>
    </row>
    <row r="381">
      <c r="A381" s="5" t="inlineStr">
        <is>
          <t>Tare Houses Hotel</t>
        </is>
      </c>
      <c r="B381" s="5" t="inlineStr">
        <is>
          <t>X1</t>
        </is>
      </c>
      <c r="C381" s="7" t="n">
        <v>5</v>
      </c>
      <c r="D381">
        <f>IFERROR(INDEX('Kontrol Adımları'!$D:$D,MATCH(1,INDEX(('Kontrol Adımları'!$A$1:$A$400=B381)*('Kontrol Adımları'!$B$1:$B$400=C381),0),0)),"")</f>
        <v/>
      </c>
      <c r="E381" s="5" t="inlineStr">
        <is>
          <t>shower_set</t>
        </is>
      </c>
      <c r="F381">
        <f>IFERROR(INDEX('Kalem Kataloğu'!$C$1:$C$1000,MATCH(1,INDEX(('Kalem Kataloğu'!$A$1:$A$1000=A381)*('Kalem Kataloğu'!$B$1:$B$1000=E381),0),0)),"?")</f>
        <v/>
      </c>
      <c r="G381">
        <f>IFERROR(INDEX('Kalem Kataloğu'!$D$1:$D$1000,MATCH(1,INDEX(('Kalem Kataloğu'!$A$1:$A$1000=A381)*('Kalem Kataloğu'!$B$1:$B$1000=E381),0),0)),"?")</f>
        <v/>
      </c>
      <c r="H381" s="7" t="n">
        <v>1</v>
      </c>
      <c r="I381" s="7" t="inlineStr">
        <is>
          <t>Evet</t>
        </is>
      </c>
      <c r="J381" s="5" t="inlineStr">
        <is>
          <t>Drive foto (20.10.2026)</t>
        </is>
      </c>
      <c r="K381" s="5" t="n"/>
    </row>
    <row r="382">
      <c r="A382" s="5" t="inlineStr">
        <is>
          <t>Tare Houses Hotel</t>
        </is>
      </c>
      <c r="B382" s="5" t="inlineStr">
        <is>
          <t>X1</t>
        </is>
      </c>
      <c r="C382" s="7" t="n">
        <v>5</v>
      </c>
      <c r="D382">
        <f>IFERROR(INDEX('Kontrol Adımları'!$D:$D,MATCH(1,INDEX(('Kontrol Adımları'!$A$1:$A$400=B382)*('Kontrol Adımları'!$B$1:$B$400=C382),0),0)),"")</f>
        <v/>
      </c>
      <c r="E382" s="5" t="inlineStr">
        <is>
          <t>dispenser</t>
        </is>
      </c>
      <c r="F382">
        <f>IFERROR(INDEX('Kalem Kataloğu'!$C$1:$C$1000,MATCH(1,INDEX(('Kalem Kataloğu'!$A$1:$A$1000=A382)*('Kalem Kataloğu'!$B$1:$B$1000=E382),0),0)),"?")</f>
        <v/>
      </c>
      <c r="G382">
        <f>IFERROR(INDEX('Kalem Kataloğu'!$D$1:$D$1000,MATCH(1,INDEX(('Kalem Kataloğu'!$A$1:$A$1000=A382)*('Kalem Kataloğu'!$B$1:$B$1000=E382),0),0)),"?")</f>
        <v/>
      </c>
      <c r="H382" s="7" t="n">
        <v>3</v>
      </c>
      <c r="I382" s="7" t="inlineStr">
        <is>
          <t>Evet</t>
        </is>
      </c>
      <c r="J382" s="5" t="inlineStr">
        <is>
          <t>Drive foto (20.10.2026)</t>
        </is>
      </c>
      <c r="K382" s="5" t="n"/>
    </row>
    <row r="383">
      <c r="A383" s="5" t="inlineStr">
        <is>
          <t>Tare Houses Hotel</t>
        </is>
      </c>
      <c r="B383" s="5" t="inlineStr">
        <is>
          <t>X1</t>
        </is>
      </c>
      <c r="C383" s="7" t="n">
        <v>5</v>
      </c>
      <c r="D383">
        <f>IFERROR(INDEX('Kontrol Adımları'!$D:$D,MATCH(1,INDEX(('Kontrol Adımları'!$A$1:$A$400=B383)*('Kontrol Adımları'!$B$1:$B$400=C383),0),0)),"")</f>
        <v/>
      </c>
      <c r="E383" s="5" t="inlineStr">
        <is>
          <t>shower_basket</t>
        </is>
      </c>
      <c r="F383">
        <f>IFERROR(INDEX('Kalem Kataloğu'!$C$1:$C$1000,MATCH(1,INDEX(('Kalem Kataloğu'!$A$1:$A$1000=A383)*('Kalem Kataloğu'!$B$1:$B$1000=E383),0),0)),"?")</f>
        <v/>
      </c>
      <c r="G383">
        <f>IFERROR(INDEX('Kalem Kataloğu'!$D$1:$D$1000,MATCH(1,INDEX(('Kalem Kataloğu'!$A$1:$A$1000=A383)*('Kalem Kataloğu'!$B$1:$B$1000=E383),0),0)),"?")</f>
        <v/>
      </c>
      <c r="H383" s="7" t="n">
        <v>1</v>
      </c>
      <c r="I383" s="7" t="inlineStr">
        <is>
          <t>Evet</t>
        </is>
      </c>
      <c r="J383" s="5" t="inlineStr">
        <is>
          <t>Drive foto (20.10.2026)</t>
        </is>
      </c>
      <c r="K383" s="5" t="n"/>
    </row>
    <row r="384">
      <c r="A384" s="5" t="inlineStr">
        <is>
          <t>Tare Houses Hotel</t>
        </is>
      </c>
      <c r="B384" s="5" t="inlineStr">
        <is>
          <t>X1</t>
        </is>
      </c>
      <c r="C384" s="7" t="n">
        <v>6</v>
      </c>
      <c r="D384">
        <f>IFERROR(INDEX('Kontrol Adımları'!$D:$D,MATCH(1,INDEX(('Kontrol Adımları'!$A$1:$A$400=B384)*('Kontrol Adımları'!$B$1:$B$400=C384),0),0)),"")</f>
        <v/>
      </c>
      <c r="E384" s="5" t="inlineStr">
        <is>
          <t>bed</t>
        </is>
      </c>
      <c r="F384">
        <f>IFERROR(INDEX('Kalem Kataloğu'!$C$1:$C$1000,MATCH(1,INDEX(('Kalem Kataloğu'!$A$1:$A$1000=A384)*('Kalem Kataloğu'!$B$1:$B$1000=E384),0),0)),"?")</f>
        <v/>
      </c>
      <c r="G384">
        <f>IFERROR(INDEX('Kalem Kataloğu'!$D$1:$D$1000,MATCH(1,INDEX(('Kalem Kataloğu'!$A$1:$A$1000=A384)*('Kalem Kataloğu'!$B$1:$B$1000=E384),0),0)),"?")</f>
        <v/>
      </c>
      <c r="H384" s="7" t="n">
        <v>1</v>
      </c>
      <c r="I384" s="7" t="inlineStr">
        <is>
          <t>Evet</t>
        </is>
      </c>
      <c r="J384" s="5" t="inlineStr">
        <is>
          <t>Drive foto (20.10.2026)</t>
        </is>
      </c>
      <c r="K384" s="5" t="n"/>
    </row>
    <row r="385">
      <c r="A385" s="5" t="inlineStr">
        <is>
          <t>Tare Houses Hotel</t>
        </is>
      </c>
      <c r="B385" s="5" t="inlineStr">
        <is>
          <t>X1</t>
        </is>
      </c>
      <c r="C385" s="7" t="n">
        <v>6</v>
      </c>
      <c r="D385">
        <f>IFERROR(INDEX('Kontrol Adımları'!$D:$D,MATCH(1,INDEX(('Kontrol Adımları'!$A$1:$A$400=B385)*('Kontrol Adımları'!$B$1:$B$400=C385),0),0)),"")</f>
        <v/>
      </c>
      <c r="E385" s="5" t="inlineStr">
        <is>
          <t>pillow</t>
        </is>
      </c>
      <c r="F385">
        <f>IFERROR(INDEX('Kalem Kataloğu'!$C$1:$C$1000,MATCH(1,INDEX(('Kalem Kataloğu'!$A$1:$A$1000=A385)*('Kalem Kataloğu'!$B$1:$B$1000=E385),0),0)),"?")</f>
        <v/>
      </c>
      <c r="G385">
        <f>IFERROR(INDEX('Kalem Kataloğu'!$D$1:$D$1000,MATCH(1,INDEX(('Kalem Kataloğu'!$A$1:$A$1000=A385)*('Kalem Kataloğu'!$B$1:$B$1000=E385),0),0)),"?")</f>
        <v/>
      </c>
      <c r="H385" s="7" t="n">
        <v>4</v>
      </c>
      <c r="I385" s="7" t="inlineStr">
        <is>
          <t>Evet</t>
        </is>
      </c>
      <c r="J385" s="5" t="inlineStr">
        <is>
          <t>Drive foto (20.10.2026)</t>
        </is>
      </c>
      <c r="K385" s="5" t="n"/>
    </row>
    <row r="386" ht="26.4" customHeight="1">
      <c r="A386" s="5" t="inlineStr">
        <is>
          <t>Tare Houses Hotel</t>
        </is>
      </c>
      <c r="B386" s="5" t="inlineStr">
        <is>
          <t>X1</t>
        </is>
      </c>
      <c r="C386" s="7" t="n">
        <v>7</v>
      </c>
      <c r="D386">
        <f>IFERROR(INDEX('Kontrol Adımları'!$D:$D,MATCH(1,INDEX(('Kontrol Adımları'!$A$1:$A$400=B386)*('Kontrol Adımları'!$B$1:$B$400=C386),0),0)),"")</f>
        <v/>
      </c>
      <c r="E386" s="5" t="inlineStr">
        <is>
          <t>nightstand</t>
        </is>
      </c>
      <c r="F386">
        <f>IFERROR(INDEX('Kalem Kataloğu'!$C$1:$C$1000,MATCH(1,INDEX(('Kalem Kataloğu'!$A$1:$A$1000=A386)*('Kalem Kataloğu'!$B$1:$B$1000=E386),0),0)),"?")</f>
        <v/>
      </c>
      <c r="G386">
        <f>IFERROR(INDEX('Kalem Kataloğu'!$D$1:$D$1000,MATCH(1,INDEX(('Kalem Kataloğu'!$A$1:$A$1000=A386)*('Kalem Kataloğu'!$B$1:$B$1000=E386),0),0)),"?")</f>
        <v/>
      </c>
      <c r="H386" s="7" t="n">
        <v>2</v>
      </c>
      <c r="I386" s="7" t="inlineStr">
        <is>
          <t>Evet</t>
        </is>
      </c>
      <c r="J386" s="5" t="inlineStr">
        <is>
          <t>Drive foto (20.10.2026)</t>
        </is>
      </c>
      <c r="K386" s="5" t="n"/>
    </row>
    <row r="387">
      <c r="A387" s="5" t="inlineStr">
        <is>
          <t>Tare Houses Hotel</t>
        </is>
      </c>
      <c r="B387" s="5" t="inlineStr">
        <is>
          <t>X1</t>
        </is>
      </c>
      <c r="C387" s="7" t="n">
        <v>7</v>
      </c>
      <c r="D387">
        <f>IFERROR(INDEX('Kontrol Adımları'!$D:$D,MATCH(1,INDEX(('Kontrol Adımları'!$A$1:$A$400=B387)*('Kontrol Adımları'!$B$1:$B$400=C387),0),0)),"")</f>
        <v/>
      </c>
      <c r="E387" s="5" t="inlineStr">
        <is>
          <t>bedside_wall_lamp</t>
        </is>
      </c>
      <c r="F387">
        <f>IFERROR(INDEX('Kalem Kataloğu'!$C$1:$C$1000,MATCH(1,INDEX(('Kalem Kataloğu'!$A$1:$A$1000=A387)*('Kalem Kataloğu'!$B$1:$B$1000=E387),0),0)),"?")</f>
        <v/>
      </c>
      <c r="G387">
        <f>IFERROR(INDEX('Kalem Kataloğu'!$D$1:$D$1000,MATCH(1,INDEX(('Kalem Kataloğu'!$A$1:$A$1000=A387)*('Kalem Kataloğu'!$B$1:$B$1000=E387),0),0)),"?")</f>
        <v/>
      </c>
      <c r="H387" s="7" t="n">
        <v>2</v>
      </c>
      <c r="I387" s="7" t="inlineStr">
        <is>
          <t>Evet</t>
        </is>
      </c>
      <c r="J387" s="5" t="inlineStr">
        <is>
          <t>Drive foto (20.10.2026)</t>
        </is>
      </c>
      <c r="K387" s="5" t="n"/>
    </row>
    <row r="388">
      <c r="A388" s="5" t="inlineStr">
        <is>
          <t>Tare Houses Hotel</t>
        </is>
      </c>
      <c r="B388" s="5" t="inlineStr">
        <is>
          <t>X1</t>
        </is>
      </c>
      <c r="C388" s="7" t="n">
        <v>7</v>
      </c>
      <c r="D388">
        <f>IFERROR(INDEX('Kontrol Adımları'!$D:$D,MATCH(1,INDEX(('Kontrol Adımları'!$A$1:$A$400=B388)*('Kontrol Adımları'!$B$1:$B$400=C388),0),0)),"")</f>
        <v/>
      </c>
      <c r="E388" s="5" t="inlineStr">
        <is>
          <t>led_mirror_room</t>
        </is>
      </c>
      <c r="F388">
        <f>IFERROR(INDEX('Kalem Kataloğu'!$C$1:$C$1000,MATCH(1,INDEX(('Kalem Kataloğu'!$A$1:$A$1000=A388)*('Kalem Kataloğu'!$B$1:$B$1000=E388),0),0)),"?")</f>
        <v/>
      </c>
      <c r="G388">
        <f>IFERROR(INDEX('Kalem Kataloğu'!$D$1:$D$1000,MATCH(1,INDEX(('Kalem Kataloğu'!$A$1:$A$1000=A388)*('Kalem Kataloğu'!$B$1:$B$1000=E388),0),0)),"?")</f>
        <v/>
      </c>
      <c r="H388" s="7" t="n">
        <v>1</v>
      </c>
      <c r="I388" s="7" t="inlineStr">
        <is>
          <t>Evet</t>
        </is>
      </c>
      <c r="J388" s="5" t="inlineStr">
        <is>
          <t>Drive foto (20.10.2026)</t>
        </is>
      </c>
      <c r="K388" s="5" t="inlineStr">
        <is>
          <t>Yatak odası doğu duvarı (video)</t>
        </is>
      </c>
    </row>
    <row r="389">
      <c r="A389" s="5" t="inlineStr">
        <is>
          <t>Tare Houses Hotel</t>
        </is>
      </c>
      <c r="B389" s="5" t="inlineStr">
        <is>
          <t>X1</t>
        </is>
      </c>
      <c r="C389" s="7" t="n">
        <v>8</v>
      </c>
      <c r="D389">
        <f>IFERROR(INDEX('Kontrol Adımları'!$D:$D,MATCH(1,INDEX(('Kontrol Adımları'!$A$1:$A$400=B389)*('Kontrol Adımları'!$B$1:$B$400=C389),0),0)),"")</f>
        <v/>
      </c>
      <c r="E389" s="5" t="inlineStr">
        <is>
          <t>wardrobe</t>
        </is>
      </c>
      <c r="F389">
        <f>IFERROR(INDEX('Kalem Kataloğu'!$C$1:$C$1000,MATCH(1,INDEX(('Kalem Kataloğu'!$A$1:$A$1000=A389)*('Kalem Kataloğu'!$B$1:$B$1000=E389),0),0)),"?")</f>
        <v/>
      </c>
      <c r="G389">
        <f>IFERROR(INDEX('Kalem Kataloğu'!$D$1:$D$1000,MATCH(1,INDEX(('Kalem Kataloğu'!$A$1:$A$1000=A389)*('Kalem Kataloğu'!$B$1:$B$1000=E389),0),0)),"?")</f>
        <v/>
      </c>
      <c r="H389" s="7" t="n">
        <v>1</v>
      </c>
      <c r="I389" s="7" t="inlineStr">
        <is>
          <t>Evet</t>
        </is>
      </c>
      <c r="J389" s="5" t="inlineStr">
        <is>
          <t>Drive foto (20.10.2026)</t>
        </is>
      </c>
      <c r="K389" s="5" t="n"/>
    </row>
    <row r="390" ht="26.4" customHeight="1">
      <c r="A390" s="5" t="inlineStr">
        <is>
          <t>Tare Houses Hotel</t>
        </is>
      </c>
      <c r="B390" s="5" t="inlineStr">
        <is>
          <t>X1</t>
        </is>
      </c>
      <c r="C390" s="7" t="n">
        <v>8</v>
      </c>
      <c r="D390">
        <f>IFERROR(INDEX('Kontrol Adımları'!$D:$D,MATCH(1,INDEX(('Kontrol Adımları'!$A$1:$A$400=B390)*('Kontrol Adımları'!$B$1:$B$400=C390),0),0)),"")</f>
        <v/>
      </c>
      <c r="E390" s="5" t="inlineStr">
        <is>
          <t>hanger</t>
        </is>
      </c>
      <c r="F390">
        <f>IFERROR(INDEX('Kalem Kataloğu'!$C$1:$C$1000,MATCH(1,INDEX(('Kalem Kataloğu'!$A$1:$A$1000=A390)*('Kalem Kataloğu'!$B$1:$B$1000=E390),0),0)),"?")</f>
        <v/>
      </c>
      <c r="G390">
        <f>IFERROR(INDEX('Kalem Kataloğu'!$D$1:$D$1000,MATCH(1,INDEX(('Kalem Kataloğu'!$A$1:$A$1000=A390)*('Kalem Kataloğu'!$B$1:$B$1000=E390),0),0)),"?")</f>
        <v/>
      </c>
      <c r="H390" s="7" t="n">
        <v>6</v>
      </c>
      <c r="I390" s="7" t="inlineStr">
        <is>
          <t>Evet</t>
        </is>
      </c>
      <c r="J390" s="5" t="inlineStr">
        <is>
          <t>Drive foto (20.10.2026)</t>
        </is>
      </c>
      <c r="K390" s="5" t="inlineStr">
        <is>
          <t>5 siyah ahşap + 1 şeffaf</t>
        </is>
      </c>
    </row>
    <row r="391">
      <c r="A391" s="5" t="inlineStr">
        <is>
          <t>Tare Houses Hotel</t>
        </is>
      </c>
      <c r="B391" s="5" t="inlineStr">
        <is>
          <t>X1</t>
        </is>
      </c>
      <c r="C391" s="7" t="n">
        <v>8</v>
      </c>
      <c r="D391">
        <f>IFERROR(INDEX('Kontrol Adımları'!$D:$D,MATCH(1,INDEX(('Kontrol Adımları'!$A$1:$A$400=B391)*('Kontrol Adımları'!$B$1:$B$400=C391),0),0)),"")</f>
        <v/>
      </c>
      <c r="E391" s="5" t="inlineStr">
        <is>
          <t>spare_blanket</t>
        </is>
      </c>
      <c r="F391">
        <f>IFERROR(INDEX('Kalem Kataloğu'!$C$1:$C$1000,MATCH(1,INDEX(('Kalem Kataloğu'!$A$1:$A$1000=A391)*('Kalem Kataloğu'!$B$1:$B$1000=E391),0),0)),"?")</f>
        <v/>
      </c>
      <c r="G391">
        <f>IFERROR(INDEX('Kalem Kataloğu'!$D$1:$D$1000,MATCH(1,INDEX(('Kalem Kataloğu'!$A$1:$A$1000=A391)*('Kalem Kataloğu'!$B$1:$B$1000=E391),0),0)),"?")</f>
        <v/>
      </c>
      <c r="H391" s="7" t="n">
        <v>1</v>
      </c>
      <c r="I391" s="7" t="inlineStr">
        <is>
          <t>Evet</t>
        </is>
      </c>
      <c r="J391" s="5" t="inlineStr">
        <is>
          <t>Drive foto (20.10.2026)</t>
        </is>
      </c>
      <c r="K391" s="5" t="n"/>
    </row>
    <row r="392">
      <c r="A392" s="5" t="inlineStr">
        <is>
          <t>Tare Houses Hotel</t>
        </is>
      </c>
      <c r="B392" s="5" t="inlineStr">
        <is>
          <t>X1</t>
        </is>
      </c>
      <c r="C392" s="7" t="n">
        <v>9</v>
      </c>
      <c r="D392">
        <f>IFERROR(INDEX('Kontrol Adımları'!$D:$D,MATCH(1,INDEX(('Kontrol Adımları'!$A$1:$A$400=B392)*('Kontrol Adımları'!$B$1:$B$400=C392),0),0)),"")</f>
        <v/>
      </c>
      <c r="E392" s="5" t="inlineStr">
        <is>
          <t>desk_with_chair</t>
        </is>
      </c>
      <c r="F392">
        <f>IFERROR(INDEX('Kalem Kataloğu'!$C$1:$C$1000,MATCH(1,INDEX(('Kalem Kataloğu'!$A$1:$A$1000=A392)*('Kalem Kataloğu'!$B$1:$B$1000=E392),0),0)),"?")</f>
        <v/>
      </c>
      <c r="G392">
        <f>IFERROR(INDEX('Kalem Kataloğu'!$D$1:$D$1000,MATCH(1,INDEX(('Kalem Kataloğu'!$A$1:$A$1000=A392)*('Kalem Kataloğu'!$B$1:$B$1000=E392),0),0)),"?")</f>
        <v/>
      </c>
      <c r="H392" s="7" t="n">
        <v>1</v>
      </c>
      <c r="I392" s="7" t="inlineStr">
        <is>
          <t>Evet</t>
        </is>
      </c>
      <c r="J392" s="5" t="inlineStr">
        <is>
          <t>Drive foto (20.10.2026)</t>
        </is>
      </c>
      <c r="K392" s="5" t="n"/>
    </row>
    <row r="393" ht="26.4" customHeight="1">
      <c r="A393" s="5" t="inlineStr">
        <is>
          <t>Tare Houses Hotel</t>
        </is>
      </c>
      <c r="B393" s="5" t="inlineStr">
        <is>
          <t>X1</t>
        </is>
      </c>
      <c r="C393" s="7" t="n">
        <v>9</v>
      </c>
      <c r="D393">
        <f>IFERROR(INDEX('Kontrol Adımları'!$D:$D,MATCH(1,INDEX(('Kontrol Adımları'!$A$1:$A$400=B393)*('Kontrol Adımları'!$B$1:$B$400=C393),0),0)),"")</f>
        <v/>
      </c>
      <c r="E393" s="5" t="inlineStr">
        <is>
          <t>amenity_tray</t>
        </is>
      </c>
      <c r="F393">
        <f>IFERROR(INDEX('Kalem Kataloğu'!$C$1:$C$1000,MATCH(1,INDEX(('Kalem Kataloğu'!$A$1:$A$1000=A393)*('Kalem Kataloğu'!$B$1:$B$1000=E393),0),0)),"?")</f>
        <v/>
      </c>
      <c r="G393">
        <f>IFERROR(INDEX('Kalem Kataloğu'!$D$1:$D$1000,MATCH(1,INDEX(('Kalem Kataloğu'!$A$1:$A$1000=A393)*('Kalem Kataloğu'!$B$1:$B$1000=E393),0),0)),"?")</f>
        <v/>
      </c>
      <c r="H393" s="7" t="n">
        <v>1</v>
      </c>
      <c r="I393" s="7" t="inlineStr">
        <is>
          <t>Evet</t>
        </is>
      </c>
      <c r="J393" s="5" t="inlineStr">
        <is>
          <t>Drive foto (20.10.2026)</t>
        </is>
      </c>
      <c r="K393" s="5" t="n"/>
    </row>
    <row r="394">
      <c r="A394" s="5" t="inlineStr">
        <is>
          <t>Tare Houses Hotel</t>
        </is>
      </c>
      <c r="B394" s="5" t="inlineStr">
        <is>
          <t>X1</t>
        </is>
      </c>
      <c r="C394" s="7" t="n">
        <v>9</v>
      </c>
      <c r="D394">
        <f>IFERROR(INDEX('Kontrol Adımları'!$D:$D,MATCH(1,INDEX(('Kontrol Adımları'!$A$1:$A$400=B394)*('Kontrol Adımları'!$B$1:$B$400=C394),0),0)),"")</f>
        <v/>
      </c>
      <c r="E394" s="5" t="inlineStr">
        <is>
          <t>remote</t>
        </is>
      </c>
      <c r="F394">
        <f>IFERROR(INDEX('Kalem Kataloğu'!$C$1:$C$1000,MATCH(1,INDEX(('Kalem Kataloğu'!$A$1:$A$1000=A394)*('Kalem Kataloğu'!$B$1:$B$1000=E394),0),0)),"?")</f>
        <v/>
      </c>
      <c r="G394">
        <f>IFERROR(INDEX('Kalem Kataloğu'!$D$1:$D$1000,MATCH(1,INDEX(('Kalem Kataloğu'!$A$1:$A$1000=A394)*('Kalem Kataloğu'!$B$1:$B$1000=E394),0),0)),"?")</f>
        <v/>
      </c>
      <c r="H394" s="7" t="n">
        <v>2</v>
      </c>
      <c r="I394" s="7" t="inlineStr">
        <is>
          <t>Evet</t>
        </is>
      </c>
      <c r="J394" s="5" t="inlineStr">
        <is>
          <t>Drive foto (20.10.2026)</t>
        </is>
      </c>
      <c r="K394" s="5" t="n"/>
    </row>
    <row r="395">
      <c r="A395" s="5" t="inlineStr">
        <is>
          <t>Tare Houses Hotel</t>
        </is>
      </c>
      <c r="B395" s="5" t="inlineStr">
        <is>
          <t>X1</t>
        </is>
      </c>
      <c r="C395" s="7" t="n">
        <v>10</v>
      </c>
      <c r="D395">
        <f>IFERROR(INDEX('Kontrol Adımları'!$D:$D,MATCH(1,INDEX(('Kontrol Adımları'!$A$1:$A$400=B395)*('Kontrol Adımları'!$B$1:$B$400=C395),0),0)),"")</f>
        <v/>
      </c>
      <c r="E395" s="5" t="inlineStr">
        <is>
          <t>sofa_gray</t>
        </is>
      </c>
      <c r="F395">
        <f>IFERROR(INDEX('Kalem Kataloğu'!$C$1:$C$1000,MATCH(1,INDEX(('Kalem Kataloğu'!$A$1:$A$1000=A395)*('Kalem Kataloğu'!$B$1:$B$1000=E395),0),0)),"?")</f>
        <v/>
      </c>
      <c r="G395">
        <f>IFERROR(INDEX('Kalem Kataloğu'!$D$1:$D$1000,MATCH(1,INDEX(('Kalem Kataloğu'!$A$1:$A$1000=A395)*('Kalem Kataloğu'!$B$1:$B$1000=E395),0),0)),"?")</f>
        <v/>
      </c>
      <c r="H395" s="7" t="n">
        <v>1</v>
      </c>
      <c r="I395" s="7" t="inlineStr">
        <is>
          <t>Evet</t>
        </is>
      </c>
      <c r="J395" s="5" t="inlineStr">
        <is>
          <t>Drive foto (20.10.2026)</t>
        </is>
      </c>
      <c r="K395" s="5" t="n"/>
    </row>
    <row r="396">
      <c r="A396" s="5" t="inlineStr">
        <is>
          <t>Tare Houses Hotel</t>
        </is>
      </c>
      <c r="B396" s="5" t="inlineStr">
        <is>
          <t>X1</t>
        </is>
      </c>
      <c r="C396" s="7" t="n">
        <v>10</v>
      </c>
      <c r="D396">
        <f>IFERROR(INDEX('Kontrol Adımları'!$D:$D,MATCH(1,INDEX(('Kontrol Adımları'!$A$1:$A$400=B396)*('Kontrol Adımları'!$B$1:$B$400=C396),0),0)),"")</f>
        <v/>
      </c>
      <c r="E396" s="5" t="inlineStr">
        <is>
          <t>coffee_table_glass</t>
        </is>
      </c>
      <c r="F396">
        <f>IFERROR(INDEX('Kalem Kataloğu'!$C$1:$C$1000,MATCH(1,INDEX(('Kalem Kataloğu'!$A$1:$A$1000=A396)*('Kalem Kataloğu'!$B$1:$B$1000=E396),0),0)),"?")</f>
        <v/>
      </c>
      <c r="G396">
        <f>IFERROR(INDEX('Kalem Kataloğu'!$D$1:$D$1000,MATCH(1,INDEX(('Kalem Kataloğu'!$A$1:$A$1000=A396)*('Kalem Kataloğu'!$B$1:$B$1000=E396),0),0)),"?")</f>
        <v/>
      </c>
      <c r="H396" s="7" t="n">
        <v>1</v>
      </c>
      <c r="I396" s="7" t="inlineStr">
        <is>
          <t>Evet</t>
        </is>
      </c>
      <c r="J396" s="5" t="inlineStr">
        <is>
          <t>Drive foto (20.10.2026)</t>
        </is>
      </c>
      <c r="K396" s="5" t="n"/>
    </row>
    <row r="397">
      <c r="A397" s="5" t="inlineStr">
        <is>
          <t>Tare Houses Hotel</t>
        </is>
      </c>
      <c r="B397" s="5" t="inlineStr">
        <is>
          <t>X1</t>
        </is>
      </c>
      <c r="C397" s="7" t="n">
        <v>10</v>
      </c>
      <c r="D397">
        <f>IFERROR(INDEX('Kontrol Adımları'!$D:$D,MATCH(1,INDEX(('Kontrol Adımları'!$A$1:$A$400=B397)*('Kontrol Adımları'!$B$1:$B$400=C397),0),0)),"")</f>
        <v/>
      </c>
      <c r="E397" s="5" t="inlineStr">
        <is>
          <t>floor_lamp</t>
        </is>
      </c>
      <c r="F397">
        <f>IFERROR(INDEX('Kalem Kataloğu'!$C$1:$C$1000,MATCH(1,INDEX(('Kalem Kataloğu'!$A$1:$A$1000=A397)*('Kalem Kataloğu'!$B$1:$B$1000=E397),0),0)),"?")</f>
        <v/>
      </c>
      <c r="G397">
        <f>IFERROR(INDEX('Kalem Kataloğu'!$D$1:$D$1000,MATCH(1,INDEX(('Kalem Kataloğu'!$A$1:$A$1000=A397)*('Kalem Kataloğu'!$B$1:$B$1000=E397),0),0)),"?")</f>
        <v/>
      </c>
      <c r="H397" s="7" t="n">
        <v>1</v>
      </c>
      <c r="I397" s="7" t="inlineStr">
        <is>
          <t>Evet</t>
        </is>
      </c>
      <c r="J397" s="5" t="inlineStr">
        <is>
          <t>Drive foto (20.10.2026)</t>
        </is>
      </c>
      <c r="K397" s="5" t="n"/>
    </row>
    <row r="398" ht="26.4" customHeight="1">
      <c r="A398" s="5" t="inlineStr">
        <is>
          <t>Tare Houses Hotel</t>
        </is>
      </c>
      <c r="B398" s="5" t="inlineStr">
        <is>
          <t>X1</t>
        </is>
      </c>
      <c r="C398" s="7" t="n">
        <v>10</v>
      </c>
      <c r="D398">
        <f>IFERROR(INDEX('Kontrol Adımları'!$D:$D,MATCH(1,INDEX(('Kontrol Adımları'!$A$1:$A$400=B398)*('Kontrol Adımları'!$B$1:$B$400=C398),0),0)),"")</f>
        <v/>
      </c>
      <c r="E398" s="5" t="inlineStr">
        <is>
          <t>rug_striped</t>
        </is>
      </c>
      <c r="F398">
        <f>IFERROR(INDEX('Kalem Kataloğu'!$C$1:$C$1000,MATCH(1,INDEX(('Kalem Kataloğu'!$A$1:$A$1000=A398)*('Kalem Kataloğu'!$B$1:$B$1000=E398),0),0)),"?")</f>
        <v/>
      </c>
      <c r="G398">
        <f>IFERROR(INDEX('Kalem Kataloğu'!$D$1:$D$1000,MATCH(1,INDEX(('Kalem Kataloğu'!$A$1:$A$1000=A398)*('Kalem Kataloğu'!$B$1:$B$1000=E398),0),0)),"?")</f>
        <v/>
      </c>
      <c r="H398" s="7" t="n">
        <v>1</v>
      </c>
      <c r="I398" s="7" t="inlineStr">
        <is>
          <t>Evet</t>
        </is>
      </c>
      <c r="J398" s="5" t="inlineStr">
        <is>
          <t>Drive foto (20.10.2026)</t>
        </is>
      </c>
      <c r="K398" s="5" t="n"/>
    </row>
    <row r="399">
      <c r="A399" s="5" t="inlineStr">
        <is>
          <t>Tare Houses Hotel</t>
        </is>
      </c>
      <c r="B399" s="5" t="inlineStr">
        <is>
          <t>X1</t>
        </is>
      </c>
      <c r="C399" s="7" t="n">
        <v>10</v>
      </c>
      <c r="D399">
        <f>IFERROR(INDEX('Kontrol Adımları'!$D:$D,MATCH(1,INDEX(('Kontrol Adımları'!$A$1:$A$400=B399)*('Kontrol Adımları'!$B$1:$B$400=C399),0),0)),"")</f>
        <v/>
      </c>
      <c r="E399" s="5" t="inlineStr">
        <is>
          <t>round_wall_lamp</t>
        </is>
      </c>
      <c r="F399">
        <f>IFERROR(INDEX('Kalem Kataloğu'!$C$1:$C$1000,MATCH(1,INDEX(('Kalem Kataloğu'!$A$1:$A$1000=A399)*('Kalem Kataloğu'!$B$1:$B$1000=E399),0),0)),"?")</f>
        <v/>
      </c>
      <c r="G399">
        <f>IFERROR(INDEX('Kalem Kataloğu'!$D$1:$D$1000,MATCH(1,INDEX(('Kalem Kataloğu'!$A$1:$A$1000=A399)*('Kalem Kataloğu'!$B$1:$B$1000=E399),0),0)),"?")</f>
        <v/>
      </c>
      <c r="H399" s="7" t="n">
        <v>2</v>
      </c>
      <c r="I399" s="7" t="inlineStr">
        <is>
          <t>Evet</t>
        </is>
      </c>
      <c r="J399" s="5" t="inlineStr">
        <is>
          <t>Drive foto (20.10.2026)</t>
        </is>
      </c>
      <c r="K399" s="5" t="n"/>
    </row>
    <row r="400">
      <c r="A400" s="5" t="inlineStr">
        <is>
          <t>Tare Houses Hotel</t>
        </is>
      </c>
      <c r="B400" s="5" t="inlineStr">
        <is>
          <t>X1</t>
        </is>
      </c>
      <c r="C400" s="7" t="n">
        <v>10</v>
      </c>
      <c r="D400">
        <f>IFERROR(INDEX('Kontrol Adımları'!$D:$D,MATCH(1,INDEX(('Kontrol Adımları'!$A$1:$A$400=B400)*('Kontrol Adımları'!$B$1:$B$400=C400),0),0)),"")</f>
        <v/>
      </c>
      <c r="E400" s="5" t="inlineStr">
        <is>
          <t>wall_art</t>
        </is>
      </c>
      <c r="F400">
        <f>IFERROR(INDEX('Kalem Kataloğu'!$C$1:$C$1000,MATCH(1,INDEX(('Kalem Kataloğu'!$A$1:$A$1000=A400)*('Kalem Kataloğu'!$B$1:$B$1000=E400),0),0)),"?")</f>
        <v/>
      </c>
      <c r="G400">
        <f>IFERROR(INDEX('Kalem Kataloğu'!$D$1:$D$1000,MATCH(1,INDEX(('Kalem Kataloğu'!$A$1:$A$1000=A400)*('Kalem Kataloğu'!$B$1:$B$1000=E400),0),0)),"?")</f>
        <v/>
      </c>
      <c r="H400" s="7" t="n">
        <v>2</v>
      </c>
      <c r="I400" s="7" t="inlineStr">
        <is>
          <t>Evet</t>
        </is>
      </c>
      <c r="J400" s="5" t="inlineStr">
        <is>
          <t>Drive foto (20.10.2026)</t>
        </is>
      </c>
      <c r="K400" s="5" t="inlineStr">
        <is>
          <t>Yatak üstü + oturma alanı</t>
        </is>
      </c>
    </row>
    <row r="401">
      <c r="A401" s="5" t="inlineStr">
        <is>
          <t>Tare Houses Hotel</t>
        </is>
      </c>
      <c r="B401" s="5" t="inlineStr">
        <is>
          <t>X1</t>
        </is>
      </c>
      <c r="C401" s="7" t="n">
        <v>11</v>
      </c>
      <c r="D401">
        <f>IFERROR(INDEX('Kontrol Adımları'!$D:$D,MATCH(1,INDEX(('Kontrol Adımları'!$A$1:$A$400=B401)*('Kontrol Adımları'!$B$1:$B$400=C401),0),0)),"")</f>
        <v/>
      </c>
      <c r="E401" s="5" t="inlineStr">
        <is>
          <t>cooktop</t>
        </is>
      </c>
      <c r="F401">
        <f>IFERROR(INDEX('Kalem Kataloğu'!$C$1:$C$1000,MATCH(1,INDEX(('Kalem Kataloğu'!$A$1:$A$1000=A401)*('Kalem Kataloğu'!$B$1:$B$1000=E401),0),0)),"?")</f>
        <v/>
      </c>
      <c r="G401">
        <f>IFERROR(INDEX('Kalem Kataloğu'!$D$1:$D$1000,MATCH(1,INDEX(('Kalem Kataloğu'!$A$1:$A$1000=A401)*('Kalem Kataloğu'!$B$1:$B$1000=E401),0),0)),"?")</f>
        <v/>
      </c>
      <c r="H401" s="7" t="n">
        <v>1</v>
      </c>
      <c r="I401" s="7" t="inlineStr">
        <is>
          <t>Evet</t>
        </is>
      </c>
      <c r="J401" s="5" t="inlineStr">
        <is>
          <t>Drive foto (20.10.2026)</t>
        </is>
      </c>
      <c r="K401" s="5" t="n"/>
    </row>
    <row r="402">
      <c r="A402" s="5" t="inlineStr">
        <is>
          <t>Tare Houses Hotel</t>
        </is>
      </c>
      <c r="B402" s="5" t="inlineStr">
        <is>
          <t>X1</t>
        </is>
      </c>
      <c r="C402" s="7" t="n">
        <v>11</v>
      </c>
      <c r="D402">
        <f>IFERROR(INDEX('Kontrol Adımları'!$D:$D,MATCH(1,INDEX(('Kontrol Adımları'!$A$1:$A$400=B402)*('Kontrol Adımları'!$B$1:$B$400=C402),0),0)),"")</f>
        <v/>
      </c>
      <c r="E402" s="5" t="inlineStr">
        <is>
          <t>hanging_bin</t>
        </is>
      </c>
      <c r="F402">
        <f>IFERROR(INDEX('Kalem Kataloğu'!$C$1:$C$1000,MATCH(1,INDEX(('Kalem Kataloğu'!$A$1:$A$1000=A402)*('Kalem Kataloğu'!$B$1:$B$1000=E402),0),0)),"?")</f>
        <v/>
      </c>
      <c r="G402">
        <f>IFERROR(INDEX('Kalem Kataloğu'!$D$1:$D$1000,MATCH(1,INDEX(('Kalem Kataloğu'!$A$1:$A$1000=A402)*('Kalem Kataloğu'!$B$1:$B$1000=E402),0),0)),"?")</f>
        <v/>
      </c>
      <c r="H402" s="7" t="n">
        <v>1</v>
      </c>
      <c r="I402" s="7" t="inlineStr">
        <is>
          <t>Evet</t>
        </is>
      </c>
      <c r="J402" s="5" t="inlineStr">
        <is>
          <t>Drive foto (20.10.2026)</t>
        </is>
      </c>
      <c r="K402" s="5" t="n"/>
    </row>
    <row r="403">
      <c r="A403" s="5" t="inlineStr">
        <is>
          <t>Tare Houses Hotel</t>
        </is>
      </c>
      <c r="B403" s="5" t="inlineStr">
        <is>
          <t>X1</t>
        </is>
      </c>
      <c r="C403" s="7" t="n">
        <v>11</v>
      </c>
      <c r="D403">
        <f>IFERROR(INDEX('Kontrol Adımları'!$D:$D,MATCH(1,INDEX(('Kontrol Adımları'!$A$1:$A$400=B403)*('Kontrol Adımları'!$B$1:$B$400=C403),0),0)),"")</f>
        <v/>
      </c>
      <c r="E403" s="5" t="inlineStr">
        <is>
          <t>mini_fridge</t>
        </is>
      </c>
      <c r="F403">
        <f>IFERROR(INDEX('Kalem Kataloğu'!$C$1:$C$1000,MATCH(1,INDEX(('Kalem Kataloğu'!$A$1:$A$1000=A403)*('Kalem Kataloğu'!$B$1:$B$1000=E403),0),0)),"?")</f>
        <v/>
      </c>
      <c r="G403">
        <f>IFERROR(INDEX('Kalem Kataloğu'!$D$1:$D$1000,MATCH(1,INDEX(('Kalem Kataloğu'!$A$1:$A$1000=A403)*('Kalem Kataloğu'!$B$1:$B$1000=E403),0),0)),"?")</f>
        <v/>
      </c>
      <c r="H403" s="7" t="n">
        <v>1</v>
      </c>
      <c r="I403" s="7" t="inlineStr">
        <is>
          <t>Evet</t>
        </is>
      </c>
      <c r="J403" s="5" t="inlineStr">
        <is>
          <t>Drive foto (20.10.2026)</t>
        </is>
      </c>
      <c r="K403" s="5" t="n"/>
    </row>
    <row r="404">
      <c r="A404" s="5" t="inlineStr">
        <is>
          <t>Tare Houses Hotel</t>
        </is>
      </c>
      <c r="B404" s="5" t="inlineStr">
        <is>
          <t>X1</t>
        </is>
      </c>
      <c r="C404" s="7" t="n">
        <v>11</v>
      </c>
      <c r="D404">
        <f>IFERROR(INDEX('Kontrol Adımları'!$D:$D,MATCH(1,INDEX(('Kontrol Adımları'!$A$1:$A$400=B404)*('Kontrol Adımları'!$B$1:$B$400=C404),0),0)),"")</f>
        <v/>
      </c>
      <c r="E404" s="5" t="inlineStr">
        <is>
          <t>range_hood</t>
        </is>
      </c>
      <c r="F404">
        <f>IFERROR(INDEX('Kalem Kataloğu'!$C$1:$C$1000,MATCH(1,INDEX(('Kalem Kataloğu'!$A$1:$A$1000=A404)*('Kalem Kataloğu'!$B$1:$B$1000=E404),0),0)),"?")</f>
        <v/>
      </c>
      <c r="G404">
        <f>IFERROR(INDEX('Kalem Kataloğu'!$D$1:$D$1000,MATCH(1,INDEX(('Kalem Kataloğu'!$A$1:$A$1000=A404)*('Kalem Kataloğu'!$B$1:$B$1000=E404),0),0)),"?")</f>
        <v/>
      </c>
      <c r="H404" s="7" t="n">
        <v>1</v>
      </c>
      <c r="I404" s="7" t="inlineStr">
        <is>
          <t>Hayır</t>
        </is>
      </c>
      <c r="J404" s="5" t="inlineStr">
        <is>
          <t>Drive foto (20.10.2026)</t>
        </is>
      </c>
      <c r="K404" s="5" t="inlineStr">
        <is>
          <t>Üst dolap altında görünüyor</t>
        </is>
      </c>
    </row>
    <row r="405">
      <c r="A405" s="5" t="inlineStr">
        <is>
          <t>Tare Houses Hotel</t>
        </is>
      </c>
      <c r="B405" s="5" t="inlineStr">
        <is>
          <t>X1</t>
        </is>
      </c>
      <c r="C405" s="7" t="n">
        <v>16</v>
      </c>
      <c r="D405">
        <f>IFERROR(INDEX('Kontrol Adımları'!$D:$D,MATCH(1,INDEX(('Kontrol Adımları'!$A$1:$A$400=B405)*('Kontrol Adımları'!$B$1:$B$400=C405),0),0)),"")</f>
        <v/>
      </c>
      <c r="E405" s="5" t="inlineStr">
        <is>
          <t>kettle</t>
        </is>
      </c>
      <c r="F405">
        <f>IFERROR(INDEX('Kalem Kataloğu'!$C$1:$C$1000,MATCH(1,INDEX(('Kalem Kataloğu'!$A$1:$A$1000=A405)*('Kalem Kataloğu'!$B$1:$B$1000=E405),0),0)),"?")</f>
        <v/>
      </c>
      <c r="G405">
        <f>IFERROR(INDEX('Kalem Kataloğu'!$D$1:$D$1000,MATCH(1,INDEX(('Kalem Kataloğu'!$A$1:$A$1000=A405)*('Kalem Kataloğu'!$B$1:$B$1000=E405),0),0)),"?")</f>
        <v/>
      </c>
      <c r="H405" s="7" t="n">
        <v>1</v>
      </c>
      <c r="I405" s="7" t="inlineStr">
        <is>
          <t>Evet</t>
        </is>
      </c>
      <c r="J405" s="5" t="inlineStr">
        <is>
          <t>Drive foto (20.10.2026)</t>
        </is>
      </c>
      <c r="K405" s="5" t="n"/>
    </row>
    <row r="406">
      <c r="A406" s="5" t="inlineStr">
        <is>
          <t>Tare Houses Hotel</t>
        </is>
      </c>
      <c r="B406" s="5" t="inlineStr">
        <is>
          <t>X1</t>
        </is>
      </c>
      <c r="C406" s="7" t="n">
        <v>18</v>
      </c>
      <c r="D406">
        <f>IFERROR(INDEX('Kontrol Adımları'!$D:$D,MATCH(1,INDEX(('Kontrol Adımları'!$A$1:$A$400=B406)*('Kontrol Adımları'!$B$1:$B$400=C406),0),0)),"")</f>
        <v/>
      </c>
      <c r="E406" s="5" t="inlineStr">
        <is>
          <t>paper_towel</t>
        </is>
      </c>
      <c r="F406">
        <f>IFERROR(INDEX('Kalem Kataloğu'!$C$1:$C$1000,MATCH(1,INDEX(('Kalem Kataloğu'!$A$1:$A$1000=A406)*('Kalem Kataloğu'!$B$1:$B$1000=E406),0),0)),"?")</f>
        <v/>
      </c>
      <c r="G406">
        <f>IFERROR(INDEX('Kalem Kataloğu'!$D$1:$D$1000,MATCH(1,INDEX(('Kalem Kataloğu'!$A$1:$A$1000=A406)*('Kalem Kataloğu'!$B$1:$B$1000=E406),0),0)),"?")</f>
        <v/>
      </c>
      <c r="H406" s="7" t="n">
        <v>1</v>
      </c>
      <c r="I406" s="7" t="inlineStr">
        <is>
          <t>Hayır</t>
        </is>
      </c>
      <c r="J406" s="5" t="inlineStr">
        <is>
          <t>Drive foto (20.10.2026)</t>
        </is>
      </c>
      <c r="K406" s="5" t="inlineStr">
        <is>
          <t>X2 ile aynı varsayıldı</t>
        </is>
      </c>
    </row>
    <row r="407" ht="26.4" customHeight="1">
      <c r="A407" s="5" t="inlineStr">
        <is>
          <t>Tare Houses Hotel</t>
        </is>
      </c>
      <c r="B407" s="5" t="inlineStr">
        <is>
          <t>X1</t>
        </is>
      </c>
      <c r="C407" s="7" t="n">
        <v>20</v>
      </c>
      <c r="D407">
        <f>IFERROR(INDEX('Kontrol Adımları'!$D:$D,MATCH(1,INDEX(('Kontrol Adımları'!$A$1:$A$400=B407)*('Kontrol Adımları'!$B$1:$B$400=C407),0),0)),"")</f>
        <v/>
      </c>
      <c r="E407" s="5" t="inlineStr">
        <is>
          <t>air_conditioner</t>
        </is>
      </c>
      <c r="F407">
        <f>IFERROR(INDEX('Kalem Kataloğu'!$C$1:$C$1000,MATCH(1,INDEX(('Kalem Kataloğu'!$A$1:$A$1000=A407)*('Kalem Kataloğu'!$B$1:$B$1000=E407),0),0)),"?")</f>
        <v/>
      </c>
      <c r="G407">
        <f>IFERROR(INDEX('Kalem Kataloğu'!$D$1:$D$1000,MATCH(1,INDEX(('Kalem Kataloğu'!$A$1:$A$1000=A407)*('Kalem Kataloğu'!$B$1:$B$1000=E407),0),0)),"?")</f>
        <v/>
      </c>
      <c r="H407" s="7" t="n">
        <v>1</v>
      </c>
      <c r="I407" s="7" t="inlineStr">
        <is>
          <t>Evet</t>
        </is>
      </c>
      <c r="J407" s="5" t="inlineStr">
        <is>
          <t>Drive foto (20.10.2026)</t>
        </is>
      </c>
      <c r="K407" s="5" t="inlineStr">
        <is>
          <t>Oturma bölümünde, banyo kapısının üstünde (video)</t>
        </is>
      </c>
    </row>
    <row r="408">
      <c r="A408" s="5" t="inlineStr">
        <is>
          <t>Tare Houses Hotel</t>
        </is>
      </c>
      <c r="B408" s="5" t="inlineStr">
        <is>
          <t>X1</t>
        </is>
      </c>
      <c r="C408" s="7" t="n">
        <v>20</v>
      </c>
      <c r="D408">
        <f>IFERROR(INDEX('Kontrol Adımları'!$D:$D,MATCH(1,INDEX(('Kontrol Adımları'!$A$1:$A$400=B408)*('Kontrol Adımları'!$B$1:$B$400=C408),0),0)),"")</f>
        <v/>
      </c>
      <c r="E408" s="5" t="inlineStr">
        <is>
          <t>room_bin</t>
        </is>
      </c>
      <c r="F408">
        <f>IFERROR(INDEX('Kalem Kataloğu'!$C$1:$C$1000,MATCH(1,INDEX(('Kalem Kataloğu'!$A$1:$A$1000=A408)*('Kalem Kataloğu'!$B$1:$B$1000=E408),0),0)),"?")</f>
        <v/>
      </c>
      <c r="G408">
        <f>IFERROR(INDEX('Kalem Kataloğu'!$D$1:$D$1000,MATCH(1,INDEX(('Kalem Kataloğu'!$A$1:$A$1000=A408)*('Kalem Kataloğu'!$B$1:$B$1000=E408),0),0)),"?")</f>
        <v/>
      </c>
      <c r="H408" s="7" t="n">
        <v>1</v>
      </c>
      <c r="I408" s="7" t="inlineStr">
        <is>
          <t>Evet</t>
        </is>
      </c>
      <c r="J408" s="5" t="inlineStr">
        <is>
          <t>Drive foto (20.10.2026)</t>
        </is>
      </c>
      <c r="K408" s="5" t="inlineStr">
        <is>
          <t>Video</t>
        </is>
      </c>
    </row>
    <row r="409">
      <c r="A409" s="5" t="inlineStr">
        <is>
          <t>Tare Houses Hotel</t>
        </is>
      </c>
      <c r="B409" s="5" t="inlineStr">
        <is>
          <t>X1</t>
        </is>
      </c>
      <c r="C409" s="7" t="n">
        <v>20</v>
      </c>
      <c r="D409">
        <f>IFERROR(INDEX('Kontrol Adımları'!$D:$D,MATCH(1,INDEX(('Kontrol Adımları'!$A$1:$A$400=B409)*('Kontrol Adımları'!$B$1:$B$400=C409),0),0)),"")</f>
        <v/>
      </c>
      <c r="E409" s="5" t="inlineStr">
        <is>
          <t>ceiling_light</t>
        </is>
      </c>
      <c r="F409">
        <f>IFERROR(INDEX('Kalem Kataloğu'!$C$1:$C$1000,MATCH(1,INDEX(('Kalem Kataloğu'!$A$1:$A$1000=A409)*('Kalem Kataloğu'!$B$1:$B$1000=E409),0),0)),"?")</f>
        <v/>
      </c>
      <c r="G409">
        <f>IFERROR(INDEX('Kalem Kataloğu'!$D$1:$D$1000,MATCH(1,INDEX(('Kalem Kataloğu'!$A$1:$A$1000=A409)*('Kalem Kataloğu'!$B$1:$B$1000=E409),0),0)),"?")</f>
        <v/>
      </c>
      <c r="H409" s="7" t="n">
        <v>1</v>
      </c>
      <c r="I409" s="7" t="inlineStr">
        <is>
          <t>Evet</t>
        </is>
      </c>
      <c r="J409" s="5" t="inlineStr">
        <is>
          <t>Drive foto (20.10.2026)</t>
        </is>
      </c>
      <c r="K409" s="5" t="inlineStr">
        <is>
          <t>Oturma bölümü, klima yanı (video)</t>
        </is>
      </c>
    </row>
    <row r="410">
      <c r="A410" s="5" t="inlineStr">
        <is>
          <t>Tare Houses Hotel</t>
        </is>
      </c>
      <c r="B410" s="5" t="inlineStr">
        <is>
          <t>X2</t>
        </is>
      </c>
      <c r="C410" s="7" t="n">
        <v>1</v>
      </c>
      <c r="D410">
        <f>IFERROR(INDEX('Kontrol Adımları'!$D:$D,MATCH(1,INDEX(('Kontrol Adımları'!$A$1:$A$400=B410)*('Kontrol Adımları'!$B$1:$B$400=C410),0),0)),"")</f>
        <v/>
      </c>
      <c r="E410" s="5" t="inlineStr">
        <is>
          <t>desk_with_chair</t>
        </is>
      </c>
      <c r="F410">
        <f>IFERROR(INDEX('Kalem Kataloğu'!$C$1:$C$1000,MATCH(1,INDEX(('Kalem Kataloğu'!$A$1:$A$1000=A410)*('Kalem Kataloğu'!$B$1:$B$1000=E410),0),0)),"?")</f>
        <v/>
      </c>
      <c r="G410">
        <f>IFERROR(INDEX('Kalem Kataloğu'!$D$1:$D$1000,MATCH(1,INDEX(('Kalem Kataloğu'!$A$1:$A$1000=A410)*('Kalem Kataloğu'!$B$1:$B$1000=E410),0),0)),"?")</f>
        <v/>
      </c>
      <c r="H410" s="7" t="n">
        <v>1</v>
      </c>
      <c r="I410" s="7" t="inlineStr">
        <is>
          <t>Evet</t>
        </is>
      </c>
      <c r="J410" s="5" t="inlineStr">
        <is>
          <t>Drive foto (20.10.2026)</t>
        </is>
      </c>
      <c r="K410" s="5" t="n"/>
    </row>
    <row r="411">
      <c r="A411" s="5" t="inlineStr">
        <is>
          <t>Tare Houses Hotel</t>
        </is>
      </c>
      <c r="B411" s="5" t="inlineStr">
        <is>
          <t>X2</t>
        </is>
      </c>
      <c r="C411" s="7" t="n">
        <v>2</v>
      </c>
      <c r="D411">
        <f>IFERROR(INDEX('Kontrol Adımları'!$D:$D,MATCH(1,INDEX(('Kontrol Adımları'!$A$1:$A$400=B411)*('Kontrol Adımları'!$B$1:$B$400=C411),0),0)),"")</f>
        <v/>
      </c>
      <c r="E411" s="5" t="inlineStr">
        <is>
          <t>vessel_sink</t>
        </is>
      </c>
      <c r="F411">
        <f>IFERROR(INDEX('Kalem Kataloğu'!$C$1:$C$1000,MATCH(1,INDEX(('Kalem Kataloğu'!$A$1:$A$1000=A411)*('Kalem Kataloğu'!$B$1:$B$1000=E411),0),0)),"?")</f>
        <v/>
      </c>
      <c r="G411">
        <f>IFERROR(INDEX('Kalem Kataloğu'!$D$1:$D$1000,MATCH(1,INDEX(('Kalem Kataloğu'!$A$1:$A$1000=A411)*('Kalem Kataloğu'!$B$1:$B$1000=E411),0),0)),"?")</f>
        <v/>
      </c>
      <c r="H411" s="7" t="n">
        <v>1</v>
      </c>
      <c r="I411" s="7" t="inlineStr">
        <is>
          <t>Evet</t>
        </is>
      </c>
      <c r="J411" s="5" t="inlineStr">
        <is>
          <t>Drive foto (20.10.2026)</t>
        </is>
      </c>
      <c r="K411" s="5" t="n"/>
    </row>
    <row r="412">
      <c r="A412" s="5" t="inlineStr">
        <is>
          <t>Tare Houses Hotel</t>
        </is>
      </c>
      <c r="B412" s="5" t="inlineStr">
        <is>
          <t>X2</t>
        </is>
      </c>
      <c r="C412" s="7" t="n">
        <v>2</v>
      </c>
      <c r="D412">
        <f>IFERROR(INDEX('Kontrol Adımları'!$D:$D,MATCH(1,INDEX(('Kontrol Adımları'!$A$1:$A$400=B412)*('Kontrol Adımları'!$B$1:$B$400=C412),0),0)),"")</f>
        <v/>
      </c>
      <c r="E412" s="5" t="inlineStr">
        <is>
          <t>basin_faucet</t>
        </is>
      </c>
      <c r="F412">
        <f>IFERROR(INDEX('Kalem Kataloğu'!$C$1:$C$1000,MATCH(1,INDEX(('Kalem Kataloğu'!$A$1:$A$1000=A412)*('Kalem Kataloğu'!$B$1:$B$1000=E412),0),0)),"?")</f>
        <v/>
      </c>
      <c r="G412">
        <f>IFERROR(INDEX('Kalem Kataloğu'!$D$1:$D$1000,MATCH(1,INDEX(('Kalem Kataloğu'!$A$1:$A$1000=A412)*('Kalem Kataloğu'!$B$1:$B$1000=E412),0),0)),"?")</f>
        <v/>
      </c>
      <c r="H412" s="7" t="n">
        <v>1</v>
      </c>
      <c r="I412" s="7" t="inlineStr">
        <is>
          <t>Evet</t>
        </is>
      </c>
      <c r="J412" s="5" t="inlineStr">
        <is>
          <t>Drive foto (20.10.2026)</t>
        </is>
      </c>
      <c r="K412" s="5" t="n"/>
    </row>
    <row r="413">
      <c r="A413" s="5" t="inlineStr">
        <is>
          <t>Tare Houses Hotel</t>
        </is>
      </c>
      <c r="B413" s="5" t="inlineStr">
        <is>
          <t>X2</t>
        </is>
      </c>
      <c r="C413" s="7" t="n">
        <v>2</v>
      </c>
      <c r="D413">
        <f>IFERROR(INDEX('Kontrol Adımları'!$D:$D,MATCH(1,INDEX(('Kontrol Adımları'!$A$1:$A$400=B413)*('Kontrol Adımları'!$B$1:$B$400=C413),0),0)),"")</f>
        <v/>
      </c>
      <c r="E413" s="5" t="inlineStr">
        <is>
          <t>led_mirror</t>
        </is>
      </c>
      <c r="F413">
        <f>IFERROR(INDEX('Kalem Kataloğu'!$C$1:$C$1000,MATCH(1,INDEX(('Kalem Kataloğu'!$A$1:$A$1000=A413)*('Kalem Kataloğu'!$B$1:$B$1000=E413),0),0)),"?")</f>
        <v/>
      </c>
      <c r="G413">
        <f>IFERROR(INDEX('Kalem Kataloğu'!$D$1:$D$1000,MATCH(1,INDEX(('Kalem Kataloğu'!$A$1:$A$1000=A413)*('Kalem Kataloğu'!$B$1:$B$1000=E413),0),0)),"?")</f>
        <v/>
      </c>
      <c r="H413" s="7" t="n">
        <v>1</v>
      </c>
      <c r="I413" s="7" t="inlineStr">
        <is>
          <t>Evet</t>
        </is>
      </c>
      <c r="J413" s="5" t="inlineStr">
        <is>
          <t>Drive foto (20.10.2026)</t>
        </is>
      </c>
      <c r="K413" s="5" t="n"/>
    </row>
    <row r="414">
      <c r="A414" s="5" t="inlineStr">
        <is>
          <t>Tare Houses Hotel</t>
        </is>
      </c>
      <c r="B414" s="5" t="inlineStr">
        <is>
          <t>X2</t>
        </is>
      </c>
      <c r="C414" s="7" t="n">
        <v>2</v>
      </c>
      <c r="D414">
        <f>IFERROR(INDEX('Kontrol Adımları'!$D:$D,MATCH(1,INDEX(('Kontrol Adımları'!$A$1:$A$400=B414)*('Kontrol Adımları'!$B$1:$B$400=C414),0),0)),"")</f>
        <v/>
      </c>
      <c r="E414" s="5" t="inlineStr">
        <is>
          <t>liquid_soap</t>
        </is>
      </c>
      <c r="F414">
        <f>IFERROR(INDEX('Kalem Kataloğu'!$C$1:$C$1000,MATCH(1,INDEX(('Kalem Kataloğu'!$A$1:$A$1000=A414)*('Kalem Kataloğu'!$B$1:$B$1000=E414),0),0)),"?")</f>
        <v/>
      </c>
      <c r="G414">
        <f>IFERROR(INDEX('Kalem Kataloğu'!$D$1:$D$1000,MATCH(1,INDEX(('Kalem Kataloğu'!$A$1:$A$1000=A414)*('Kalem Kataloğu'!$B$1:$B$1000=E414),0),0)),"?")</f>
        <v/>
      </c>
      <c r="H414" s="7" t="n">
        <v>1</v>
      </c>
      <c r="I414" s="7" t="inlineStr">
        <is>
          <t>Evet</t>
        </is>
      </c>
      <c r="J414" s="5" t="inlineStr">
        <is>
          <t>Drive foto (20.10.2026)</t>
        </is>
      </c>
      <c r="K414" s="5" t="n"/>
    </row>
    <row r="415">
      <c r="A415" s="5" t="inlineStr">
        <is>
          <t>Tare Houses Hotel</t>
        </is>
      </c>
      <c r="B415" s="5" t="inlineStr">
        <is>
          <t>X2</t>
        </is>
      </c>
      <c r="C415" s="7" t="n">
        <v>2</v>
      </c>
      <c r="D415">
        <f>IFERROR(INDEX('Kontrol Adımları'!$D:$D,MATCH(1,INDEX(('Kontrol Adımları'!$A$1:$A$400=B415)*('Kontrol Adımları'!$B$1:$B$400=C415),0),0)),"")</f>
        <v/>
      </c>
      <c r="E415" s="5" t="inlineStr">
        <is>
          <t>towel_bar</t>
        </is>
      </c>
      <c r="F415">
        <f>IFERROR(INDEX('Kalem Kataloğu'!$C$1:$C$1000,MATCH(1,INDEX(('Kalem Kataloğu'!$A$1:$A$1000=A415)*('Kalem Kataloğu'!$B$1:$B$1000=E415),0),0)),"?")</f>
        <v/>
      </c>
      <c r="G415">
        <f>IFERROR(INDEX('Kalem Kataloğu'!$D$1:$D$1000,MATCH(1,INDEX(('Kalem Kataloğu'!$A$1:$A$1000=A415)*('Kalem Kataloğu'!$B$1:$B$1000=E415),0),0)),"?")</f>
        <v/>
      </c>
      <c r="H415" s="7" t="n">
        <v>1</v>
      </c>
      <c r="I415" s="7" t="inlineStr">
        <is>
          <t>Evet</t>
        </is>
      </c>
      <c r="J415" s="5" t="inlineStr">
        <is>
          <t>Drive foto (20.10.2026)</t>
        </is>
      </c>
      <c r="K415" s="5" t="n"/>
    </row>
    <row r="416">
      <c r="A416" s="5" t="inlineStr">
        <is>
          <t>Tare Houses Hotel</t>
        </is>
      </c>
      <c r="B416" s="5" t="inlineStr">
        <is>
          <t>X2</t>
        </is>
      </c>
      <c r="C416" s="7" t="n">
        <v>3</v>
      </c>
      <c r="D416">
        <f>IFERROR(INDEX('Kontrol Adımları'!$D:$D,MATCH(1,INDEX(('Kontrol Adımları'!$A$1:$A$400=B416)*('Kontrol Adımları'!$B$1:$B$400=C416),0),0)),"")</f>
        <v/>
      </c>
      <c r="E416" s="5" t="inlineStr">
        <is>
          <t>bath_towel</t>
        </is>
      </c>
      <c r="F416">
        <f>IFERROR(INDEX('Kalem Kataloğu'!$C$1:$C$1000,MATCH(1,INDEX(('Kalem Kataloğu'!$A$1:$A$1000=A416)*('Kalem Kataloğu'!$B$1:$B$1000=E416),0),0)),"?")</f>
        <v/>
      </c>
      <c r="G416">
        <f>IFERROR(INDEX('Kalem Kataloğu'!$D$1:$D$1000,MATCH(1,INDEX(('Kalem Kataloğu'!$A$1:$A$1000=A416)*('Kalem Kataloğu'!$B$1:$B$1000=E416),0),0)),"?")</f>
        <v/>
      </c>
      <c r="H416" s="7" t="n">
        <v>2</v>
      </c>
      <c r="I416" s="7" t="inlineStr">
        <is>
          <t>Evet</t>
        </is>
      </c>
      <c r="J416" s="5" t="inlineStr">
        <is>
          <t>Drive foto (20.10.2026)</t>
        </is>
      </c>
      <c r="K416" s="5" t="n"/>
    </row>
    <row r="417">
      <c r="A417" s="5" t="inlineStr">
        <is>
          <t>Tare Houses Hotel</t>
        </is>
      </c>
      <c r="B417" s="5" t="inlineStr">
        <is>
          <t>X2</t>
        </is>
      </c>
      <c r="C417" s="7" t="n">
        <v>3</v>
      </c>
      <c r="D417">
        <f>IFERROR(INDEX('Kontrol Adımları'!$D:$D,MATCH(1,INDEX(('Kontrol Adımları'!$A$1:$A$400=B417)*('Kontrol Adımları'!$B$1:$B$400=C417),0),0)),"")</f>
        <v/>
      </c>
      <c r="E417" s="5" t="inlineStr">
        <is>
          <t>hand_towel</t>
        </is>
      </c>
      <c r="F417">
        <f>IFERROR(INDEX('Kalem Kataloğu'!$C$1:$C$1000,MATCH(1,INDEX(('Kalem Kataloğu'!$A$1:$A$1000=A417)*('Kalem Kataloğu'!$B$1:$B$1000=E417),0),0)),"?")</f>
        <v/>
      </c>
      <c r="G417">
        <f>IFERROR(INDEX('Kalem Kataloğu'!$D$1:$D$1000,MATCH(1,INDEX(('Kalem Kataloğu'!$A$1:$A$1000=A417)*('Kalem Kataloğu'!$B$1:$B$1000=E417),0),0)),"?")</f>
        <v/>
      </c>
      <c r="H417" s="7" t="n">
        <v>2</v>
      </c>
      <c r="I417" s="7" t="inlineStr">
        <is>
          <t>Evet</t>
        </is>
      </c>
      <c r="J417" s="5" t="inlineStr">
        <is>
          <t>Drive foto (20.10.2026)</t>
        </is>
      </c>
      <c r="K417" s="5" t="n"/>
    </row>
    <row r="418">
      <c r="A418" s="5" t="inlineStr">
        <is>
          <t>Tare Houses Hotel</t>
        </is>
      </c>
      <c r="B418" s="5" t="inlineStr">
        <is>
          <t>X2</t>
        </is>
      </c>
      <c r="C418" s="7" t="n">
        <v>3</v>
      </c>
      <c r="D418">
        <f>IFERROR(INDEX('Kontrol Adımları'!$D:$D,MATCH(1,INDEX(('Kontrol Adımları'!$A$1:$A$400=B418)*('Kontrol Adımları'!$B$1:$B$400=C418),0),0)),"")</f>
        <v/>
      </c>
      <c r="E418" s="5" t="inlineStr">
        <is>
          <t>slippers</t>
        </is>
      </c>
      <c r="F418">
        <f>IFERROR(INDEX('Kalem Kataloğu'!$C$1:$C$1000,MATCH(1,INDEX(('Kalem Kataloğu'!$A$1:$A$1000=A418)*('Kalem Kataloğu'!$B$1:$B$1000=E418),0),0)),"?")</f>
        <v/>
      </c>
      <c r="G418">
        <f>IFERROR(INDEX('Kalem Kataloğu'!$D$1:$D$1000,MATCH(1,INDEX(('Kalem Kataloğu'!$A$1:$A$1000=A418)*('Kalem Kataloğu'!$B$1:$B$1000=E418),0),0)),"?")</f>
        <v/>
      </c>
      <c r="H418" s="7" t="n">
        <v>2</v>
      </c>
      <c r="I418" s="7" t="inlineStr">
        <is>
          <t>Evet</t>
        </is>
      </c>
      <c r="J418" s="5" t="inlineStr">
        <is>
          <t>Drive foto (20.10.2026)</t>
        </is>
      </c>
      <c r="K418" s="5" t="n"/>
    </row>
    <row r="419">
      <c r="A419" s="5" t="inlineStr">
        <is>
          <t>Tare Houses Hotel</t>
        </is>
      </c>
      <c r="B419" s="5" t="inlineStr">
        <is>
          <t>X2</t>
        </is>
      </c>
      <c r="C419" s="7" t="n">
        <v>3</v>
      </c>
      <c r="D419">
        <f>IFERROR(INDEX('Kontrol Adımları'!$D:$D,MATCH(1,INDEX(('Kontrol Adımları'!$A$1:$A$400=B419)*('Kontrol Adımları'!$B$1:$B$400=C419),0),0)),"")</f>
        <v/>
      </c>
      <c r="E419" s="5" t="inlineStr">
        <is>
          <t>toilet_paper_spare</t>
        </is>
      </c>
      <c r="F419">
        <f>IFERROR(INDEX('Kalem Kataloğu'!$C$1:$C$1000,MATCH(1,INDEX(('Kalem Kataloğu'!$A$1:$A$1000=A419)*('Kalem Kataloğu'!$B$1:$B$1000=E419),0),0)),"?")</f>
        <v/>
      </c>
      <c r="G419">
        <f>IFERROR(INDEX('Kalem Kataloğu'!$D$1:$D$1000,MATCH(1,INDEX(('Kalem Kataloğu'!$A$1:$A$1000=A419)*('Kalem Kataloğu'!$B$1:$B$1000=E419),0),0)),"?")</f>
        <v/>
      </c>
      <c r="H419" s="7" t="n">
        <v>1</v>
      </c>
      <c r="I419" s="7" t="inlineStr">
        <is>
          <t>Evet</t>
        </is>
      </c>
      <c r="J419" s="5" t="inlineStr">
        <is>
          <t>Drive foto (20.10.2026)</t>
        </is>
      </c>
      <c r="K419" s="5" t="n"/>
    </row>
    <row r="420">
      <c r="A420" s="5" t="inlineStr">
        <is>
          <t>Tare Houses Hotel</t>
        </is>
      </c>
      <c r="B420" s="5" t="inlineStr">
        <is>
          <t>X2</t>
        </is>
      </c>
      <c r="C420" s="7" t="n">
        <v>3</v>
      </c>
      <c r="D420">
        <f>IFERROR(INDEX('Kontrol Adımları'!$D:$D,MATCH(1,INDEX(('Kontrol Adımları'!$A$1:$A$400=B420)*('Kontrol Adımları'!$B$1:$B$400=C420),0),0)),"")</f>
        <v/>
      </c>
      <c r="E420" s="5" t="inlineStr">
        <is>
          <t>hair_dryer</t>
        </is>
      </c>
      <c r="F420">
        <f>IFERROR(INDEX('Kalem Kataloğu'!$C$1:$C$1000,MATCH(1,INDEX(('Kalem Kataloğu'!$A$1:$A$1000=A420)*('Kalem Kataloğu'!$B$1:$B$1000=E420),0),0)),"?")</f>
        <v/>
      </c>
      <c r="G420">
        <f>IFERROR(INDEX('Kalem Kataloğu'!$D$1:$D$1000,MATCH(1,INDEX(('Kalem Kataloğu'!$A$1:$A$1000=A420)*('Kalem Kataloğu'!$B$1:$B$1000=E420),0),0)),"?")</f>
        <v/>
      </c>
      <c r="H420" s="7" t="n">
        <v>1</v>
      </c>
      <c r="I420" s="7" t="inlineStr">
        <is>
          <t>Evet</t>
        </is>
      </c>
      <c r="J420" s="5" t="inlineStr">
        <is>
          <t>Drive foto (20.10.2026)</t>
        </is>
      </c>
      <c r="K420" s="5" t="n"/>
    </row>
    <row r="421">
      <c r="A421" s="5" t="inlineStr">
        <is>
          <t>Tare Houses Hotel</t>
        </is>
      </c>
      <c r="B421" s="5" t="inlineStr">
        <is>
          <t>X2</t>
        </is>
      </c>
      <c r="C421" s="7" t="n">
        <v>3</v>
      </c>
      <c r="D421">
        <f>IFERROR(INDEX('Kontrol Adımları'!$D:$D,MATCH(1,INDEX(('Kontrol Adımları'!$A$1:$A$400=B421)*('Kontrol Adımları'!$B$1:$B$400=C421),0),0)),"")</f>
        <v/>
      </c>
      <c r="E421" s="5" t="inlineStr">
        <is>
          <t>vanity_unit</t>
        </is>
      </c>
      <c r="F421">
        <f>IFERROR(INDEX('Kalem Kataloğu'!$C$1:$C$1000,MATCH(1,INDEX(('Kalem Kataloğu'!$A$1:$A$1000=A421)*('Kalem Kataloğu'!$B$1:$B$1000=E421),0),0)),"?")</f>
        <v/>
      </c>
      <c r="G421">
        <f>IFERROR(INDEX('Kalem Kataloğu'!$D$1:$D$1000,MATCH(1,INDEX(('Kalem Kataloğu'!$A$1:$A$1000=A421)*('Kalem Kataloğu'!$B$1:$B$1000=E421),0),0)),"?")</f>
        <v/>
      </c>
      <c r="H421" s="7" t="n">
        <v>1</v>
      </c>
      <c r="I421" s="7" t="inlineStr">
        <is>
          <t>Evet</t>
        </is>
      </c>
      <c r="J421" s="5" t="inlineStr">
        <is>
          <t>Drive foto (20.10.2026)</t>
        </is>
      </c>
      <c r="K421" s="5" t="n"/>
    </row>
    <row r="422">
      <c r="A422" s="5" t="inlineStr">
        <is>
          <t>Tare Houses Hotel</t>
        </is>
      </c>
      <c r="B422" s="5" t="inlineStr">
        <is>
          <t>X2</t>
        </is>
      </c>
      <c r="C422" s="7" t="n">
        <v>4</v>
      </c>
      <c r="D422">
        <f>IFERROR(INDEX('Kontrol Adımları'!$D:$D,MATCH(1,INDEX(('Kontrol Adımları'!$A$1:$A$400=B422)*('Kontrol Adımları'!$B$1:$B$400=C422),0),0)),"")</f>
        <v/>
      </c>
      <c r="E422" s="5" t="inlineStr">
        <is>
          <t>wc</t>
        </is>
      </c>
      <c r="F422">
        <f>IFERROR(INDEX('Kalem Kataloğu'!$C$1:$C$1000,MATCH(1,INDEX(('Kalem Kataloğu'!$A$1:$A$1000=A422)*('Kalem Kataloğu'!$B$1:$B$1000=E422),0),0)),"?")</f>
        <v/>
      </c>
      <c r="G422">
        <f>IFERROR(INDEX('Kalem Kataloğu'!$D$1:$D$1000,MATCH(1,INDEX(('Kalem Kataloğu'!$A$1:$A$1000=A422)*('Kalem Kataloğu'!$B$1:$B$1000=E422),0),0)),"?")</f>
        <v/>
      </c>
      <c r="H422" s="7" t="n">
        <v>1</v>
      </c>
      <c r="I422" s="7" t="inlineStr">
        <is>
          <t>Evet</t>
        </is>
      </c>
      <c r="J422" s="5" t="inlineStr">
        <is>
          <t>Drive foto (20.10.2026)</t>
        </is>
      </c>
      <c r="K422" s="5" t="n"/>
    </row>
    <row r="423">
      <c r="A423" s="5" t="inlineStr">
        <is>
          <t>Tare Houses Hotel</t>
        </is>
      </c>
      <c r="B423" s="5" t="inlineStr">
        <is>
          <t>X2</t>
        </is>
      </c>
      <c r="C423" s="7" t="n">
        <v>4</v>
      </c>
      <c r="D423">
        <f>IFERROR(INDEX('Kontrol Adımları'!$D:$D,MATCH(1,INDEX(('Kontrol Adımları'!$A$1:$A$400=B423)*('Kontrol Adımları'!$B$1:$B$400=C423),0),0)),"")</f>
        <v/>
      </c>
      <c r="E423" s="5" t="inlineStr">
        <is>
          <t>flush_plate</t>
        </is>
      </c>
      <c r="F423">
        <f>IFERROR(INDEX('Kalem Kataloğu'!$C$1:$C$1000,MATCH(1,INDEX(('Kalem Kataloğu'!$A$1:$A$1000=A423)*('Kalem Kataloğu'!$B$1:$B$1000=E423),0),0)),"?")</f>
        <v/>
      </c>
      <c r="G423">
        <f>IFERROR(INDEX('Kalem Kataloğu'!$D$1:$D$1000,MATCH(1,INDEX(('Kalem Kataloğu'!$A$1:$A$1000=A423)*('Kalem Kataloğu'!$B$1:$B$1000=E423),0),0)),"?")</f>
        <v/>
      </c>
      <c r="H423" s="7" t="n">
        <v>1</v>
      </c>
      <c r="I423" s="7" t="inlineStr">
        <is>
          <t>Evet</t>
        </is>
      </c>
      <c r="J423" s="5" t="inlineStr">
        <is>
          <t>Drive foto (20.10.2026)</t>
        </is>
      </c>
      <c r="K423" s="5" t="n"/>
    </row>
    <row r="424">
      <c r="A424" s="5" t="inlineStr">
        <is>
          <t>Tare Houses Hotel</t>
        </is>
      </c>
      <c r="B424" s="5" t="inlineStr">
        <is>
          <t>X2</t>
        </is>
      </c>
      <c r="C424" s="7" t="n">
        <v>4</v>
      </c>
      <c r="D424">
        <f>IFERROR(INDEX('Kontrol Adımları'!$D:$D,MATCH(1,INDEX(('Kontrol Adımları'!$A$1:$A$400=B424)*('Kontrol Adımları'!$B$1:$B$400=C424),0),0)),"")</f>
        <v/>
      </c>
      <c r="E424" s="5" t="inlineStr">
        <is>
          <t>toilet_paper</t>
        </is>
      </c>
      <c r="F424">
        <f>IFERROR(INDEX('Kalem Kataloğu'!$C$1:$C$1000,MATCH(1,INDEX(('Kalem Kataloğu'!$A$1:$A$1000=A424)*('Kalem Kataloğu'!$B$1:$B$1000=E424),0),0)),"?")</f>
        <v/>
      </c>
      <c r="G424">
        <f>IFERROR(INDEX('Kalem Kataloğu'!$D$1:$D$1000,MATCH(1,INDEX(('Kalem Kataloğu'!$A$1:$A$1000=A424)*('Kalem Kataloğu'!$B$1:$B$1000=E424),0),0)),"?")</f>
        <v/>
      </c>
      <c r="H424" s="7" t="n">
        <v>1</v>
      </c>
      <c r="I424" s="7" t="inlineStr">
        <is>
          <t>Evet</t>
        </is>
      </c>
      <c r="J424" s="5" t="inlineStr">
        <is>
          <t>Drive foto (20.10.2026)</t>
        </is>
      </c>
      <c r="K424" s="5" t="n"/>
    </row>
    <row r="425">
      <c r="A425" s="5" t="inlineStr">
        <is>
          <t>Tare Houses Hotel</t>
        </is>
      </c>
      <c r="B425" s="5" t="inlineStr">
        <is>
          <t>X2</t>
        </is>
      </c>
      <c r="C425" s="7" t="n">
        <v>4</v>
      </c>
      <c r="D425">
        <f>IFERROR(INDEX('Kontrol Adımları'!$D:$D,MATCH(1,INDEX(('Kontrol Adımları'!$A$1:$A$400=B425)*('Kontrol Adımları'!$B$1:$B$400=C425),0),0)),"")</f>
        <v/>
      </c>
      <c r="E425" s="5" t="inlineStr">
        <is>
          <t>toilet_paper_holder</t>
        </is>
      </c>
      <c r="F425">
        <f>IFERROR(INDEX('Kalem Kataloğu'!$C$1:$C$1000,MATCH(1,INDEX(('Kalem Kataloğu'!$A$1:$A$1000=A425)*('Kalem Kataloğu'!$B$1:$B$1000=E425),0),0)),"?")</f>
        <v/>
      </c>
      <c r="G425">
        <f>IFERROR(INDEX('Kalem Kataloğu'!$D$1:$D$1000,MATCH(1,INDEX(('Kalem Kataloğu'!$A$1:$A$1000=A425)*('Kalem Kataloğu'!$B$1:$B$1000=E425),0),0)),"?")</f>
        <v/>
      </c>
      <c r="H425" s="7" t="n">
        <v>1</v>
      </c>
      <c r="I425" s="7" t="inlineStr">
        <is>
          <t>Evet</t>
        </is>
      </c>
      <c r="J425" s="5" t="inlineStr">
        <is>
          <t>Drive foto (20.10.2026)</t>
        </is>
      </c>
      <c r="K425" s="5" t="n"/>
    </row>
    <row r="426">
      <c r="A426" s="5" t="inlineStr">
        <is>
          <t>Tare Houses Hotel</t>
        </is>
      </c>
      <c r="B426" s="5" t="inlineStr">
        <is>
          <t>X2</t>
        </is>
      </c>
      <c r="C426" s="7" t="n">
        <v>4</v>
      </c>
      <c r="D426">
        <f>IFERROR(INDEX('Kontrol Adımları'!$D:$D,MATCH(1,INDEX(('Kontrol Adımları'!$A$1:$A$400=B426)*('Kontrol Adımları'!$B$1:$B$400=C426),0),0)),"")</f>
        <v/>
      </c>
      <c r="E426" s="5" t="inlineStr">
        <is>
          <t>toilet_brush</t>
        </is>
      </c>
      <c r="F426">
        <f>IFERROR(INDEX('Kalem Kataloğu'!$C$1:$C$1000,MATCH(1,INDEX(('Kalem Kataloğu'!$A$1:$A$1000=A426)*('Kalem Kataloğu'!$B$1:$B$1000=E426),0),0)),"?")</f>
        <v/>
      </c>
      <c r="G426">
        <f>IFERROR(INDEX('Kalem Kataloğu'!$D$1:$D$1000,MATCH(1,INDEX(('Kalem Kataloğu'!$A$1:$A$1000=A426)*('Kalem Kataloğu'!$B$1:$B$1000=E426),0),0)),"?")</f>
        <v/>
      </c>
      <c r="H426" s="7" t="n">
        <v>1</v>
      </c>
      <c r="I426" s="7" t="inlineStr">
        <is>
          <t>Evet</t>
        </is>
      </c>
      <c r="J426" s="5" t="inlineStr">
        <is>
          <t>Drive foto (20.10.2026)</t>
        </is>
      </c>
      <c r="K426" s="5" t="n"/>
    </row>
    <row r="427" ht="26.4" customHeight="1">
      <c r="A427" s="5" t="inlineStr">
        <is>
          <t>Tare Houses Hotel</t>
        </is>
      </c>
      <c r="B427" s="5" t="inlineStr">
        <is>
          <t>X2</t>
        </is>
      </c>
      <c r="C427" s="7" t="n">
        <v>4</v>
      </c>
      <c r="D427">
        <f>IFERROR(INDEX('Kontrol Adımları'!$D:$D,MATCH(1,INDEX(('Kontrol Adımları'!$A$1:$A$400=B427)*('Kontrol Adımları'!$B$1:$B$400=C427),0),0)),"")</f>
        <v/>
      </c>
      <c r="E427" s="5" t="inlineStr">
        <is>
          <t>bath_bin</t>
        </is>
      </c>
      <c r="F427">
        <f>IFERROR(INDEX('Kalem Kataloğu'!$C$1:$C$1000,MATCH(1,INDEX(('Kalem Kataloğu'!$A$1:$A$1000=A427)*('Kalem Kataloğu'!$B$1:$B$1000=E427),0),0)),"?")</f>
        <v/>
      </c>
      <c r="G427">
        <f>IFERROR(INDEX('Kalem Kataloğu'!$D$1:$D$1000,MATCH(1,INDEX(('Kalem Kataloğu'!$A$1:$A$1000=A427)*('Kalem Kataloğu'!$B$1:$B$1000=E427),0),0)),"?")</f>
        <v/>
      </c>
      <c r="H427" s="7" t="n">
        <v>1</v>
      </c>
      <c r="I427" s="7" t="inlineStr">
        <is>
          <t>Evet</t>
        </is>
      </c>
      <c r="J427" s="5" t="inlineStr">
        <is>
          <t>Drive foto (20.10.2026)</t>
        </is>
      </c>
      <c r="K427" s="5" t="n"/>
    </row>
    <row r="428">
      <c r="A428" s="5" t="inlineStr">
        <is>
          <t>Tare Houses Hotel</t>
        </is>
      </c>
      <c r="B428" s="5" t="inlineStr">
        <is>
          <t>X2</t>
        </is>
      </c>
      <c r="C428" s="7" t="n">
        <v>5</v>
      </c>
      <c r="D428">
        <f>IFERROR(INDEX('Kontrol Adımları'!$D:$D,MATCH(1,INDEX(('Kontrol Adımları'!$A$1:$A$400=B428)*('Kontrol Adımları'!$B$1:$B$400=C428),0),0)),"")</f>
        <v/>
      </c>
      <c r="E428" s="5" t="inlineStr">
        <is>
          <t>shower_set</t>
        </is>
      </c>
      <c r="F428">
        <f>IFERROR(INDEX('Kalem Kataloğu'!$C$1:$C$1000,MATCH(1,INDEX(('Kalem Kataloğu'!$A$1:$A$1000=A428)*('Kalem Kataloğu'!$B$1:$B$1000=E428),0),0)),"?")</f>
        <v/>
      </c>
      <c r="G428">
        <f>IFERROR(INDEX('Kalem Kataloğu'!$D$1:$D$1000,MATCH(1,INDEX(('Kalem Kataloğu'!$A$1:$A$1000=A428)*('Kalem Kataloğu'!$B$1:$B$1000=E428),0),0)),"?")</f>
        <v/>
      </c>
      <c r="H428" s="7" t="n">
        <v>1</v>
      </c>
      <c r="I428" s="7" t="inlineStr">
        <is>
          <t>Evet</t>
        </is>
      </c>
      <c r="J428" s="5" t="inlineStr">
        <is>
          <t>Drive foto (20.10.2026)</t>
        </is>
      </c>
      <c r="K428" s="5" t="n"/>
    </row>
    <row r="429">
      <c r="A429" s="5" t="inlineStr">
        <is>
          <t>Tare Houses Hotel</t>
        </is>
      </c>
      <c r="B429" s="5" t="inlineStr">
        <is>
          <t>X2</t>
        </is>
      </c>
      <c r="C429" s="7" t="n">
        <v>5</v>
      </c>
      <c r="D429">
        <f>IFERROR(INDEX('Kontrol Adımları'!$D:$D,MATCH(1,INDEX(('Kontrol Adımları'!$A$1:$A$400=B429)*('Kontrol Adımları'!$B$1:$B$400=C429),0),0)),"")</f>
        <v/>
      </c>
      <c r="E429" s="5" t="inlineStr">
        <is>
          <t>dispenser</t>
        </is>
      </c>
      <c r="F429">
        <f>IFERROR(INDEX('Kalem Kataloğu'!$C$1:$C$1000,MATCH(1,INDEX(('Kalem Kataloğu'!$A$1:$A$1000=A429)*('Kalem Kataloğu'!$B$1:$B$1000=E429),0),0)),"?")</f>
        <v/>
      </c>
      <c r="G429">
        <f>IFERROR(INDEX('Kalem Kataloğu'!$D$1:$D$1000,MATCH(1,INDEX(('Kalem Kataloğu'!$A$1:$A$1000=A429)*('Kalem Kataloğu'!$B$1:$B$1000=E429),0),0)),"?")</f>
        <v/>
      </c>
      <c r="H429" s="7" t="n">
        <v>3</v>
      </c>
      <c r="I429" s="7" t="inlineStr">
        <is>
          <t>Evet</t>
        </is>
      </c>
      <c r="J429" s="5" t="inlineStr">
        <is>
          <t>Drive foto (20.10.2026)</t>
        </is>
      </c>
      <c r="K429" s="5" t="n"/>
    </row>
    <row r="430">
      <c r="A430" s="5" t="inlineStr">
        <is>
          <t>Tare Houses Hotel</t>
        </is>
      </c>
      <c r="B430" s="5" t="inlineStr">
        <is>
          <t>X2</t>
        </is>
      </c>
      <c r="C430" s="7" t="n">
        <v>5</v>
      </c>
      <c r="D430">
        <f>IFERROR(INDEX('Kontrol Adımları'!$D:$D,MATCH(1,INDEX(('Kontrol Adımları'!$A$1:$A$400=B430)*('Kontrol Adımları'!$B$1:$B$400=C430),0),0)),"")</f>
        <v/>
      </c>
      <c r="E430" s="5" t="inlineStr">
        <is>
          <t>shower_basket</t>
        </is>
      </c>
      <c r="F430">
        <f>IFERROR(INDEX('Kalem Kataloğu'!$C$1:$C$1000,MATCH(1,INDEX(('Kalem Kataloğu'!$A$1:$A$1000=A430)*('Kalem Kataloğu'!$B$1:$B$1000=E430),0),0)),"?")</f>
        <v/>
      </c>
      <c r="G430">
        <f>IFERROR(INDEX('Kalem Kataloğu'!$D$1:$D$1000,MATCH(1,INDEX(('Kalem Kataloğu'!$A$1:$A$1000=A430)*('Kalem Kataloğu'!$B$1:$B$1000=E430),0),0)),"?")</f>
        <v/>
      </c>
      <c r="H430" s="7" t="n">
        <v>1</v>
      </c>
      <c r="I430" s="7" t="inlineStr">
        <is>
          <t>Evet</t>
        </is>
      </c>
      <c r="J430" s="5" t="inlineStr">
        <is>
          <t>Drive foto (20.10.2026)</t>
        </is>
      </c>
      <c r="K430" s="5" t="n"/>
    </row>
    <row r="431" ht="26.4" customHeight="1">
      <c r="A431" s="5" t="inlineStr">
        <is>
          <t>Tare Houses Hotel</t>
        </is>
      </c>
      <c r="B431" s="5" t="inlineStr">
        <is>
          <t>X2</t>
        </is>
      </c>
      <c r="C431" s="7" t="n">
        <v>6</v>
      </c>
      <c r="D431">
        <f>IFERROR(INDEX('Kontrol Adımları'!$D:$D,MATCH(1,INDEX(('Kontrol Adımları'!$A$1:$A$400=B431)*('Kontrol Adımları'!$B$1:$B$400=C431),0),0)),"")</f>
        <v/>
      </c>
      <c r="E431" s="5" t="inlineStr">
        <is>
          <t>bed</t>
        </is>
      </c>
      <c r="F431">
        <f>IFERROR(INDEX('Kalem Kataloğu'!$C$1:$C$1000,MATCH(1,INDEX(('Kalem Kataloğu'!$A$1:$A$1000=A431)*('Kalem Kataloğu'!$B$1:$B$1000=E431),0),0)),"?")</f>
        <v/>
      </c>
      <c r="G431">
        <f>IFERROR(INDEX('Kalem Kataloğu'!$D$1:$D$1000,MATCH(1,INDEX(('Kalem Kataloğu'!$A$1:$A$1000=A431)*('Kalem Kataloğu'!$B$1:$B$1000=E431),0),0)),"?")</f>
        <v/>
      </c>
      <c r="H431" s="7" t="n">
        <v>1</v>
      </c>
      <c r="I431" s="7" t="inlineStr">
        <is>
          <t>Evet</t>
        </is>
      </c>
      <c r="J431" s="5" t="inlineStr">
        <is>
          <t>Drive foto (20.10.2026)</t>
        </is>
      </c>
      <c r="K431" s="5" t="n"/>
    </row>
    <row r="432">
      <c r="A432" s="5" t="inlineStr">
        <is>
          <t>Tare Houses Hotel</t>
        </is>
      </c>
      <c r="B432" s="5" t="inlineStr">
        <is>
          <t>X2</t>
        </is>
      </c>
      <c r="C432" s="7" t="n">
        <v>6</v>
      </c>
      <c r="D432">
        <f>IFERROR(INDEX('Kontrol Adımları'!$D:$D,MATCH(1,INDEX(('Kontrol Adımları'!$A$1:$A$400=B432)*('Kontrol Adımları'!$B$1:$B$400=C432),0),0)),"")</f>
        <v/>
      </c>
      <c r="E432" s="5" t="inlineStr">
        <is>
          <t>pillow</t>
        </is>
      </c>
      <c r="F432">
        <f>IFERROR(INDEX('Kalem Kataloğu'!$C$1:$C$1000,MATCH(1,INDEX(('Kalem Kataloğu'!$A$1:$A$1000=A432)*('Kalem Kataloğu'!$B$1:$B$1000=E432),0),0)),"?")</f>
        <v/>
      </c>
      <c r="G432">
        <f>IFERROR(INDEX('Kalem Kataloğu'!$D$1:$D$1000,MATCH(1,INDEX(('Kalem Kataloğu'!$A$1:$A$1000=A432)*('Kalem Kataloğu'!$B$1:$B$1000=E432),0),0)),"?")</f>
        <v/>
      </c>
      <c r="H432" s="7" t="n">
        <v>4</v>
      </c>
      <c r="I432" s="7" t="inlineStr">
        <is>
          <t>Evet</t>
        </is>
      </c>
      <c r="J432" s="5" t="inlineStr">
        <is>
          <t>Drive foto (20.10.2026)</t>
        </is>
      </c>
      <c r="K432" s="5" t="n"/>
    </row>
    <row r="433">
      <c r="A433" s="5" t="inlineStr">
        <is>
          <t>Tare Houses Hotel</t>
        </is>
      </c>
      <c r="B433" s="5" t="inlineStr">
        <is>
          <t>X2</t>
        </is>
      </c>
      <c r="C433" s="7" t="n">
        <v>7</v>
      </c>
      <c r="D433">
        <f>IFERROR(INDEX('Kontrol Adımları'!$D:$D,MATCH(1,INDEX(('Kontrol Adımları'!$A$1:$A$400=B433)*('Kontrol Adımları'!$B$1:$B$400=C433),0),0)),"")</f>
        <v/>
      </c>
      <c r="E433" s="5" t="inlineStr">
        <is>
          <t>nightstand</t>
        </is>
      </c>
      <c r="F433">
        <f>IFERROR(INDEX('Kalem Kataloğu'!$C$1:$C$1000,MATCH(1,INDEX(('Kalem Kataloğu'!$A$1:$A$1000=A433)*('Kalem Kataloğu'!$B$1:$B$1000=E433),0),0)),"?")</f>
        <v/>
      </c>
      <c r="G433">
        <f>IFERROR(INDEX('Kalem Kataloğu'!$D$1:$D$1000,MATCH(1,INDEX(('Kalem Kataloğu'!$A$1:$A$1000=A433)*('Kalem Kataloğu'!$B$1:$B$1000=E433),0),0)),"?")</f>
        <v/>
      </c>
      <c r="H433" s="7" t="n">
        <v>2</v>
      </c>
      <c r="I433" s="7" t="inlineStr">
        <is>
          <t>Evet</t>
        </is>
      </c>
      <c r="J433" s="5" t="inlineStr">
        <is>
          <t>Drive foto (20.10.2026)</t>
        </is>
      </c>
      <c r="K433" s="5" t="n"/>
    </row>
    <row r="434" ht="26.4" customHeight="1">
      <c r="A434" s="5" t="inlineStr">
        <is>
          <t>Tare Houses Hotel</t>
        </is>
      </c>
      <c r="B434" s="5" t="inlineStr">
        <is>
          <t>X2</t>
        </is>
      </c>
      <c r="C434" s="7" t="n">
        <v>7</v>
      </c>
      <c r="D434">
        <f>IFERROR(INDEX('Kontrol Adımları'!$D:$D,MATCH(1,INDEX(('Kontrol Adımları'!$A$1:$A$400=B434)*('Kontrol Adımları'!$B$1:$B$400=C434),0),0)),"")</f>
        <v/>
      </c>
      <c r="E434" s="5" t="inlineStr">
        <is>
          <t>bedside_wall_lamp</t>
        </is>
      </c>
      <c r="F434">
        <f>IFERROR(INDEX('Kalem Kataloğu'!$C$1:$C$1000,MATCH(1,INDEX(('Kalem Kataloğu'!$A$1:$A$1000=A434)*('Kalem Kataloğu'!$B$1:$B$1000=E434),0),0)),"?")</f>
        <v/>
      </c>
      <c r="G434">
        <f>IFERROR(INDEX('Kalem Kataloğu'!$D$1:$D$1000,MATCH(1,INDEX(('Kalem Kataloğu'!$A$1:$A$1000=A434)*('Kalem Kataloğu'!$B$1:$B$1000=E434),0),0)),"?")</f>
        <v/>
      </c>
      <c r="H434" s="7" t="n">
        <v>2</v>
      </c>
      <c r="I434" s="7" t="inlineStr">
        <is>
          <t>Evet</t>
        </is>
      </c>
      <c r="J434" s="5" t="inlineStr">
        <is>
          <t>Drive foto (20.10.2026)</t>
        </is>
      </c>
      <c r="K434" s="5" t="n"/>
    </row>
    <row r="435">
      <c r="A435" s="5" t="inlineStr">
        <is>
          <t>Tare Houses Hotel</t>
        </is>
      </c>
      <c r="B435" s="5" t="inlineStr">
        <is>
          <t>X2</t>
        </is>
      </c>
      <c r="C435" s="7" t="n">
        <v>8</v>
      </c>
      <c r="D435">
        <f>IFERROR(INDEX('Kontrol Adımları'!$D:$D,MATCH(1,INDEX(('Kontrol Adımları'!$A$1:$A$400=B435)*('Kontrol Adımları'!$B$1:$B$400=C435),0),0)),"")</f>
        <v/>
      </c>
      <c r="E435" s="5" t="inlineStr">
        <is>
          <t>wardrobe</t>
        </is>
      </c>
      <c r="F435">
        <f>IFERROR(INDEX('Kalem Kataloğu'!$C$1:$C$1000,MATCH(1,INDEX(('Kalem Kataloğu'!$A$1:$A$1000=A435)*('Kalem Kataloğu'!$B$1:$B$1000=E435),0),0)),"?")</f>
        <v/>
      </c>
      <c r="G435">
        <f>IFERROR(INDEX('Kalem Kataloğu'!$D$1:$D$1000,MATCH(1,INDEX(('Kalem Kataloğu'!$A$1:$A$1000=A435)*('Kalem Kataloğu'!$B$1:$B$1000=E435),0),0)),"?")</f>
        <v/>
      </c>
      <c r="H435" s="7" t="n">
        <v>1</v>
      </c>
      <c r="I435" s="7" t="inlineStr">
        <is>
          <t>Evet</t>
        </is>
      </c>
      <c r="J435" s="5" t="inlineStr">
        <is>
          <t>Drive foto (20.10.2026)</t>
        </is>
      </c>
      <c r="K435" s="5" t="n"/>
    </row>
    <row r="436">
      <c r="A436" s="5" t="inlineStr">
        <is>
          <t>Tare Houses Hotel</t>
        </is>
      </c>
      <c r="B436" s="5" t="inlineStr">
        <is>
          <t>X2</t>
        </is>
      </c>
      <c r="C436" s="7" t="n">
        <v>8</v>
      </c>
      <c r="D436">
        <f>IFERROR(INDEX('Kontrol Adımları'!$D:$D,MATCH(1,INDEX(('Kontrol Adımları'!$A$1:$A$400=B436)*('Kontrol Adımları'!$B$1:$B$400=C436),0),0)),"")</f>
        <v/>
      </c>
      <c r="E436" s="5" t="inlineStr">
        <is>
          <t>hanger</t>
        </is>
      </c>
      <c r="F436">
        <f>IFERROR(INDEX('Kalem Kataloğu'!$C$1:$C$1000,MATCH(1,INDEX(('Kalem Kataloğu'!$A$1:$A$1000=A436)*('Kalem Kataloğu'!$B$1:$B$1000=E436),0),0)),"?")</f>
        <v/>
      </c>
      <c r="G436">
        <f>IFERROR(INDEX('Kalem Kataloğu'!$D$1:$D$1000,MATCH(1,INDEX(('Kalem Kataloğu'!$A$1:$A$1000=A436)*('Kalem Kataloğu'!$B$1:$B$1000=E436),0),0)),"?")</f>
        <v/>
      </c>
      <c r="H436" s="7" t="n">
        <v>5</v>
      </c>
      <c r="I436" s="7" t="inlineStr">
        <is>
          <t>Hayır</t>
        </is>
      </c>
      <c r="J436" s="5" t="inlineStr">
        <is>
          <t>Drive foto (20.10.2026)</t>
        </is>
      </c>
      <c r="K436" s="5" t="inlineStr">
        <is>
          <t>Askılar sola toplanmış; fotoğrafta 4-5 görünüyor</t>
        </is>
      </c>
    </row>
    <row r="437">
      <c r="A437" s="5" t="inlineStr">
        <is>
          <t>Tare Houses Hotel</t>
        </is>
      </c>
      <c r="B437" s="5" t="inlineStr">
        <is>
          <t>X2</t>
        </is>
      </c>
      <c r="C437" s="7" t="n">
        <v>8</v>
      </c>
      <c r="D437">
        <f>IFERROR(INDEX('Kontrol Adımları'!$D:$D,MATCH(1,INDEX(('Kontrol Adımları'!$A$1:$A$400=B437)*('Kontrol Adımları'!$B$1:$B$400=C437),0),0)),"")</f>
        <v/>
      </c>
      <c r="E437" s="5" t="inlineStr">
        <is>
          <t>spare_blanket</t>
        </is>
      </c>
      <c r="F437">
        <f>IFERROR(INDEX('Kalem Kataloğu'!$C$1:$C$1000,MATCH(1,INDEX(('Kalem Kataloğu'!$A$1:$A$1000=A437)*('Kalem Kataloğu'!$B$1:$B$1000=E437),0),0)),"?")</f>
        <v/>
      </c>
      <c r="G437">
        <f>IFERROR(INDEX('Kalem Kataloğu'!$D$1:$D$1000,MATCH(1,INDEX(('Kalem Kataloğu'!$A$1:$A$1000=A437)*('Kalem Kataloğu'!$B$1:$B$1000=E437),0),0)),"?")</f>
        <v/>
      </c>
      <c r="H437" s="7" t="n">
        <v>1</v>
      </c>
      <c r="I437" s="7" t="inlineStr">
        <is>
          <t>Evet</t>
        </is>
      </c>
      <c r="J437" s="5" t="inlineStr">
        <is>
          <t>Drive foto (20.10.2026)</t>
        </is>
      </c>
      <c r="K437" s="5" t="n"/>
    </row>
    <row r="438">
      <c r="A438" s="5" t="inlineStr">
        <is>
          <t>Tare Houses Hotel</t>
        </is>
      </c>
      <c r="B438" s="5" t="inlineStr">
        <is>
          <t>X2</t>
        </is>
      </c>
      <c r="C438" s="7" t="n">
        <v>9</v>
      </c>
      <c r="D438">
        <f>IFERROR(INDEX('Kontrol Adımları'!$D:$D,MATCH(1,INDEX(('Kontrol Adımları'!$A$1:$A$400=B438)*('Kontrol Adımları'!$B$1:$B$400=C438),0),0)),"")</f>
        <v/>
      </c>
      <c r="E438" s="5" t="inlineStr">
        <is>
          <t>amenity_tray</t>
        </is>
      </c>
      <c r="F438">
        <f>IFERROR(INDEX('Kalem Kataloğu'!$C$1:$C$1000,MATCH(1,INDEX(('Kalem Kataloğu'!$A$1:$A$1000=A438)*('Kalem Kataloğu'!$B$1:$B$1000=E438),0),0)),"?")</f>
        <v/>
      </c>
      <c r="G438">
        <f>IFERROR(INDEX('Kalem Kataloğu'!$D$1:$D$1000,MATCH(1,INDEX(('Kalem Kataloğu'!$A$1:$A$1000=A438)*('Kalem Kataloğu'!$B$1:$B$1000=E438),0),0)),"?")</f>
        <v/>
      </c>
      <c r="H438" s="7" t="n">
        <v>1</v>
      </c>
      <c r="I438" s="7" t="inlineStr">
        <is>
          <t>Evet</t>
        </is>
      </c>
      <c r="J438" s="5" t="inlineStr">
        <is>
          <t>Drive foto (20.10.2026)</t>
        </is>
      </c>
      <c r="K438" s="5" t="n"/>
    </row>
    <row r="439" ht="26.4" customHeight="1">
      <c r="A439" s="5" t="inlineStr">
        <is>
          <t>Tare Houses Hotel</t>
        </is>
      </c>
      <c r="B439" s="5" t="inlineStr">
        <is>
          <t>X2</t>
        </is>
      </c>
      <c r="C439" s="7" t="n">
        <v>9</v>
      </c>
      <c r="D439">
        <f>IFERROR(INDEX('Kontrol Adımları'!$D:$D,MATCH(1,INDEX(('Kontrol Adımları'!$A$1:$A$400=B439)*('Kontrol Adımları'!$B$1:$B$400=C439),0),0)),"")</f>
        <v/>
      </c>
      <c r="E439" s="5" t="inlineStr">
        <is>
          <t>remote</t>
        </is>
      </c>
      <c r="F439">
        <f>IFERROR(INDEX('Kalem Kataloğu'!$C$1:$C$1000,MATCH(1,INDEX(('Kalem Kataloğu'!$A$1:$A$1000=A439)*('Kalem Kataloğu'!$B$1:$B$1000=E439),0),0)),"?")</f>
        <v/>
      </c>
      <c r="G439">
        <f>IFERROR(INDEX('Kalem Kataloğu'!$D$1:$D$1000,MATCH(1,INDEX(('Kalem Kataloğu'!$A$1:$A$1000=A439)*('Kalem Kataloğu'!$B$1:$B$1000=E439),0),0)),"?")</f>
        <v/>
      </c>
      <c r="H439" s="7" t="n">
        <v>2</v>
      </c>
      <c r="I439" s="7" t="inlineStr">
        <is>
          <t>Evet</t>
        </is>
      </c>
      <c r="J439" s="5" t="inlineStr">
        <is>
          <t>Drive foto (20.10.2026)</t>
        </is>
      </c>
      <c r="K439" s="5" t="n"/>
    </row>
    <row r="440">
      <c r="A440" s="5" t="inlineStr">
        <is>
          <t>Tare Houses Hotel</t>
        </is>
      </c>
      <c r="B440" s="5" t="inlineStr">
        <is>
          <t>X2</t>
        </is>
      </c>
      <c r="C440" s="7" t="n">
        <v>10</v>
      </c>
      <c r="D440">
        <f>IFERROR(INDEX('Kontrol Adımları'!$D:$D,MATCH(1,INDEX(('Kontrol Adımları'!$A$1:$A$400=B440)*('Kontrol Adımları'!$B$1:$B$400=C440),0),0)),"")</f>
        <v/>
      </c>
      <c r="E440" s="5" t="inlineStr">
        <is>
          <t>sofa_gray</t>
        </is>
      </c>
      <c r="F440">
        <f>IFERROR(INDEX('Kalem Kataloğu'!$C$1:$C$1000,MATCH(1,INDEX(('Kalem Kataloğu'!$A$1:$A$1000=A440)*('Kalem Kataloğu'!$B$1:$B$1000=E440),0),0)),"?")</f>
        <v/>
      </c>
      <c r="G440">
        <f>IFERROR(INDEX('Kalem Kataloğu'!$D$1:$D$1000,MATCH(1,INDEX(('Kalem Kataloğu'!$A$1:$A$1000=A440)*('Kalem Kataloğu'!$B$1:$B$1000=E440),0),0)),"?")</f>
        <v/>
      </c>
      <c r="H440" s="7" t="n">
        <v>1</v>
      </c>
      <c r="I440" s="7" t="inlineStr">
        <is>
          <t>Evet</t>
        </is>
      </c>
      <c r="J440" s="5" t="inlineStr">
        <is>
          <t>Drive foto (20.10.2026)</t>
        </is>
      </c>
      <c r="K440" s="5" t="n"/>
    </row>
    <row r="441">
      <c r="A441" s="5" t="inlineStr">
        <is>
          <t>Tare Houses Hotel</t>
        </is>
      </c>
      <c r="B441" s="5" t="inlineStr">
        <is>
          <t>X2</t>
        </is>
      </c>
      <c r="C441" s="7" t="n">
        <v>10</v>
      </c>
      <c r="D441">
        <f>IFERROR(INDEX('Kontrol Adımları'!$D:$D,MATCH(1,INDEX(('Kontrol Adımları'!$A$1:$A$400=B441)*('Kontrol Adımları'!$B$1:$B$400=C441),0),0)),"")</f>
        <v/>
      </c>
      <c r="E441" s="5" t="inlineStr">
        <is>
          <t>coffee_table_glass</t>
        </is>
      </c>
      <c r="F441">
        <f>IFERROR(INDEX('Kalem Kataloğu'!$C$1:$C$1000,MATCH(1,INDEX(('Kalem Kataloğu'!$A$1:$A$1000=A441)*('Kalem Kataloğu'!$B$1:$B$1000=E441),0),0)),"?")</f>
        <v/>
      </c>
      <c r="G441">
        <f>IFERROR(INDEX('Kalem Kataloğu'!$D$1:$D$1000,MATCH(1,INDEX(('Kalem Kataloğu'!$A$1:$A$1000=A441)*('Kalem Kataloğu'!$B$1:$B$1000=E441),0),0)),"?")</f>
        <v/>
      </c>
      <c r="H441" s="7" t="n">
        <v>1</v>
      </c>
      <c r="I441" s="7" t="inlineStr">
        <is>
          <t>Evet</t>
        </is>
      </c>
      <c r="J441" s="5" t="inlineStr">
        <is>
          <t>Drive foto (20.10.2026)</t>
        </is>
      </c>
      <c r="K441" s="5" t="n"/>
    </row>
    <row r="442">
      <c r="A442" s="5" t="inlineStr">
        <is>
          <t>Tare Houses Hotel</t>
        </is>
      </c>
      <c r="B442" s="5" t="inlineStr">
        <is>
          <t>X2</t>
        </is>
      </c>
      <c r="C442" s="7" t="n">
        <v>10</v>
      </c>
      <c r="D442">
        <f>IFERROR(INDEX('Kontrol Adımları'!$D:$D,MATCH(1,INDEX(('Kontrol Adımları'!$A$1:$A$400=B442)*('Kontrol Adımları'!$B$1:$B$400=C442),0),0)),"")</f>
        <v/>
      </c>
      <c r="E442" s="5" t="inlineStr">
        <is>
          <t>rug_striped</t>
        </is>
      </c>
      <c r="F442">
        <f>IFERROR(INDEX('Kalem Kataloğu'!$C$1:$C$1000,MATCH(1,INDEX(('Kalem Kataloğu'!$A$1:$A$1000=A442)*('Kalem Kataloğu'!$B$1:$B$1000=E442),0),0)),"?")</f>
        <v/>
      </c>
      <c r="G442">
        <f>IFERROR(INDEX('Kalem Kataloğu'!$D$1:$D$1000,MATCH(1,INDEX(('Kalem Kataloğu'!$A$1:$A$1000=A442)*('Kalem Kataloğu'!$B$1:$B$1000=E442),0),0)),"?")</f>
        <v/>
      </c>
      <c r="H442" s="7" t="n">
        <v>1</v>
      </c>
      <c r="I442" s="7" t="inlineStr">
        <is>
          <t>Evet</t>
        </is>
      </c>
      <c r="J442" s="5" t="inlineStr">
        <is>
          <t>Drive foto (20.10.2026)</t>
        </is>
      </c>
      <c r="K442" s="5" t="n"/>
    </row>
    <row r="443">
      <c r="A443" s="5" t="inlineStr">
        <is>
          <t>Tare Houses Hotel</t>
        </is>
      </c>
      <c r="B443" s="5" t="inlineStr">
        <is>
          <t>X2</t>
        </is>
      </c>
      <c r="C443" s="7" t="n">
        <v>10</v>
      </c>
      <c r="D443">
        <f>IFERROR(INDEX('Kontrol Adımları'!$D:$D,MATCH(1,INDEX(('Kontrol Adımları'!$A$1:$A$400=B443)*('Kontrol Adımları'!$B$1:$B$400=C443),0),0)),"")</f>
        <v/>
      </c>
      <c r="E443" s="5" t="inlineStr">
        <is>
          <t>round_wall_lamp</t>
        </is>
      </c>
      <c r="F443">
        <f>IFERROR(INDEX('Kalem Kataloğu'!$C$1:$C$1000,MATCH(1,INDEX(('Kalem Kataloğu'!$A$1:$A$1000=A443)*('Kalem Kataloğu'!$B$1:$B$1000=E443),0),0)),"?")</f>
        <v/>
      </c>
      <c r="G443">
        <f>IFERROR(INDEX('Kalem Kataloğu'!$D$1:$D$1000,MATCH(1,INDEX(('Kalem Kataloğu'!$A$1:$A$1000=A443)*('Kalem Kataloğu'!$B$1:$B$1000=E443),0),0)),"?")</f>
        <v/>
      </c>
      <c r="H443" s="7" t="n">
        <v>4</v>
      </c>
      <c r="I443" s="7" t="inlineStr">
        <is>
          <t>Hayır</t>
        </is>
      </c>
      <c r="J443" s="5" t="inlineStr">
        <is>
          <t>Drive foto (20.10.2026)</t>
        </is>
      </c>
      <c r="K443" s="5" t="inlineStr">
        <is>
          <t>2 kuzey duvarı (kanepe), 2 doğu duvarı (yemek ve TV yanı); teyit et</t>
        </is>
      </c>
    </row>
    <row r="444">
      <c r="A444" s="5" t="inlineStr">
        <is>
          <t>Tare Houses Hotel</t>
        </is>
      </c>
      <c r="B444" s="5" t="inlineStr">
        <is>
          <t>X2</t>
        </is>
      </c>
      <c r="C444" s="7" t="n">
        <v>10</v>
      </c>
      <c r="D444">
        <f>IFERROR(INDEX('Kontrol Adımları'!$D:$D,MATCH(1,INDEX(('Kontrol Adımları'!$A$1:$A$400=B444)*('Kontrol Adımları'!$B$1:$B$400=C444),0),0)),"")</f>
        <v/>
      </c>
      <c r="E444" s="5" t="inlineStr">
        <is>
          <t>decor_branches</t>
        </is>
      </c>
      <c r="F444">
        <f>IFERROR(INDEX('Kalem Kataloğu'!$C$1:$C$1000,MATCH(1,INDEX(('Kalem Kataloğu'!$A$1:$A$1000=A444)*('Kalem Kataloğu'!$B$1:$B$1000=E444),0),0)),"?")</f>
        <v/>
      </c>
      <c r="G444">
        <f>IFERROR(INDEX('Kalem Kataloğu'!$D$1:$D$1000,MATCH(1,INDEX(('Kalem Kataloğu'!$A$1:$A$1000=A444)*('Kalem Kataloğu'!$B$1:$B$1000=E444),0),0)),"?")</f>
        <v/>
      </c>
      <c r="H444" s="7" t="n">
        <v>1</v>
      </c>
      <c r="I444" s="7" t="inlineStr">
        <is>
          <t>Evet</t>
        </is>
      </c>
      <c r="J444" s="5" t="inlineStr">
        <is>
          <t>Drive foto (20.10.2026)</t>
        </is>
      </c>
      <c r="K444" s="5" t="n"/>
    </row>
    <row r="445">
      <c r="A445" s="5" t="inlineStr">
        <is>
          <t>Tare Houses Hotel</t>
        </is>
      </c>
      <c r="B445" s="5" t="inlineStr">
        <is>
          <t>X2</t>
        </is>
      </c>
      <c r="C445" s="7" t="n">
        <v>10</v>
      </c>
      <c r="D445">
        <f>IFERROR(INDEX('Kontrol Adımları'!$D:$D,MATCH(1,INDEX(('Kontrol Adımları'!$A$1:$A$400=B445)*('Kontrol Adımları'!$B$1:$B$400=C445),0),0)),"")</f>
        <v/>
      </c>
      <c r="E445" s="5" t="inlineStr">
        <is>
          <t>wall_art</t>
        </is>
      </c>
      <c r="F445">
        <f>IFERROR(INDEX('Kalem Kataloğu'!$C$1:$C$1000,MATCH(1,INDEX(('Kalem Kataloğu'!$A$1:$A$1000=A445)*('Kalem Kataloğu'!$B$1:$B$1000=E445),0),0)),"?")</f>
        <v/>
      </c>
      <c r="G445">
        <f>IFERROR(INDEX('Kalem Kataloğu'!$D$1:$D$1000,MATCH(1,INDEX(('Kalem Kataloğu'!$A$1:$A$1000=A445)*('Kalem Kataloğu'!$B$1:$B$1000=E445),0),0)),"?")</f>
        <v/>
      </c>
      <c r="H445" s="7" t="n">
        <v>1</v>
      </c>
      <c r="I445" s="7" t="inlineStr">
        <is>
          <t>Evet</t>
        </is>
      </c>
      <c r="J445" s="5" t="inlineStr">
        <is>
          <t>Drive foto (20.10.2026)</t>
        </is>
      </c>
      <c r="K445" s="5" t="inlineStr">
        <is>
          <t>Yatak üstünde</t>
        </is>
      </c>
    </row>
    <row r="446">
      <c r="A446" s="5" t="inlineStr">
        <is>
          <t>Tare Houses Hotel</t>
        </is>
      </c>
      <c r="B446" s="5" t="inlineStr">
        <is>
          <t>X2</t>
        </is>
      </c>
      <c r="C446" s="7" t="n">
        <v>11</v>
      </c>
      <c r="D446">
        <f>IFERROR(INDEX('Kontrol Adımları'!$D:$D,MATCH(1,INDEX(('Kontrol Adımları'!$A$1:$A$400=B446)*('Kontrol Adımları'!$B$1:$B$400=C446),0),0)),"")</f>
        <v/>
      </c>
      <c r="E446" s="5" t="inlineStr">
        <is>
          <t>round_table</t>
        </is>
      </c>
      <c r="F446">
        <f>IFERROR(INDEX('Kalem Kataloğu'!$C$1:$C$1000,MATCH(1,INDEX(('Kalem Kataloğu'!$A$1:$A$1000=A446)*('Kalem Kataloğu'!$B$1:$B$1000=E446),0),0)),"?")</f>
        <v/>
      </c>
      <c r="G446">
        <f>IFERROR(INDEX('Kalem Kataloğu'!$D$1:$D$1000,MATCH(1,INDEX(('Kalem Kataloğu'!$A$1:$A$1000=A446)*('Kalem Kataloğu'!$B$1:$B$1000=E446),0),0)),"?")</f>
        <v/>
      </c>
      <c r="H446" s="7" t="n">
        <v>1</v>
      </c>
      <c r="I446" s="7" t="inlineStr">
        <is>
          <t>Evet</t>
        </is>
      </c>
      <c r="J446" s="5" t="inlineStr">
        <is>
          <t>Drive foto (20.10.2026)</t>
        </is>
      </c>
      <c r="K446" s="5" t="n"/>
    </row>
    <row r="447">
      <c r="A447" s="5" t="inlineStr">
        <is>
          <t>Tare Houses Hotel</t>
        </is>
      </c>
      <c r="B447" s="5" t="inlineStr">
        <is>
          <t>X2</t>
        </is>
      </c>
      <c r="C447" s="7" t="n">
        <v>11</v>
      </c>
      <c r="D447">
        <f>IFERROR(INDEX('Kontrol Adımları'!$D:$D,MATCH(1,INDEX(('Kontrol Adımları'!$A$1:$A$400=B447)*('Kontrol Adımları'!$B$1:$B$400=C447),0),0)),"")</f>
        <v/>
      </c>
      <c r="E447" s="5" t="inlineStr">
        <is>
          <t>armchair</t>
        </is>
      </c>
      <c r="F447">
        <f>IFERROR(INDEX('Kalem Kataloğu'!$C$1:$C$1000,MATCH(1,INDEX(('Kalem Kataloğu'!$A$1:$A$1000=A447)*('Kalem Kataloğu'!$B$1:$B$1000=E447),0),0)),"?")</f>
        <v/>
      </c>
      <c r="G447">
        <f>IFERROR(INDEX('Kalem Kataloğu'!$D$1:$D$1000,MATCH(1,INDEX(('Kalem Kataloğu'!$A$1:$A$1000=A447)*('Kalem Kataloğu'!$B$1:$B$1000=E447),0),0)),"?")</f>
        <v/>
      </c>
      <c r="H447" s="7" t="n">
        <v>2</v>
      </c>
      <c r="I447" s="7" t="inlineStr">
        <is>
          <t>Evet</t>
        </is>
      </c>
      <c r="J447" s="5" t="inlineStr">
        <is>
          <t>Drive foto (20.10.2026)</t>
        </is>
      </c>
      <c r="K447" s="5" t="n"/>
    </row>
    <row r="448" ht="26.4" customHeight="1">
      <c r="A448" s="5" t="inlineStr">
        <is>
          <t>Tare Houses Hotel</t>
        </is>
      </c>
      <c r="B448" s="5" t="inlineStr">
        <is>
          <t>X2</t>
        </is>
      </c>
      <c r="C448" s="7" t="n">
        <v>11</v>
      </c>
      <c r="D448">
        <f>IFERROR(INDEX('Kontrol Adımları'!$D:$D,MATCH(1,INDEX(('Kontrol Adımları'!$A$1:$A$400=B448)*('Kontrol Adımları'!$B$1:$B$400=C448),0),0)),"")</f>
        <v/>
      </c>
      <c r="E448" s="5" t="inlineStr">
        <is>
          <t>floor_lamp</t>
        </is>
      </c>
      <c r="F448">
        <f>IFERROR(INDEX('Kalem Kataloğu'!$C$1:$C$1000,MATCH(1,INDEX(('Kalem Kataloğu'!$A$1:$A$1000=A448)*('Kalem Kataloğu'!$B$1:$B$1000=E448),0),0)),"?")</f>
        <v/>
      </c>
      <c r="G448">
        <f>IFERROR(INDEX('Kalem Kataloğu'!$D$1:$D$1000,MATCH(1,INDEX(('Kalem Kataloğu'!$A$1:$A$1000=A448)*('Kalem Kataloğu'!$B$1:$B$1000=E448),0),0)),"?")</f>
        <v/>
      </c>
      <c r="H448" s="7" t="n">
        <v>1</v>
      </c>
      <c r="I448" s="7" t="inlineStr">
        <is>
          <t>Evet</t>
        </is>
      </c>
      <c r="J448" s="5" t="inlineStr">
        <is>
          <t>Drive foto (20.10.2026)</t>
        </is>
      </c>
      <c r="K448" s="5" t="n"/>
    </row>
    <row r="449">
      <c r="A449" s="5" t="inlineStr">
        <is>
          <t>Tare Houses Hotel</t>
        </is>
      </c>
      <c r="B449" s="5" t="inlineStr">
        <is>
          <t>X2</t>
        </is>
      </c>
      <c r="C449" s="7" t="n">
        <v>11</v>
      </c>
      <c r="D449">
        <f>IFERROR(INDEX('Kontrol Adımları'!$D:$D,MATCH(1,INDEX(('Kontrol Adımları'!$A$1:$A$400=B449)*('Kontrol Adımları'!$B$1:$B$400=C449),0),0)),"")</f>
        <v/>
      </c>
      <c r="E449" s="5" t="inlineStr">
        <is>
          <t>tv</t>
        </is>
      </c>
      <c r="F449">
        <f>IFERROR(INDEX('Kalem Kataloğu'!$C$1:$C$1000,MATCH(1,INDEX(('Kalem Kataloğu'!$A$1:$A$1000=A449)*('Kalem Kataloğu'!$B$1:$B$1000=E449),0),0)),"?")</f>
        <v/>
      </c>
      <c r="G449">
        <f>IFERROR(INDEX('Kalem Kataloğu'!$D$1:$D$1000,MATCH(1,INDEX(('Kalem Kataloğu'!$A$1:$A$1000=A449)*('Kalem Kataloğu'!$B$1:$B$1000=E449),0),0)),"?")</f>
        <v/>
      </c>
      <c r="H449" s="7" t="n">
        <v>1</v>
      </c>
      <c r="I449" s="7" t="inlineStr">
        <is>
          <t>Evet</t>
        </is>
      </c>
      <c r="J449" s="5" t="inlineStr">
        <is>
          <t>Drive foto (20.10.2026)</t>
        </is>
      </c>
      <c r="K449" s="5" t="n"/>
    </row>
    <row r="450">
      <c r="A450" s="5" t="inlineStr">
        <is>
          <t>Tare Houses Hotel</t>
        </is>
      </c>
      <c r="B450" s="5" t="inlineStr">
        <is>
          <t>X2</t>
        </is>
      </c>
      <c r="C450" s="7" t="n">
        <v>12</v>
      </c>
      <c r="D450">
        <f>IFERROR(INDEX('Kontrol Adımları'!$D:$D,MATCH(1,INDEX(('Kontrol Adımları'!$A$1:$A$400=B450)*('Kontrol Adımları'!$B$1:$B$400=C450),0),0)),"")</f>
        <v/>
      </c>
      <c r="E450" s="5" t="inlineStr">
        <is>
          <t>cooktop</t>
        </is>
      </c>
      <c r="F450">
        <f>IFERROR(INDEX('Kalem Kataloğu'!$C$1:$C$1000,MATCH(1,INDEX(('Kalem Kataloğu'!$A$1:$A$1000=A450)*('Kalem Kataloğu'!$B$1:$B$1000=E450),0),0)),"?")</f>
        <v/>
      </c>
      <c r="G450">
        <f>IFERROR(INDEX('Kalem Kataloğu'!$D$1:$D$1000,MATCH(1,INDEX(('Kalem Kataloğu'!$A$1:$A$1000=A450)*('Kalem Kataloğu'!$B$1:$B$1000=E450),0),0)),"?")</f>
        <v/>
      </c>
      <c r="H450" s="7" t="n">
        <v>1</v>
      </c>
      <c r="I450" s="7" t="inlineStr">
        <is>
          <t>Evet</t>
        </is>
      </c>
      <c r="J450" s="5" t="inlineStr">
        <is>
          <t>Drive foto (20.10.2026)</t>
        </is>
      </c>
      <c r="K450" s="5" t="n"/>
    </row>
    <row r="451">
      <c r="A451" s="5" t="inlineStr">
        <is>
          <t>Tare Houses Hotel</t>
        </is>
      </c>
      <c r="B451" s="5" t="inlineStr">
        <is>
          <t>X2</t>
        </is>
      </c>
      <c r="C451" s="7" t="n">
        <v>12</v>
      </c>
      <c r="D451">
        <f>IFERROR(INDEX('Kontrol Adımları'!$D:$D,MATCH(1,INDEX(('Kontrol Adımları'!$A$1:$A$400=B451)*('Kontrol Adımları'!$B$1:$B$400=C451),0),0)),"")</f>
        <v/>
      </c>
      <c r="E451" s="5" t="inlineStr">
        <is>
          <t>hanging_bin</t>
        </is>
      </c>
      <c r="F451">
        <f>IFERROR(INDEX('Kalem Kataloğu'!$C$1:$C$1000,MATCH(1,INDEX(('Kalem Kataloğu'!$A$1:$A$1000=A451)*('Kalem Kataloğu'!$B$1:$B$1000=E451),0),0)),"?")</f>
        <v/>
      </c>
      <c r="G451">
        <f>IFERROR(INDEX('Kalem Kataloğu'!$D$1:$D$1000,MATCH(1,INDEX(('Kalem Kataloğu'!$A$1:$A$1000=A451)*('Kalem Kataloğu'!$B$1:$B$1000=E451),0),0)),"?")</f>
        <v/>
      </c>
      <c r="H451" s="7" t="n">
        <v>1</v>
      </c>
      <c r="I451" s="7" t="inlineStr">
        <is>
          <t>Evet</t>
        </is>
      </c>
      <c r="J451" s="5" t="inlineStr">
        <is>
          <t>Drive foto (20.10.2026)</t>
        </is>
      </c>
      <c r="K451" s="5" t="n"/>
    </row>
    <row r="452">
      <c r="A452" s="5" t="inlineStr">
        <is>
          <t>Tare Houses Hotel</t>
        </is>
      </c>
      <c r="B452" s="5" t="inlineStr">
        <is>
          <t>X2</t>
        </is>
      </c>
      <c r="C452" s="7" t="n">
        <v>12</v>
      </c>
      <c r="D452">
        <f>IFERROR(INDEX('Kontrol Adımları'!$D:$D,MATCH(1,INDEX(('Kontrol Adımları'!$A$1:$A$400=B452)*('Kontrol Adımları'!$B$1:$B$400=C452),0),0)),"")</f>
        <v/>
      </c>
      <c r="E452" s="5" t="inlineStr">
        <is>
          <t>mini_fridge</t>
        </is>
      </c>
      <c r="F452">
        <f>IFERROR(INDEX('Kalem Kataloğu'!$C$1:$C$1000,MATCH(1,INDEX(('Kalem Kataloğu'!$A$1:$A$1000=A452)*('Kalem Kataloğu'!$B$1:$B$1000=E452),0),0)),"?")</f>
        <v/>
      </c>
      <c r="G452">
        <f>IFERROR(INDEX('Kalem Kataloğu'!$D$1:$D$1000,MATCH(1,INDEX(('Kalem Kataloğu'!$A$1:$A$1000=A452)*('Kalem Kataloğu'!$B$1:$B$1000=E452),0),0)),"?")</f>
        <v/>
      </c>
      <c r="H452" s="7" t="n">
        <v>1</v>
      </c>
      <c r="I452" s="7" t="inlineStr">
        <is>
          <t>Evet</t>
        </is>
      </c>
      <c r="J452" s="5" t="inlineStr">
        <is>
          <t>Drive foto (20.10.2026)</t>
        </is>
      </c>
      <c r="K452" s="5" t="n"/>
    </row>
    <row r="453">
      <c r="A453" s="5" t="inlineStr">
        <is>
          <t>Tare Houses Hotel</t>
        </is>
      </c>
      <c r="B453" s="5" t="inlineStr">
        <is>
          <t>X2</t>
        </is>
      </c>
      <c r="C453" s="7" t="n">
        <v>12</v>
      </c>
      <c r="D453">
        <f>IFERROR(INDEX('Kontrol Adımları'!$D:$D,MATCH(1,INDEX(('Kontrol Adımları'!$A$1:$A$400=B453)*('Kontrol Adımları'!$B$1:$B$400=C453),0),0)),"")</f>
        <v/>
      </c>
      <c r="E453" s="5" t="inlineStr">
        <is>
          <t>range_hood</t>
        </is>
      </c>
      <c r="F453">
        <f>IFERROR(INDEX('Kalem Kataloğu'!$C$1:$C$1000,MATCH(1,INDEX(('Kalem Kataloğu'!$A$1:$A$1000=A453)*('Kalem Kataloğu'!$B$1:$B$1000=E453),0),0)),"?")</f>
        <v/>
      </c>
      <c r="G453">
        <f>IFERROR(INDEX('Kalem Kataloğu'!$D$1:$D$1000,MATCH(1,INDEX(('Kalem Kataloğu'!$A$1:$A$1000=A453)*('Kalem Kataloğu'!$B$1:$B$1000=E453),0),0)),"?")</f>
        <v/>
      </c>
      <c r="H453" s="7" t="n">
        <v>1</v>
      </c>
      <c r="I453" s="7" t="inlineStr">
        <is>
          <t>Evet</t>
        </is>
      </c>
      <c r="J453" s="5" t="inlineStr">
        <is>
          <t>Drive foto (20.10.2026)</t>
        </is>
      </c>
      <c r="K453" s="5" t="n"/>
    </row>
    <row r="454">
      <c r="A454" s="5" t="inlineStr">
        <is>
          <t>Tare Houses Hotel</t>
        </is>
      </c>
      <c r="B454" s="5" t="inlineStr">
        <is>
          <t>X2</t>
        </is>
      </c>
      <c r="C454" s="7" t="n">
        <v>12</v>
      </c>
      <c r="D454">
        <f>IFERROR(INDEX('Kontrol Adımları'!$D:$D,MATCH(1,INDEX(('Kontrol Adımları'!$A$1:$A$400=B454)*('Kontrol Adımları'!$B$1:$B$400=C454),0),0)),"")</f>
        <v/>
      </c>
      <c r="E454" s="5" t="inlineStr">
        <is>
          <t>kettle</t>
        </is>
      </c>
      <c r="F454">
        <f>IFERROR(INDEX('Kalem Kataloğu'!$C$1:$C$1000,MATCH(1,INDEX(('Kalem Kataloğu'!$A$1:$A$1000=A454)*('Kalem Kataloğu'!$B$1:$B$1000=E454),0),0)),"?")</f>
        <v/>
      </c>
      <c r="G454">
        <f>IFERROR(INDEX('Kalem Kataloğu'!$D$1:$D$1000,MATCH(1,INDEX(('Kalem Kataloğu'!$A$1:$A$1000=A454)*('Kalem Kataloğu'!$B$1:$B$1000=E454),0),0)),"?")</f>
        <v/>
      </c>
      <c r="H454" s="7" t="n">
        <v>1</v>
      </c>
      <c r="I454" s="7" t="inlineStr">
        <is>
          <t>Evet</t>
        </is>
      </c>
      <c r="J454" s="5" t="inlineStr">
        <is>
          <t>Drive foto (20.10.2026)</t>
        </is>
      </c>
      <c r="K454" s="5" t="n"/>
    </row>
    <row r="455">
      <c r="A455" s="5" t="inlineStr">
        <is>
          <t>Tare Houses Hotel</t>
        </is>
      </c>
      <c r="B455" s="5" t="inlineStr">
        <is>
          <t>X2</t>
        </is>
      </c>
      <c r="C455" s="7" t="n">
        <v>18</v>
      </c>
      <c r="D455">
        <f>IFERROR(INDEX('Kontrol Adımları'!$D:$D,MATCH(1,INDEX(('Kontrol Adımları'!$A$1:$A$400=B455)*('Kontrol Adımları'!$B$1:$B$400=C455),0),0)),"")</f>
        <v/>
      </c>
      <c r="E455" s="5" t="inlineStr">
        <is>
          <t>paper_towel</t>
        </is>
      </c>
      <c r="F455">
        <f>IFERROR(INDEX('Kalem Kataloğu'!$C$1:$C$1000,MATCH(1,INDEX(('Kalem Kataloğu'!$A$1:$A$1000=A455)*('Kalem Kataloğu'!$B$1:$B$1000=E455),0),0)),"?")</f>
        <v/>
      </c>
      <c r="G455">
        <f>IFERROR(INDEX('Kalem Kataloğu'!$D$1:$D$1000,MATCH(1,INDEX(('Kalem Kataloğu'!$A$1:$A$1000=A455)*('Kalem Kataloğu'!$B$1:$B$1000=E455),0),0)),"?")</f>
        <v/>
      </c>
      <c r="H455" s="7" t="n">
        <v>1</v>
      </c>
      <c r="I455" s="7" t="inlineStr">
        <is>
          <t>Evet</t>
        </is>
      </c>
      <c r="J455" s="5" t="inlineStr">
        <is>
          <t>Drive foto (20.10.2026)</t>
        </is>
      </c>
      <c r="K455" s="5" t="n"/>
    </row>
    <row r="456">
      <c r="A456" s="5" t="inlineStr">
        <is>
          <t>Tare Houses Hotel</t>
        </is>
      </c>
      <c r="B456" s="5" t="inlineStr">
        <is>
          <t>X2</t>
        </is>
      </c>
      <c r="C456" s="7" t="n">
        <v>20</v>
      </c>
      <c r="D456">
        <f>IFERROR(INDEX('Kontrol Adımları'!$D:$D,MATCH(1,INDEX(('Kontrol Adımları'!$A$1:$A$400=B456)*('Kontrol Adımları'!$B$1:$B$400=C456),0),0)),"")</f>
        <v/>
      </c>
      <c r="E456" s="5" t="inlineStr">
        <is>
          <t>air_conditioner</t>
        </is>
      </c>
      <c r="F456">
        <f>IFERROR(INDEX('Kalem Kataloğu'!$C$1:$C$1000,MATCH(1,INDEX(('Kalem Kataloğu'!$A$1:$A$1000=A456)*('Kalem Kataloğu'!$B$1:$B$1000=E456),0),0)),"?")</f>
        <v/>
      </c>
      <c r="G456">
        <f>IFERROR(INDEX('Kalem Kataloğu'!$D$1:$D$1000,MATCH(1,INDEX(('Kalem Kataloğu'!$A$1:$A$1000=A456)*('Kalem Kataloğu'!$B$1:$B$1000=E456),0),0)),"?")</f>
        <v/>
      </c>
      <c r="H456" s="7" t="n">
        <v>1</v>
      </c>
      <c r="I456" s="7" t="inlineStr">
        <is>
          <t>Hayır</t>
        </is>
      </c>
      <c r="J456" s="5" t="inlineStr">
        <is>
          <t>Drive foto (20.10.2026)</t>
        </is>
      </c>
      <c r="K456" s="5" t="inlineStr">
        <is>
          <t>Fotoğraflarda görünmüyor</t>
        </is>
      </c>
    </row>
    <row r="457">
      <c r="A457" s="5" t="inlineStr">
        <is>
          <t>Tare Houses Hotel</t>
        </is>
      </c>
      <c r="B457" s="5" t="inlineStr">
        <is>
          <t>X2</t>
        </is>
      </c>
      <c r="C457" s="7" t="n">
        <v>20</v>
      </c>
      <c r="D457">
        <f>IFERROR(INDEX('Kontrol Adımları'!$D:$D,MATCH(1,INDEX(('Kontrol Adımları'!$A$1:$A$400=B457)*('Kontrol Adımları'!$B$1:$B$400=C457),0),0)),"")</f>
        <v/>
      </c>
      <c r="E457" s="5" t="inlineStr">
        <is>
          <t>room_bin</t>
        </is>
      </c>
      <c r="F457">
        <f>IFERROR(INDEX('Kalem Kataloğu'!$C$1:$C$1000,MATCH(1,INDEX(('Kalem Kataloğu'!$A$1:$A$1000=A457)*('Kalem Kataloğu'!$B$1:$B$1000=E457),0),0)),"?")</f>
        <v/>
      </c>
      <c r="G457">
        <f>IFERROR(INDEX('Kalem Kataloğu'!$D$1:$D$1000,MATCH(1,INDEX(('Kalem Kataloğu'!$A$1:$A$1000=A457)*('Kalem Kataloğu'!$B$1:$B$1000=E457),0),0)),"?")</f>
        <v/>
      </c>
      <c r="H457" s="7" t="n">
        <v>1</v>
      </c>
      <c r="I457" s="7" t="inlineStr">
        <is>
          <t>Hayır</t>
        </is>
      </c>
      <c r="J457" s="5" t="inlineStr">
        <is>
          <t>Drive foto (20.10.2026)</t>
        </is>
      </c>
      <c r="K457" s="5" t="inlineStr">
        <is>
          <t>Kanepe yanında siyah kova görünüyor</t>
        </is>
      </c>
    </row>
    <row r="458">
      <c r="A458" s="5" t="inlineStr">
        <is>
          <t>Tare Houses Hotel</t>
        </is>
      </c>
      <c r="B458" s="5" t="inlineStr">
        <is>
          <t>X2</t>
        </is>
      </c>
      <c r="C458" s="7" t="n">
        <v>20</v>
      </c>
      <c r="D458">
        <f>IFERROR(INDEX('Kontrol Adımları'!$D:$D,MATCH(1,INDEX(('Kontrol Adımları'!$A$1:$A$400=B458)*('Kontrol Adımları'!$B$1:$B$400=C458),0),0)),"")</f>
        <v/>
      </c>
      <c r="E458" s="5" t="inlineStr">
        <is>
          <t>smoke_detector</t>
        </is>
      </c>
      <c r="F458">
        <f>IFERROR(INDEX('Kalem Kataloğu'!$C$1:$C$1000,MATCH(1,INDEX(('Kalem Kataloğu'!$A$1:$A$1000=A458)*('Kalem Kataloğu'!$B$1:$B$1000=E458),0),0)),"?")</f>
        <v/>
      </c>
      <c r="G458">
        <f>IFERROR(INDEX('Kalem Kataloğu'!$D$1:$D$1000,MATCH(1,INDEX(('Kalem Kataloğu'!$A$1:$A$1000=A458)*('Kalem Kataloğu'!$B$1:$B$1000=E458),0),0)),"?")</f>
        <v/>
      </c>
      <c r="H458" s="7" t="n">
        <v>1</v>
      </c>
      <c r="I458" s="7" t="inlineStr">
        <is>
          <t>Evet</t>
        </is>
      </c>
      <c r="J458" s="5" t="inlineStr">
        <is>
          <t>Drive foto (20.10.2026)</t>
        </is>
      </c>
      <c r="K458" s="5" t="n"/>
    </row>
    <row r="459">
      <c r="A459" s="5" t="inlineStr">
        <is>
          <t>Tare Houses Hotel</t>
        </is>
      </c>
      <c r="B459" s="5" t="inlineStr">
        <is>
          <t>X3</t>
        </is>
      </c>
      <c r="C459" s="7" t="n">
        <v>1</v>
      </c>
      <c r="D459">
        <f>IFERROR(INDEX('Kontrol Adımları'!$D:$D,MATCH(1,INDEX(('Kontrol Adımları'!$A$1:$A$400=B459)*('Kontrol Adımları'!$B$1:$B$400=C459),0),0)),"")</f>
        <v/>
      </c>
      <c r="E459" s="5" t="inlineStr">
        <is>
          <t>ceiling_light</t>
        </is>
      </c>
      <c r="F459">
        <f>IFERROR(INDEX('Kalem Kataloğu'!$C$1:$C$1000,MATCH(1,INDEX(('Kalem Kataloğu'!$A$1:$A$1000=A459)*('Kalem Kataloğu'!$B$1:$B$1000=E459),0),0)),"?")</f>
        <v/>
      </c>
      <c r="G459">
        <f>IFERROR(INDEX('Kalem Kataloğu'!$D$1:$D$1000,MATCH(1,INDEX(('Kalem Kataloğu'!$A$1:$A$1000=A459)*('Kalem Kataloğu'!$B$1:$B$1000=E459),0),0)),"?")</f>
        <v/>
      </c>
      <c r="H459" s="7" t="n">
        <v>1</v>
      </c>
      <c r="I459" s="7" t="inlineStr">
        <is>
          <t>Evet</t>
        </is>
      </c>
      <c r="J459" s="5" t="inlineStr">
        <is>
          <t>Drive foto (20.10.2026)</t>
        </is>
      </c>
      <c r="K459" s="5" t="n"/>
    </row>
    <row r="460">
      <c r="A460" s="5" t="inlineStr">
        <is>
          <t>Tare Houses Hotel</t>
        </is>
      </c>
      <c r="B460" s="5" t="inlineStr">
        <is>
          <t>X3</t>
        </is>
      </c>
      <c r="C460" s="7" t="n">
        <v>1</v>
      </c>
      <c r="D460">
        <f>IFERROR(INDEX('Kontrol Adımları'!$D:$D,MATCH(1,INDEX(('Kontrol Adımları'!$A$1:$A$400=B460)*('Kontrol Adımları'!$B$1:$B$400=C460),0),0)),"")</f>
        <v/>
      </c>
      <c r="E460" s="5" t="inlineStr">
        <is>
          <t>round_wall_lamp</t>
        </is>
      </c>
      <c r="F460">
        <f>IFERROR(INDEX('Kalem Kataloğu'!$C$1:$C$1000,MATCH(1,INDEX(('Kalem Kataloğu'!$A$1:$A$1000=A460)*('Kalem Kataloğu'!$B$1:$B$1000=E460),0),0)),"?")</f>
        <v/>
      </c>
      <c r="G460">
        <f>IFERROR(INDEX('Kalem Kataloğu'!$D$1:$D$1000,MATCH(1,INDEX(('Kalem Kataloğu'!$A$1:$A$1000=A460)*('Kalem Kataloğu'!$B$1:$B$1000=E460),0),0)),"?")</f>
        <v/>
      </c>
      <c r="H460" s="7" t="n">
        <v>3</v>
      </c>
      <c r="I460" s="7" t="inlineStr">
        <is>
          <t>Evet</t>
        </is>
      </c>
      <c r="J460" s="5" t="inlineStr">
        <is>
          <t>Drive foto (20.10.2026)</t>
        </is>
      </c>
      <c r="K460" s="5" t="inlineStr">
        <is>
          <t>Koridor 1, oda arka duvar 1, pencere yanı 1</t>
        </is>
      </c>
    </row>
    <row r="461">
      <c r="A461" s="5" t="inlineStr">
        <is>
          <t>Tare Houses Hotel</t>
        </is>
      </c>
      <c r="B461" s="5" t="inlineStr">
        <is>
          <t>X3</t>
        </is>
      </c>
      <c r="C461" s="7" t="n">
        <v>2</v>
      </c>
      <c r="D461">
        <f>IFERROR(INDEX('Kontrol Adımları'!$D:$D,MATCH(1,INDEX(('Kontrol Adımları'!$A$1:$A$400=B461)*('Kontrol Adımları'!$B$1:$B$400=C461),0),0)),"")</f>
        <v/>
      </c>
      <c r="E461" s="5" t="inlineStr">
        <is>
          <t>liquid_soap</t>
        </is>
      </c>
      <c r="F461">
        <f>IFERROR(INDEX('Kalem Kataloğu'!$C$1:$C$1000,MATCH(1,INDEX(('Kalem Kataloğu'!$A$1:$A$1000=A461)*('Kalem Kataloğu'!$B$1:$B$1000=E461),0),0)),"?")</f>
        <v/>
      </c>
      <c r="G461">
        <f>IFERROR(INDEX('Kalem Kataloğu'!$D$1:$D$1000,MATCH(1,INDEX(('Kalem Kataloğu'!$A$1:$A$1000=A461)*('Kalem Kataloğu'!$B$1:$B$1000=E461),0),0)),"?")</f>
        <v/>
      </c>
      <c r="H461" s="7" t="n">
        <v>1</v>
      </c>
      <c r="I461" s="7" t="inlineStr">
        <is>
          <t>Evet</t>
        </is>
      </c>
      <c r="J461" s="5" t="inlineStr">
        <is>
          <t>Drive foto (20.10.2026)</t>
        </is>
      </c>
      <c r="K461" s="5" t="n"/>
    </row>
    <row r="462">
      <c r="A462" s="5" t="inlineStr">
        <is>
          <t>Tare Houses Hotel</t>
        </is>
      </c>
      <c r="B462" s="5" t="inlineStr">
        <is>
          <t>X3</t>
        </is>
      </c>
      <c r="C462" s="7" t="n">
        <v>2</v>
      </c>
      <c r="D462">
        <f>IFERROR(INDEX('Kontrol Adımları'!$D:$D,MATCH(1,INDEX(('Kontrol Adımları'!$A$1:$A$400=B462)*('Kontrol Adımları'!$B$1:$B$400=C462),0),0)),"")</f>
        <v/>
      </c>
      <c r="E462" s="5" t="inlineStr">
        <is>
          <t>hand_towel</t>
        </is>
      </c>
      <c r="F462">
        <f>IFERROR(INDEX('Kalem Kataloğu'!$C$1:$C$1000,MATCH(1,INDEX(('Kalem Kataloğu'!$A$1:$A$1000=A462)*('Kalem Kataloğu'!$B$1:$B$1000=E462),0),0)),"?")</f>
        <v/>
      </c>
      <c r="G462">
        <f>IFERROR(INDEX('Kalem Kataloğu'!$D$1:$D$1000,MATCH(1,INDEX(('Kalem Kataloğu'!$A$1:$A$1000=A462)*('Kalem Kataloğu'!$B$1:$B$1000=E462),0),0)),"?")</f>
        <v/>
      </c>
      <c r="H462" s="7" t="n">
        <v>1</v>
      </c>
      <c r="I462" s="7" t="inlineStr">
        <is>
          <t>Evet</t>
        </is>
      </c>
      <c r="J462" s="5" t="inlineStr">
        <is>
          <t>Drive foto (20.10.2026)</t>
        </is>
      </c>
      <c r="K462" s="5" t="n"/>
    </row>
    <row r="463">
      <c r="A463" s="5" t="inlineStr">
        <is>
          <t>Tare Houses Hotel</t>
        </is>
      </c>
      <c r="B463" s="5" t="inlineStr">
        <is>
          <t>X3</t>
        </is>
      </c>
      <c r="C463" s="7" t="n">
        <v>2</v>
      </c>
      <c r="D463">
        <f>IFERROR(INDEX('Kontrol Adımları'!$D:$D,MATCH(1,INDEX(('Kontrol Adımları'!$A$1:$A$400=B463)*('Kontrol Adımları'!$B$1:$B$400=C463),0),0)),"")</f>
        <v/>
      </c>
      <c r="E463" s="5" t="inlineStr">
        <is>
          <t>bath_towel</t>
        </is>
      </c>
      <c r="F463">
        <f>IFERROR(INDEX('Kalem Kataloğu'!$C$1:$C$1000,MATCH(1,INDEX(('Kalem Kataloğu'!$A$1:$A$1000=A463)*('Kalem Kataloğu'!$B$1:$B$1000=E463),0),0)),"?")</f>
        <v/>
      </c>
      <c r="G463">
        <f>IFERROR(INDEX('Kalem Kataloğu'!$D$1:$D$1000,MATCH(1,INDEX(('Kalem Kataloğu'!$A$1:$A$1000=A463)*('Kalem Kataloğu'!$B$1:$B$1000=E463),0),0)),"?")</f>
        <v/>
      </c>
      <c r="H463" s="7" t="n">
        <v>2</v>
      </c>
      <c r="I463" s="7" t="inlineStr">
        <is>
          <t>Hayır</t>
        </is>
      </c>
      <c r="J463" s="5" t="inlineStr">
        <is>
          <t>Drive foto (20.10.2026)</t>
        </is>
      </c>
      <c r="K463" s="5" t="n"/>
    </row>
    <row r="464">
      <c r="A464" s="5" t="inlineStr">
        <is>
          <t>Tare Houses Hotel</t>
        </is>
      </c>
      <c r="B464" s="5" t="inlineStr">
        <is>
          <t>X3</t>
        </is>
      </c>
      <c r="C464" s="7" t="n">
        <v>2</v>
      </c>
      <c r="D464">
        <f>IFERROR(INDEX('Kontrol Adımları'!$D:$D,MATCH(1,INDEX(('Kontrol Adımları'!$A$1:$A$400=B464)*('Kontrol Adımları'!$B$1:$B$400=C464),0),0)),"")</f>
        <v/>
      </c>
      <c r="E464" s="5" t="inlineStr">
        <is>
          <t>led_mirror</t>
        </is>
      </c>
      <c r="F464">
        <f>IFERROR(INDEX('Kalem Kataloğu'!$C$1:$C$1000,MATCH(1,INDEX(('Kalem Kataloğu'!$A$1:$A$1000=A464)*('Kalem Kataloğu'!$B$1:$B$1000=E464),0),0)),"?")</f>
        <v/>
      </c>
      <c r="G464">
        <f>IFERROR(INDEX('Kalem Kataloğu'!$D$1:$D$1000,MATCH(1,INDEX(('Kalem Kataloğu'!$A$1:$A$1000=A464)*('Kalem Kataloğu'!$B$1:$B$1000=E464),0),0)),"?")</f>
        <v/>
      </c>
      <c r="H464" s="7" t="n">
        <v>1</v>
      </c>
      <c r="I464" s="7" t="inlineStr">
        <is>
          <t>Evet</t>
        </is>
      </c>
      <c r="J464" s="5" t="inlineStr">
        <is>
          <t>Drive foto (20.10.2026)</t>
        </is>
      </c>
      <c r="K464" s="5" t="n"/>
    </row>
    <row r="465">
      <c r="A465" s="5" t="inlineStr">
        <is>
          <t>Tare Houses Hotel</t>
        </is>
      </c>
      <c r="B465" s="5" t="inlineStr">
        <is>
          <t>X3</t>
        </is>
      </c>
      <c r="C465" s="7" t="n">
        <v>2</v>
      </c>
      <c r="D465">
        <f>IFERROR(INDEX('Kontrol Adımları'!$D:$D,MATCH(1,INDEX(('Kontrol Adımları'!$A$1:$A$400=B465)*('Kontrol Adımları'!$B$1:$B$400=C465),0),0)),"")</f>
        <v/>
      </c>
      <c r="E465" s="5" t="inlineStr">
        <is>
          <t>vanity_unit</t>
        </is>
      </c>
      <c r="F465">
        <f>IFERROR(INDEX('Kalem Kataloğu'!$C$1:$C$1000,MATCH(1,INDEX(('Kalem Kataloğu'!$A$1:$A$1000=A465)*('Kalem Kataloğu'!$B$1:$B$1000=E465),0),0)),"?")</f>
        <v/>
      </c>
      <c r="G465">
        <f>IFERROR(INDEX('Kalem Kataloğu'!$D$1:$D$1000,MATCH(1,INDEX(('Kalem Kataloğu'!$A$1:$A$1000=A465)*('Kalem Kataloğu'!$B$1:$B$1000=E465),0),0)),"?")</f>
        <v/>
      </c>
      <c r="H465" s="7" t="n">
        <v>1</v>
      </c>
      <c r="I465" s="7" t="inlineStr">
        <is>
          <t>Evet</t>
        </is>
      </c>
      <c r="J465" s="5" t="inlineStr">
        <is>
          <t>Drive foto (20.10.2026)</t>
        </is>
      </c>
      <c r="K465" s="5" t="n"/>
    </row>
    <row r="466">
      <c r="A466" s="5" t="inlineStr">
        <is>
          <t>Tare Houses Hotel</t>
        </is>
      </c>
      <c r="B466" s="5" t="inlineStr">
        <is>
          <t>X3</t>
        </is>
      </c>
      <c r="C466" s="7" t="n">
        <v>2</v>
      </c>
      <c r="D466">
        <f>IFERROR(INDEX('Kontrol Adımları'!$D:$D,MATCH(1,INDEX(('Kontrol Adımları'!$A$1:$A$400=B466)*('Kontrol Adımları'!$B$1:$B$400=C466),0),0)),"")</f>
        <v/>
      </c>
      <c r="E466" s="5" t="inlineStr">
        <is>
          <t>vessel_sink</t>
        </is>
      </c>
      <c r="F466">
        <f>IFERROR(INDEX('Kalem Kataloğu'!$C$1:$C$1000,MATCH(1,INDEX(('Kalem Kataloğu'!$A$1:$A$1000=A466)*('Kalem Kataloğu'!$B$1:$B$1000=E466),0),0)),"?")</f>
        <v/>
      </c>
      <c r="G466">
        <f>IFERROR(INDEX('Kalem Kataloğu'!$D$1:$D$1000,MATCH(1,INDEX(('Kalem Kataloğu'!$A$1:$A$1000=A466)*('Kalem Kataloğu'!$B$1:$B$1000=E466),0),0)),"?")</f>
        <v/>
      </c>
      <c r="H466" s="7" t="n">
        <v>1</v>
      </c>
      <c r="I466" s="7" t="inlineStr">
        <is>
          <t>Evet</t>
        </is>
      </c>
      <c r="J466" s="5" t="inlineStr">
        <is>
          <t>Drive foto (20.10.2026)</t>
        </is>
      </c>
      <c r="K466" s="5" t="n"/>
    </row>
    <row r="467">
      <c r="A467" s="5" t="inlineStr">
        <is>
          <t>Tare Houses Hotel</t>
        </is>
      </c>
      <c r="B467" s="5" t="inlineStr">
        <is>
          <t>X3</t>
        </is>
      </c>
      <c r="C467" s="7" t="n">
        <v>2</v>
      </c>
      <c r="D467">
        <f>IFERROR(INDEX('Kontrol Adımları'!$D:$D,MATCH(1,INDEX(('Kontrol Adımları'!$A$1:$A$400=B467)*('Kontrol Adımları'!$B$1:$B$400=C467),0),0)),"")</f>
        <v/>
      </c>
      <c r="E467" s="5" t="inlineStr">
        <is>
          <t>basin_faucet</t>
        </is>
      </c>
      <c r="F467">
        <f>IFERROR(INDEX('Kalem Kataloğu'!$C$1:$C$1000,MATCH(1,INDEX(('Kalem Kataloğu'!$A$1:$A$1000=A467)*('Kalem Kataloğu'!$B$1:$B$1000=E467),0),0)),"?")</f>
        <v/>
      </c>
      <c r="G467">
        <f>IFERROR(INDEX('Kalem Kataloğu'!$D$1:$D$1000,MATCH(1,INDEX(('Kalem Kataloğu'!$A$1:$A$1000=A467)*('Kalem Kataloğu'!$B$1:$B$1000=E467),0),0)),"?")</f>
        <v/>
      </c>
      <c r="H467" s="7" t="n">
        <v>1</v>
      </c>
      <c r="I467" s="7" t="inlineStr">
        <is>
          <t>Evet</t>
        </is>
      </c>
      <c r="J467" s="5" t="inlineStr">
        <is>
          <t>Drive foto (20.10.2026)</t>
        </is>
      </c>
      <c r="K467" s="5" t="n"/>
    </row>
    <row r="468" ht="26.4" customHeight="1">
      <c r="A468" s="5" t="inlineStr">
        <is>
          <t>Tare Houses Hotel</t>
        </is>
      </c>
      <c r="B468" s="5" t="inlineStr">
        <is>
          <t>X3</t>
        </is>
      </c>
      <c r="C468" s="7" t="n">
        <v>2</v>
      </c>
      <c r="D468">
        <f>IFERROR(INDEX('Kontrol Adımları'!$D:$D,MATCH(1,INDEX(('Kontrol Adımları'!$A$1:$A$400=B468)*('Kontrol Adımları'!$B$1:$B$400=C468),0),0)),"")</f>
        <v/>
      </c>
      <c r="E468" s="5" t="inlineStr">
        <is>
          <t>towel_ring</t>
        </is>
      </c>
      <c r="F468">
        <f>IFERROR(INDEX('Kalem Kataloğu'!$C$1:$C$1000,MATCH(1,INDEX(('Kalem Kataloğu'!$A$1:$A$1000=A468)*('Kalem Kataloğu'!$B$1:$B$1000=E468),0),0)),"?")</f>
        <v/>
      </c>
      <c r="G468">
        <f>IFERROR(INDEX('Kalem Kataloğu'!$D$1:$D$1000,MATCH(1,INDEX(('Kalem Kataloğu'!$A$1:$A$1000=A468)*('Kalem Kataloğu'!$B$1:$B$1000=E468),0),0)),"?")</f>
        <v/>
      </c>
      <c r="H468" s="7" t="n">
        <v>1</v>
      </c>
      <c r="I468" s="7" t="inlineStr">
        <is>
          <t>Evet</t>
        </is>
      </c>
      <c r="J468" s="5" t="inlineStr">
        <is>
          <t>Drive foto (20.10.2026)</t>
        </is>
      </c>
      <c r="K468" s="5" t="n"/>
    </row>
    <row r="469">
      <c r="A469" s="5" t="inlineStr">
        <is>
          <t>Tare Houses Hotel</t>
        </is>
      </c>
      <c r="B469" s="5" t="inlineStr">
        <is>
          <t>X3</t>
        </is>
      </c>
      <c r="C469" s="7" t="n">
        <v>3</v>
      </c>
      <c r="D469">
        <f>IFERROR(INDEX('Kontrol Adımları'!$D:$D,MATCH(1,INDEX(('Kontrol Adımları'!$A$1:$A$400=B469)*('Kontrol Adımları'!$B$1:$B$400=C469),0),0)),"")</f>
        <v/>
      </c>
      <c r="E469" s="5" t="inlineStr">
        <is>
          <t>toilet_paper</t>
        </is>
      </c>
      <c r="F469">
        <f>IFERROR(INDEX('Kalem Kataloğu'!$C$1:$C$1000,MATCH(1,INDEX(('Kalem Kataloğu'!$A$1:$A$1000=A469)*('Kalem Kataloğu'!$B$1:$B$1000=E469),0),0)),"?")</f>
        <v/>
      </c>
      <c r="G469">
        <f>IFERROR(INDEX('Kalem Kataloğu'!$D$1:$D$1000,MATCH(1,INDEX(('Kalem Kataloğu'!$A$1:$A$1000=A469)*('Kalem Kataloğu'!$B$1:$B$1000=E469),0),0)),"?")</f>
        <v/>
      </c>
      <c r="H469" s="7" t="n">
        <v>1</v>
      </c>
      <c r="I469" s="7" t="inlineStr">
        <is>
          <t>Evet</t>
        </is>
      </c>
      <c r="J469" s="5" t="inlineStr">
        <is>
          <t>Drive foto (20.10.2026)</t>
        </is>
      </c>
      <c r="K469" s="5" t="n"/>
    </row>
    <row r="470">
      <c r="A470" s="5" t="inlineStr">
        <is>
          <t>Tare Houses Hotel</t>
        </is>
      </c>
      <c r="B470" s="5" t="inlineStr">
        <is>
          <t>X3</t>
        </is>
      </c>
      <c r="C470" s="7" t="n">
        <v>3</v>
      </c>
      <c r="D470">
        <f>IFERROR(INDEX('Kontrol Adımları'!$D:$D,MATCH(1,INDEX(('Kontrol Adımları'!$A$1:$A$400=B470)*('Kontrol Adımları'!$B$1:$B$400=C470),0),0)),"")</f>
        <v/>
      </c>
      <c r="E470" s="5" t="inlineStr">
        <is>
          <t>toilet_paper_spare</t>
        </is>
      </c>
      <c r="F470">
        <f>IFERROR(INDEX('Kalem Kataloğu'!$C$1:$C$1000,MATCH(1,INDEX(('Kalem Kataloğu'!$A$1:$A$1000=A470)*('Kalem Kataloğu'!$B$1:$B$1000=E470),0),0)),"?")</f>
        <v/>
      </c>
      <c r="G470">
        <f>IFERROR(INDEX('Kalem Kataloğu'!$D$1:$D$1000,MATCH(1,INDEX(('Kalem Kataloğu'!$A$1:$A$1000=A470)*('Kalem Kataloğu'!$B$1:$B$1000=E470),0),0)),"?")</f>
        <v/>
      </c>
      <c r="H470" s="7" t="n">
        <v>1</v>
      </c>
      <c r="I470" s="7" t="inlineStr">
        <is>
          <t>Hayır</t>
        </is>
      </c>
      <c r="J470" s="5" t="inlineStr">
        <is>
          <t>Drive foto (20.10.2026)</t>
        </is>
      </c>
      <c r="K470" s="5" t="n"/>
    </row>
    <row r="471" ht="26.4" customHeight="1">
      <c r="A471" s="5" t="inlineStr">
        <is>
          <t>Tare Houses Hotel</t>
        </is>
      </c>
      <c r="B471" s="5" t="inlineStr">
        <is>
          <t>X3</t>
        </is>
      </c>
      <c r="C471" s="7" t="n">
        <v>3</v>
      </c>
      <c r="D471">
        <f>IFERROR(INDEX('Kontrol Adımları'!$D:$D,MATCH(1,INDEX(('Kontrol Adımları'!$A$1:$A$400=B471)*('Kontrol Adımları'!$B$1:$B$400=C471),0),0)),"")</f>
        <v/>
      </c>
      <c r="E471" s="5" t="inlineStr">
        <is>
          <t>toilet_brush</t>
        </is>
      </c>
      <c r="F471">
        <f>IFERROR(INDEX('Kalem Kataloğu'!$C$1:$C$1000,MATCH(1,INDEX(('Kalem Kataloğu'!$A$1:$A$1000=A471)*('Kalem Kataloğu'!$B$1:$B$1000=E471),0),0)),"?")</f>
        <v/>
      </c>
      <c r="G471">
        <f>IFERROR(INDEX('Kalem Kataloğu'!$D$1:$D$1000,MATCH(1,INDEX(('Kalem Kataloğu'!$A$1:$A$1000=A471)*('Kalem Kataloğu'!$B$1:$B$1000=E471),0),0)),"?")</f>
        <v/>
      </c>
      <c r="H471" s="7" t="n">
        <v>1</v>
      </c>
      <c r="I471" s="7" t="inlineStr">
        <is>
          <t>Evet</t>
        </is>
      </c>
      <c r="J471" s="5" t="inlineStr">
        <is>
          <t>Drive foto (20.10.2026)</t>
        </is>
      </c>
      <c r="K471" s="5" t="n"/>
    </row>
    <row r="472" ht="26.4" customHeight="1">
      <c r="A472" s="5" t="inlineStr">
        <is>
          <t>Tare Houses Hotel</t>
        </is>
      </c>
      <c r="B472" s="5" t="inlineStr">
        <is>
          <t>X3</t>
        </is>
      </c>
      <c r="C472" s="7" t="n">
        <v>3</v>
      </c>
      <c r="D472">
        <f>IFERROR(INDEX('Kontrol Adımları'!$D:$D,MATCH(1,INDEX(('Kontrol Adımları'!$A$1:$A$400=B472)*('Kontrol Adımları'!$B$1:$B$400=C472),0),0)),"")</f>
        <v/>
      </c>
      <c r="E472" s="5" t="inlineStr">
        <is>
          <t>bath_bin</t>
        </is>
      </c>
      <c r="F472">
        <f>IFERROR(INDEX('Kalem Kataloğu'!$C$1:$C$1000,MATCH(1,INDEX(('Kalem Kataloğu'!$A$1:$A$1000=A472)*('Kalem Kataloğu'!$B$1:$B$1000=E472),0),0)),"?")</f>
        <v/>
      </c>
      <c r="G472">
        <f>IFERROR(INDEX('Kalem Kataloğu'!$D$1:$D$1000,MATCH(1,INDEX(('Kalem Kataloğu'!$A$1:$A$1000=A472)*('Kalem Kataloğu'!$B$1:$B$1000=E472),0),0)),"?")</f>
        <v/>
      </c>
      <c r="H472" s="7" t="n">
        <v>1</v>
      </c>
      <c r="I472" s="7" t="inlineStr">
        <is>
          <t>Evet</t>
        </is>
      </c>
      <c r="J472" s="5" t="inlineStr">
        <is>
          <t>Drive foto (20.10.2026)</t>
        </is>
      </c>
      <c r="K472" s="5" t="n"/>
    </row>
    <row r="473">
      <c r="A473" s="5" t="inlineStr">
        <is>
          <t>Tare Houses Hotel</t>
        </is>
      </c>
      <c r="B473" s="5" t="inlineStr">
        <is>
          <t>X3</t>
        </is>
      </c>
      <c r="C473" s="7" t="n">
        <v>3</v>
      </c>
      <c r="D473">
        <f>IFERROR(INDEX('Kontrol Adımları'!$D:$D,MATCH(1,INDEX(('Kontrol Adımları'!$A$1:$A$400=B473)*('Kontrol Adımları'!$B$1:$B$400=C473),0),0)),"")</f>
        <v/>
      </c>
      <c r="E473" s="5" t="inlineStr">
        <is>
          <t>wc</t>
        </is>
      </c>
      <c r="F473">
        <f>IFERROR(INDEX('Kalem Kataloğu'!$C$1:$C$1000,MATCH(1,INDEX(('Kalem Kataloğu'!$A$1:$A$1000=A473)*('Kalem Kataloğu'!$B$1:$B$1000=E473),0),0)),"?")</f>
        <v/>
      </c>
      <c r="G473">
        <f>IFERROR(INDEX('Kalem Kataloğu'!$D$1:$D$1000,MATCH(1,INDEX(('Kalem Kataloğu'!$A$1:$A$1000=A473)*('Kalem Kataloğu'!$B$1:$B$1000=E473),0),0)),"?")</f>
        <v/>
      </c>
      <c r="H473" s="7" t="n">
        <v>1</v>
      </c>
      <c r="I473" s="7" t="inlineStr">
        <is>
          <t>Evet</t>
        </is>
      </c>
      <c r="J473" s="5" t="inlineStr">
        <is>
          <t>Drive foto (20.10.2026)</t>
        </is>
      </c>
      <c r="K473" s="5" t="n"/>
    </row>
    <row r="474">
      <c r="A474" s="5" t="inlineStr">
        <is>
          <t>Tare Houses Hotel</t>
        </is>
      </c>
      <c r="B474" s="5" t="inlineStr">
        <is>
          <t>X3</t>
        </is>
      </c>
      <c r="C474" s="7" t="n">
        <v>3</v>
      </c>
      <c r="D474">
        <f>IFERROR(INDEX('Kontrol Adımları'!$D:$D,MATCH(1,INDEX(('Kontrol Adımları'!$A$1:$A$400=B474)*('Kontrol Adımları'!$B$1:$B$400=C474),0),0)),"")</f>
        <v/>
      </c>
      <c r="E474" s="5" t="inlineStr">
        <is>
          <t>flush_plate</t>
        </is>
      </c>
      <c r="F474">
        <f>IFERROR(INDEX('Kalem Kataloğu'!$C$1:$C$1000,MATCH(1,INDEX(('Kalem Kataloğu'!$A$1:$A$1000=A474)*('Kalem Kataloğu'!$B$1:$B$1000=E474),0),0)),"?")</f>
        <v/>
      </c>
      <c r="G474">
        <f>IFERROR(INDEX('Kalem Kataloğu'!$D$1:$D$1000,MATCH(1,INDEX(('Kalem Kataloğu'!$A$1:$A$1000=A474)*('Kalem Kataloğu'!$B$1:$B$1000=E474),0),0)),"?")</f>
        <v/>
      </c>
      <c r="H474" s="7" t="n">
        <v>1</v>
      </c>
      <c r="I474" s="7" t="inlineStr">
        <is>
          <t>Evet</t>
        </is>
      </c>
      <c r="J474" s="5" t="inlineStr">
        <is>
          <t>Drive foto (20.10.2026)</t>
        </is>
      </c>
      <c r="K474" s="5" t="n"/>
    </row>
    <row r="475">
      <c r="A475" s="5" t="inlineStr">
        <is>
          <t>Tare Houses Hotel</t>
        </is>
      </c>
      <c r="B475" s="5" t="inlineStr">
        <is>
          <t>X3</t>
        </is>
      </c>
      <c r="C475" s="7" t="n">
        <v>3</v>
      </c>
      <c r="D475">
        <f>IFERROR(INDEX('Kontrol Adımları'!$D:$D,MATCH(1,INDEX(('Kontrol Adımları'!$A$1:$A$400=B475)*('Kontrol Adımları'!$B$1:$B$400=C475),0),0)),"")</f>
        <v/>
      </c>
      <c r="E475" s="5" t="inlineStr">
        <is>
          <t>toilet_paper_holder</t>
        </is>
      </c>
      <c r="F475">
        <f>IFERROR(INDEX('Kalem Kataloğu'!$C$1:$C$1000,MATCH(1,INDEX(('Kalem Kataloğu'!$A$1:$A$1000=A475)*('Kalem Kataloğu'!$B$1:$B$1000=E475),0),0)),"?")</f>
        <v/>
      </c>
      <c r="G475">
        <f>IFERROR(INDEX('Kalem Kataloğu'!$D$1:$D$1000,MATCH(1,INDEX(('Kalem Kataloğu'!$A$1:$A$1000=A475)*('Kalem Kataloğu'!$B$1:$B$1000=E475),0),0)),"?")</f>
        <v/>
      </c>
      <c r="H475" s="7" t="n">
        <v>1</v>
      </c>
      <c r="I475" s="7" t="inlineStr">
        <is>
          <t>Evet</t>
        </is>
      </c>
      <c r="J475" s="5" t="inlineStr">
        <is>
          <t>Drive foto (20.10.2026)</t>
        </is>
      </c>
      <c r="K475" s="5" t="n"/>
    </row>
    <row r="476" ht="26.4" customHeight="1">
      <c r="A476" s="5" t="inlineStr">
        <is>
          <t>Tare Houses Hotel</t>
        </is>
      </c>
      <c r="B476" s="5" t="inlineStr">
        <is>
          <t>X3</t>
        </is>
      </c>
      <c r="C476" s="7" t="n">
        <v>4</v>
      </c>
      <c r="D476">
        <f>IFERROR(INDEX('Kontrol Adımları'!$D:$D,MATCH(1,INDEX(('Kontrol Adımları'!$A$1:$A$400=B476)*('Kontrol Adımları'!$B$1:$B$400=C476),0),0)),"")</f>
        <v/>
      </c>
      <c r="E476" s="5" t="inlineStr">
        <is>
          <t>dispenser</t>
        </is>
      </c>
      <c r="F476">
        <f>IFERROR(INDEX('Kalem Kataloğu'!$C$1:$C$1000,MATCH(1,INDEX(('Kalem Kataloğu'!$A$1:$A$1000=A476)*('Kalem Kataloğu'!$B$1:$B$1000=E476),0),0)),"?")</f>
        <v/>
      </c>
      <c r="G476">
        <f>IFERROR(INDEX('Kalem Kataloğu'!$D$1:$D$1000,MATCH(1,INDEX(('Kalem Kataloğu'!$A$1:$A$1000=A476)*('Kalem Kataloğu'!$B$1:$B$1000=E476),0),0)),"?")</f>
        <v/>
      </c>
      <c r="H476" s="7" t="n">
        <v>3</v>
      </c>
      <c r="I476" s="7" t="inlineStr">
        <is>
          <t>Evet</t>
        </is>
      </c>
      <c r="J476" s="5" t="inlineStr">
        <is>
          <t>Drive foto (20.10.2026)</t>
        </is>
      </c>
      <c r="K476" s="5" t="n"/>
    </row>
    <row r="477">
      <c r="A477" s="5" t="inlineStr">
        <is>
          <t>Tare Houses Hotel</t>
        </is>
      </c>
      <c r="B477" s="5" t="inlineStr">
        <is>
          <t>X3</t>
        </is>
      </c>
      <c r="C477" s="7" t="n">
        <v>4</v>
      </c>
      <c r="D477">
        <f>IFERROR(INDEX('Kontrol Adımları'!$D:$D,MATCH(1,INDEX(('Kontrol Adımları'!$A$1:$A$400=B477)*('Kontrol Adımları'!$B$1:$B$400=C477),0),0)),"")</f>
        <v/>
      </c>
      <c r="E477" s="5" t="inlineStr">
        <is>
          <t>shower_basket</t>
        </is>
      </c>
      <c r="F477">
        <f>IFERROR(INDEX('Kalem Kataloğu'!$C$1:$C$1000,MATCH(1,INDEX(('Kalem Kataloğu'!$A$1:$A$1000=A477)*('Kalem Kataloğu'!$B$1:$B$1000=E477),0),0)),"?")</f>
        <v/>
      </c>
      <c r="G477">
        <f>IFERROR(INDEX('Kalem Kataloğu'!$D$1:$D$1000,MATCH(1,INDEX(('Kalem Kataloğu'!$A$1:$A$1000=A477)*('Kalem Kataloğu'!$B$1:$B$1000=E477),0),0)),"?")</f>
        <v/>
      </c>
      <c r="H477" s="7" t="n">
        <v>1</v>
      </c>
      <c r="I477" s="7" t="inlineStr">
        <is>
          <t>Evet</t>
        </is>
      </c>
      <c r="J477" s="5" t="inlineStr">
        <is>
          <t>Drive foto (20.10.2026)</t>
        </is>
      </c>
      <c r="K477" s="5" t="n"/>
    </row>
    <row r="478">
      <c r="A478" s="5" t="inlineStr">
        <is>
          <t>Tare Houses Hotel</t>
        </is>
      </c>
      <c r="B478" s="5" t="inlineStr">
        <is>
          <t>X3</t>
        </is>
      </c>
      <c r="C478" s="7" t="n">
        <v>4</v>
      </c>
      <c r="D478">
        <f>IFERROR(INDEX('Kontrol Adımları'!$D:$D,MATCH(1,INDEX(('Kontrol Adımları'!$A$1:$A$400=B478)*('Kontrol Adımları'!$B$1:$B$400=C478),0),0)),"")</f>
        <v/>
      </c>
      <c r="E478" s="5" t="inlineStr">
        <is>
          <t>shower_set</t>
        </is>
      </c>
      <c r="F478">
        <f>IFERROR(INDEX('Kalem Kataloğu'!$C$1:$C$1000,MATCH(1,INDEX(('Kalem Kataloğu'!$A$1:$A$1000=A478)*('Kalem Kataloğu'!$B$1:$B$1000=E478),0),0)),"?")</f>
        <v/>
      </c>
      <c r="G478">
        <f>IFERROR(INDEX('Kalem Kataloğu'!$D$1:$D$1000,MATCH(1,INDEX(('Kalem Kataloğu'!$A$1:$A$1000=A478)*('Kalem Kataloğu'!$B$1:$B$1000=E478),0),0)),"?")</f>
        <v/>
      </c>
      <c r="H478" s="7" t="n">
        <v>1</v>
      </c>
      <c r="I478" s="7" t="inlineStr">
        <is>
          <t>Evet</t>
        </is>
      </c>
      <c r="J478" s="5" t="inlineStr">
        <is>
          <t>Drive foto (20.10.2026)</t>
        </is>
      </c>
      <c r="K478" s="5" t="n"/>
    </row>
    <row r="479">
      <c r="A479" s="5" t="inlineStr">
        <is>
          <t>Tare Houses Hotel</t>
        </is>
      </c>
      <c r="B479" s="5" t="inlineStr">
        <is>
          <t>X3</t>
        </is>
      </c>
      <c r="C479" s="7" t="n">
        <v>5</v>
      </c>
      <c r="D479">
        <f>IFERROR(INDEX('Kontrol Adımları'!$D:$D,MATCH(1,INDEX(('Kontrol Adımları'!$A$1:$A$400=B479)*('Kontrol Adımları'!$B$1:$B$400=C479),0),0)),"")</f>
        <v/>
      </c>
      <c r="E479" s="5" t="inlineStr">
        <is>
          <t>wardrobe</t>
        </is>
      </c>
      <c r="F479">
        <f>IFERROR(INDEX('Kalem Kataloğu'!$C$1:$C$1000,MATCH(1,INDEX(('Kalem Kataloğu'!$A$1:$A$1000=A479)*('Kalem Kataloğu'!$B$1:$B$1000=E479),0),0)),"?")</f>
        <v/>
      </c>
      <c r="G479">
        <f>IFERROR(INDEX('Kalem Kataloğu'!$D$1:$D$1000,MATCH(1,INDEX(('Kalem Kataloğu'!$A$1:$A$1000=A479)*('Kalem Kataloğu'!$B$1:$B$1000=E479),0),0)),"?")</f>
        <v/>
      </c>
      <c r="H479" s="7" t="n">
        <v>1</v>
      </c>
      <c r="I479" s="7" t="inlineStr">
        <is>
          <t>Evet</t>
        </is>
      </c>
      <c r="J479" s="5" t="inlineStr">
        <is>
          <t>Drive foto (20.10.2026)</t>
        </is>
      </c>
      <c r="K479" s="5" t="n"/>
    </row>
    <row r="480">
      <c r="A480" s="5" t="inlineStr">
        <is>
          <t>Tare Houses Hotel</t>
        </is>
      </c>
      <c r="B480" s="5" t="inlineStr">
        <is>
          <t>X3</t>
        </is>
      </c>
      <c r="C480" s="7" t="n">
        <v>5</v>
      </c>
      <c r="D480">
        <f>IFERROR(INDEX('Kontrol Adımları'!$D:$D,MATCH(1,INDEX(('Kontrol Adımları'!$A$1:$A$400=B480)*('Kontrol Adımları'!$B$1:$B$400=C480),0),0)),"")</f>
        <v/>
      </c>
      <c r="E480" s="5" t="inlineStr">
        <is>
          <t>hanger</t>
        </is>
      </c>
      <c r="F480">
        <f>IFERROR(INDEX('Kalem Kataloğu'!$C$1:$C$1000,MATCH(1,INDEX(('Kalem Kataloğu'!$A$1:$A$1000=A480)*('Kalem Kataloğu'!$B$1:$B$1000=E480),0),0)),"?")</f>
        <v/>
      </c>
      <c r="G480">
        <f>IFERROR(INDEX('Kalem Kataloğu'!$D$1:$D$1000,MATCH(1,INDEX(('Kalem Kataloğu'!$A$1:$A$1000=A480)*('Kalem Kataloğu'!$B$1:$B$1000=E480),0),0)),"?")</f>
        <v/>
      </c>
      <c r="H480" s="7" t="n">
        <v>6</v>
      </c>
      <c r="I480" s="7" t="inlineStr">
        <is>
          <t>Hayır</t>
        </is>
      </c>
      <c r="J480" s="5" t="inlineStr">
        <is>
          <t>Drive foto (20.10.2026)</t>
        </is>
      </c>
      <c r="K480" s="5" t="n"/>
    </row>
    <row r="481">
      <c r="A481" s="5" t="inlineStr">
        <is>
          <t>Tare Houses Hotel</t>
        </is>
      </c>
      <c r="B481" s="5" t="inlineStr">
        <is>
          <t>X3</t>
        </is>
      </c>
      <c r="C481" s="7" t="n">
        <v>5</v>
      </c>
      <c r="D481">
        <f>IFERROR(INDEX('Kontrol Adımları'!$D:$D,MATCH(1,INDEX(('Kontrol Adımları'!$A$1:$A$400=B481)*('Kontrol Adımları'!$B$1:$B$400=C481),0),0)),"")</f>
        <v/>
      </c>
      <c r="E481" s="5" t="inlineStr">
        <is>
          <t>spare_blanket</t>
        </is>
      </c>
      <c r="F481">
        <f>IFERROR(INDEX('Kalem Kataloğu'!$C$1:$C$1000,MATCH(1,INDEX(('Kalem Kataloğu'!$A$1:$A$1000=A481)*('Kalem Kataloğu'!$B$1:$B$1000=E481),0),0)),"?")</f>
        <v/>
      </c>
      <c r="G481">
        <f>IFERROR(INDEX('Kalem Kataloğu'!$D$1:$D$1000,MATCH(1,INDEX(('Kalem Kataloğu'!$A$1:$A$1000=A481)*('Kalem Kataloğu'!$B$1:$B$1000=E481),0),0)),"?")</f>
        <v/>
      </c>
      <c r="H481" s="7" t="n">
        <v>1</v>
      </c>
      <c r="I481" s="7" t="inlineStr">
        <is>
          <t>Hayır</t>
        </is>
      </c>
      <c r="J481" s="5" t="inlineStr">
        <is>
          <t>Drive foto (20.10.2026)</t>
        </is>
      </c>
      <c r="K481" s="5" t="n"/>
    </row>
    <row r="482">
      <c r="A482" s="5" t="inlineStr">
        <is>
          <t>Tare Houses Hotel</t>
        </is>
      </c>
      <c r="B482" s="5" t="inlineStr">
        <is>
          <t>X3</t>
        </is>
      </c>
      <c r="C482" s="7" t="n">
        <v>5</v>
      </c>
      <c r="D482">
        <f>IFERROR(INDEX('Kontrol Adımları'!$D:$D,MATCH(1,INDEX(('Kontrol Adımları'!$A$1:$A$400=B482)*('Kontrol Adımları'!$B$1:$B$400=C482),0),0)),"")</f>
        <v/>
      </c>
      <c r="E482" s="5" t="inlineStr">
        <is>
          <t>wardrobe_box</t>
        </is>
      </c>
      <c r="F482">
        <f>IFERROR(INDEX('Kalem Kataloğu'!$C$1:$C$1000,MATCH(1,INDEX(('Kalem Kataloğu'!$A$1:$A$1000=A482)*('Kalem Kataloğu'!$B$1:$B$1000=E482),0),0)),"?")</f>
        <v/>
      </c>
      <c r="G482">
        <f>IFERROR(INDEX('Kalem Kataloğu'!$D$1:$D$1000,MATCH(1,INDEX(('Kalem Kataloğu'!$A$1:$A$1000=A482)*('Kalem Kataloğu'!$B$1:$B$1000=E482),0),0)),"?")</f>
        <v/>
      </c>
      <c r="H482" s="7" t="n">
        <v>1</v>
      </c>
      <c r="I482" s="7" t="inlineStr">
        <is>
          <t>Hayır</t>
        </is>
      </c>
      <c r="J482" s="5" t="inlineStr">
        <is>
          <t>Drive foto (20.10.2026)</t>
        </is>
      </c>
      <c r="K482" s="5" t="n"/>
    </row>
    <row r="483">
      <c r="A483" s="5" t="inlineStr">
        <is>
          <t>Tare Houses Hotel</t>
        </is>
      </c>
      <c r="B483" s="5" t="inlineStr">
        <is>
          <t>X3</t>
        </is>
      </c>
      <c r="C483" s="7" t="n">
        <v>6</v>
      </c>
      <c r="D483">
        <f>IFERROR(INDEX('Kontrol Adımları'!$D:$D,MATCH(1,INDEX(('Kontrol Adımları'!$A$1:$A$400=B483)*('Kontrol Adımları'!$B$1:$B$400=C483),0),0)),"")</f>
        <v/>
      </c>
      <c r="E483" s="5" t="inlineStr">
        <is>
          <t>kettle</t>
        </is>
      </c>
      <c r="F483">
        <f>IFERROR(INDEX('Kalem Kataloğu'!$C$1:$C$1000,MATCH(1,INDEX(('Kalem Kataloğu'!$A$1:$A$1000=A483)*('Kalem Kataloğu'!$B$1:$B$1000=E483),0),0)),"?")</f>
        <v/>
      </c>
      <c r="G483">
        <f>IFERROR(INDEX('Kalem Kataloğu'!$D$1:$D$1000,MATCH(1,INDEX(('Kalem Kataloğu'!$A$1:$A$1000=A483)*('Kalem Kataloğu'!$B$1:$B$1000=E483),0),0)),"?")</f>
        <v/>
      </c>
      <c r="H483" s="7" t="n">
        <v>1</v>
      </c>
      <c r="I483" s="7" t="inlineStr">
        <is>
          <t>Evet</t>
        </is>
      </c>
      <c r="J483" s="5" t="inlineStr">
        <is>
          <t>Drive foto (20.10.2026)</t>
        </is>
      </c>
      <c r="K483" s="5" t="n"/>
    </row>
    <row r="484">
      <c r="A484" s="5" t="inlineStr">
        <is>
          <t>Tare Houses Hotel</t>
        </is>
      </c>
      <c r="B484" s="5" t="inlineStr">
        <is>
          <t>X3</t>
        </is>
      </c>
      <c r="C484" s="7" t="n">
        <v>6</v>
      </c>
      <c r="D484">
        <f>IFERROR(INDEX('Kontrol Adımları'!$D:$D,MATCH(1,INDEX(('Kontrol Adımları'!$A$1:$A$400=B484)*('Kontrol Adımları'!$B$1:$B$400=C484),0),0)),"")</f>
        <v/>
      </c>
      <c r="E484" s="5" t="inlineStr">
        <is>
          <t>hanging_bin</t>
        </is>
      </c>
      <c r="F484">
        <f>IFERROR(INDEX('Kalem Kataloğu'!$C$1:$C$1000,MATCH(1,INDEX(('Kalem Kataloğu'!$A$1:$A$1000=A484)*('Kalem Kataloğu'!$B$1:$B$1000=E484),0),0)),"?")</f>
        <v/>
      </c>
      <c r="G484">
        <f>IFERROR(INDEX('Kalem Kataloğu'!$D$1:$D$1000,MATCH(1,INDEX(('Kalem Kataloğu'!$A$1:$A$1000=A484)*('Kalem Kataloğu'!$B$1:$B$1000=E484),0),0)),"?")</f>
        <v/>
      </c>
      <c r="H484" s="7" t="n">
        <v>1</v>
      </c>
      <c r="I484" s="7" t="inlineStr">
        <is>
          <t>Evet</t>
        </is>
      </c>
      <c r="J484" s="5" t="inlineStr">
        <is>
          <t>Drive foto (20.10.2026)</t>
        </is>
      </c>
      <c r="K484" s="5" t="n"/>
    </row>
    <row r="485">
      <c r="A485" s="5" t="inlineStr">
        <is>
          <t>Tare Houses Hotel</t>
        </is>
      </c>
      <c r="B485" s="5" t="inlineStr">
        <is>
          <t>X3</t>
        </is>
      </c>
      <c r="C485" s="7" t="n">
        <v>6</v>
      </c>
      <c r="D485">
        <f>IFERROR(INDEX('Kontrol Adımları'!$D:$D,MATCH(1,INDEX(('Kontrol Adımları'!$A$1:$A$400=B485)*('Kontrol Adımları'!$B$1:$B$400=C485),0),0)),"")</f>
        <v/>
      </c>
      <c r="E485" s="5" t="inlineStr">
        <is>
          <t>cooktop</t>
        </is>
      </c>
      <c r="F485">
        <f>IFERROR(INDEX('Kalem Kataloğu'!$C$1:$C$1000,MATCH(1,INDEX(('Kalem Kataloğu'!$A$1:$A$1000=A485)*('Kalem Kataloğu'!$B$1:$B$1000=E485),0),0)),"?")</f>
        <v/>
      </c>
      <c r="G485">
        <f>IFERROR(INDEX('Kalem Kataloğu'!$D$1:$D$1000,MATCH(1,INDEX(('Kalem Kataloğu'!$A$1:$A$1000=A485)*('Kalem Kataloğu'!$B$1:$B$1000=E485),0),0)),"?")</f>
        <v/>
      </c>
      <c r="H485" s="7" t="n">
        <v>1</v>
      </c>
      <c r="I485" s="7" t="inlineStr">
        <is>
          <t>Evet</t>
        </is>
      </c>
      <c r="J485" s="5" t="inlineStr">
        <is>
          <t>Drive foto (20.10.2026)</t>
        </is>
      </c>
      <c r="K485" s="5" t="n"/>
    </row>
    <row r="486">
      <c r="A486" s="5" t="inlineStr">
        <is>
          <t>Tare Houses Hotel</t>
        </is>
      </c>
      <c r="B486" s="5" t="inlineStr">
        <is>
          <t>X3</t>
        </is>
      </c>
      <c r="C486" s="7" t="n">
        <v>6</v>
      </c>
      <c r="D486">
        <f>IFERROR(INDEX('Kontrol Adımları'!$D:$D,MATCH(1,INDEX(('Kontrol Adımları'!$A$1:$A$400=B486)*('Kontrol Adımları'!$B$1:$B$400=C486),0),0)),"")</f>
        <v/>
      </c>
      <c r="E486" s="5" t="inlineStr">
        <is>
          <t>range_hood</t>
        </is>
      </c>
      <c r="F486">
        <f>IFERROR(INDEX('Kalem Kataloğu'!$C$1:$C$1000,MATCH(1,INDEX(('Kalem Kataloğu'!$A$1:$A$1000=A486)*('Kalem Kataloğu'!$B$1:$B$1000=E486),0),0)),"?")</f>
        <v/>
      </c>
      <c r="G486">
        <f>IFERROR(INDEX('Kalem Kataloğu'!$D$1:$D$1000,MATCH(1,INDEX(('Kalem Kataloğu'!$A$1:$A$1000=A486)*('Kalem Kataloğu'!$B$1:$B$1000=E486),0),0)),"?")</f>
        <v/>
      </c>
      <c r="H486" s="7" t="n">
        <v>1</v>
      </c>
      <c r="I486" s="7" t="inlineStr">
        <is>
          <t>Evet</t>
        </is>
      </c>
      <c r="J486" s="5" t="inlineStr">
        <is>
          <t>Drive foto (20.10.2026)</t>
        </is>
      </c>
      <c r="K486" s="5" t="n"/>
    </row>
    <row r="487" ht="39.6" customHeight="1">
      <c r="A487" s="5" t="inlineStr">
        <is>
          <t>Tare Houses Hotel</t>
        </is>
      </c>
      <c r="B487" s="5" t="inlineStr">
        <is>
          <t>X3</t>
        </is>
      </c>
      <c r="C487" s="7" t="n">
        <v>6</v>
      </c>
      <c r="D487">
        <f>IFERROR(INDEX('Kontrol Adımları'!$D:$D,MATCH(1,INDEX(('Kontrol Adımları'!$A$1:$A$400=B487)*('Kontrol Adımları'!$B$1:$B$400=C487),0),0)),"")</f>
        <v/>
      </c>
      <c r="E487" s="5" t="inlineStr">
        <is>
          <t>air_conditioner</t>
        </is>
      </c>
      <c r="F487">
        <f>IFERROR(INDEX('Kalem Kataloğu'!$C$1:$C$1000,MATCH(1,INDEX(('Kalem Kataloğu'!$A$1:$A$1000=A487)*('Kalem Kataloğu'!$B$1:$B$1000=E487),0),0)),"?")</f>
        <v/>
      </c>
      <c r="G487">
        <f>IFERROR(INDEX('Kalem Kataloğu'!$D$1:$D$1000,MATCH(1,INDEX(('Kalem Kataloğu'!$A$1:$A$1000=A487)*('Kalem Kataloğu'!$B$1:$B$1000=E487),0),0)),"?")</f>
        <v/>
      </c>
      <c r="H487" s="7" t="n">
        <v>1</v>
      </c>
      <c r="I487" s="7" t="inlineStr">
        <is>
          <t>Evet</t>
        </is>
      </c>
      <c r="J487" s="5" t="inlineStr">
        <is>
          <t>Drive foto (20.10.2026)</t>
        </is>
      </c>
      <c r="K487" s="5" t="n"/>
    </row>
    <row r="488">
      <c r="A488" s="5" t="inlineStr">
        <is>
          <t>Tare Houses Hotel</t>
        </is>
      </c>
      <c r="B488" s="5" t="inlineStr">
        <is>
          <t>X3</t>
        </is>
      </c>
      <c r="C488" s="7" t="n">
        <v>12</v>
      </c>
      <c r="D488">
        <f>IFERROR(INDEX('Kontrol Adımları'!$D:$D,MATCH(1,INDEX(('Kontrol Adımları'!$A$1:$A$400=B488)*('Kontrol Adımları'!$B$1:$B$400=C488),0),0)),"")</f>
        <v/>
      </c>
      <c r="E488" s="5" t="inlineStr">
        <is>
          <t>paper_towel</t>
        </is>
      </c>
      <c r="F488">
        <f>IFERROR(INDEX('Kalem Kataloğu'!$C$1:$C$1000,MATCH(1,INDEX(('Kalem Kataloğu'!$A$1:$A$1000=A488)*('Kalem Kataloğu'!$B$1:$B$1000=E488),0),0)),"?")</f>
        <v/>
      </c>
      <c r="G488">
        <f>IFERROR(INDEX('Kalem Kataloğu'!$D$1:$D$1000,MATCH(1,INDEX(('Kalem Kataloğu'!$A$1:$A$1000=A488)*('Kalem Kataloğu'!$B$1:$B$1000=E488),0),0)),"?")</f>
        <v/>
      </c>
      <c r="H488" s="7" t="n">
        <v>1</v>
      </c>
      <c r="I488" s="7" t="inlineStr">
        <is>
          <t>Evet</t>
        </is>
      </c>
      <c r="J488" s="5" t="inlineStr">
        <is>
          <t>Drive foto (20.10.2026)</t>
        </is>
      </c>
      <c r="K488" s="5" t="n"/>
    </row>
    <row r="489">
      <c r="A489" s="5" t="inlineStr">
        <is>
          <t>Tare Houses Hotel</t>
        </is>
      </c>
      <c r="B489" s="5" t="inlineStr">
        <is>
          <t>X3</t>
        </is>
      </c>
      <c r="C489" s="7" t="n">
        <v>13</v>
      </c>
      <c r="D489">
        <f>IFERROR(INDEX('Kontrol Adımları'!$D:$D,MATCH(1,INDEX(('Kontrol Adımları'!$A$1:$A$400=B489)*('Kontrol Adımları'!$B$1:$B$400=C489),0),0)),"")</f>
        <v/>
      </c>
      <c r="E489" s="5" t="inlineStr">
        <is>
          <t>mini_fridge</t>
        </is>
      </c>
      <c r="F489">
        <f>IFERROR(INDEX('Kalem Kataloğu'!$C$1:$C$1000,MATCH(1,INDEX(('Kalem Kataloğu'!$A$1:$A$1000=A489)*('Kalem Kataloğu'!$B$1:$B$1000=E489),0),0)),"?")</f>
        <v/>
      </c>
      <c r="G489">
        <f>IFERROR(INDEX('Kalem Kataloğu'!$D$1:$D$1000,MATCH(1,INDEX(('Kalem Kataloğu'!$A$1:$A$1000=A489)*('Kalem Kataloğu'!$B$1:$B$1000=E489),0),0)),"?")</f>
        <v/>
      </c>
      <c r="H489" s="7" t="n">
        <v>1</v>
      </c>
      <c r="I489" s="7" t="inlineStr">
        <is>
          <t>Evet</t>
        </is>
      </c>
      <c r="J489" s="5" t="inlineStr">
        <is>
          <t>Drive foto (20.10.2026)</t>
        </is>
      </c>
      <c r="K489" s="5" t="n"/>
    </row>
    <row r="490">
      <c r="A490" s="5" t="inlineStr">
        <is>
          <t>Tare Houses Hotel</t>
        </is>
      </c>
      <c r="B490" s="5" t="inlineStr">
        <is>
          <t>X3</t>
        </is>
      </c>
      <c r="C490" s="7" t="n">
        <v>14</v>
      </c>
      <c r="D490">
        <f>IFERROR(INDEX('Kontrol Adımları'!$D:$D,MATCH(1,INDEX(('Kontrol Adımları'!$A$1:$A$400=B490)*('Kontrol Adımları'!$B$1:$B$400=C490),0),0)),"")</f>
        <v/>
      </c>
      <c r="E490" s="5" t="inlineStr">
        <is>
          <t>tv</t>
        </is>
      </c>
      <c r="F490">
        <f>IFERROR(INDEX('Kalem Kataloğu'!$C$1:$C$1000,MATCH(1,INDEX(('Kalem Kataloğu'!$A$1:$A$1000=A490)*('Kalem Kataloğu'!$B$1:$B$1000=E490),0),0)),"?")</f>
        <v/>
      </c>
      <c r="G490">
        <f>IFERROR(INDEX('Kalem Kataloğu'!$D$1:$D$1000,MATCH(1,INDEX(('Kalem Kataloğu'!$A$1:$A$1000=A490)*('Kalem Kataloğu'!$B$1:$B$1000=E490),0),0)),"?")</f>
        <v/>
      </c>
      <c r="H490" s="7" t="n">
        <v>1</v>
      </c>
      <c r="I490" s="7" t="inlineStr">
        <is>
          <t>Evet</t>
        </is>
      </c>
      <c r="J490" s="5" t="inlineStr">
        <is>
          <t>Drive foto (20.10.2026)</t>
        </is>
      </c>
      <c r="K490" s="5" t="n"/>
    </row>
    <row r="491" ht="26.4" customHeight="1">
      <c r="A491" s="5" t="inlineStr">
        <is>
          <t>Tare Houses Hotel</t>
        </is>
      </c>
      <c r="B491" s="5" t="inlineStr">
        <is>
          <t>X3</t>
        </is>
      </c>
      <c r="C491" s="7" t="n">
        <v>14</v>
      </c>
      <c r="D491">
        <f>IFERROR(INDEX('Kontrol Adımları'!$D:$D,MATCH(1,INDEX(('Kontrol Adımları'!$A$1:$A$400=B491)*('Kontrol Adımları'!$B$1:$B$400=C491),0),0)),"")</f>
        <v/>
      </c>
      <c r="E491" s="5" t="inlineStr">
        <is>
          <t>decor_branches</t>
        </is>
      </c>
      <c r="F491">
        <f>IFERROR(INDEX('Kalem Kataloğu'!$C$1:$C$1000,MATCH(1,INDEX(('Kalem Kataloğu'!$A$1:$A$1000=A491)*('Kalem Kataloğu'!$B$1:$B$1000=E491),0),0)),"?")</f>
        <v/>
      </c>
      <c r="G491">
        <f>IFERROR(INDEX('Kalem Kataloğu'!$D$1:$D$1000,MATCH(1,INDEX(('Kalem Kataloğu'!$A$1:$A$1000=A491)*('Kalem Kataloğu'!$B$1:$B$1000=E491),0),0)),"?")</f>
        <v/>
      </c>
      <c r="H491" s="7" t="n">
        <v>1</v>
      </c>
      <c r="I491" s="7" t="inlineStr">
        <is>
          <t>Evet</t>
        </is>
      </c>
      <c r="J491" s="5" t="inlineStr">
        <is>
          <t>Drive foto (20.10.2026)</t>
        </is>
      </c>
      <c r="K491" s="5" t="n"/>
    </row>
    <row r="492">
      <c r="A492" s="5" t="inlineStr">
        <is>
          <t>Tare Houses Hotel</t>
        </is>
      </c>
      <c r="B492" s="5" t="inlineStr">
        <is>
          <t>X3</t>
        </is>
      </c>
      <c r="C492" s="7" t="n">
        <v>15</v>
      </c>
      <c r="D492">
        <f>IFERROR(INDEX('Kontrol Adımları'!$D:$D,MATCH(1,INDEX(('Kontrol Adımları'!$A$1:$A$400=B492)*('Kontrol Adımları'!$B$1:$B$400=C492),0),0)),"")</f>
        <v/>
      </c>
      <c r="E492" s="5" t="inlineStr">
        <is>
          <t>pillow</t>
        </is>
      </c>
      <c r="F492">
        <f>IFERROR(INDEX('Kalem Kataloğu'!$C$1:$C$1000,MATCH(1,INDEX(('Kalem Kataloğu'!$A$1:$A$1000=A492)*('Kalem Kataloğu'!$B$1:$B$1000=E492),0),0)),"?")</f>
        <v/>
      </c>
      <c r="G492">
        <f>IFERROR(INDEX('Kalem Kataloğu'!$D$1:$D$1000,MATCH(1,INDEX(('Kalem Kataloğu'!$A$1:$A$1000=A492)*('Kalem Kataloğu'!$B$1:$B$1000=E492),0),0)),"?")</f>
        <v/>
      </c>
      <c r="H492" s="7" t="n">
        <v>4</v>
      </c>
      <c r="I492" s="7" t="inlineStr">
        <is>
          <t>Hayır</t>
        </is>
      </c>
      <c r="J492" s="5" t="inlineStr">
        <is>
          <t>Drive foto (20.10.2026)</t>
        </is>
      </c>
      <c r="K492" s="5" t="n"/>
    </row>
    <row r="493" ht="26.4" customHeight="1">
      <c r="A493" s="5" t="inlineStr">
        <is>
          <t>Tare Houses Hotel</t>
        </is>
      </c>
      <c r="B493" s="5" t="inlineStr">
        <is>
          <t>X3</t>
        </is>
      </c>
      <c r="C493" s="7" t="n">
        <v>15</v>
      </c>
      <c r="D493">
        <f>IFERROR(INDEX('Kontrol Adımları'!$D:$D,MATCH(1,INDEX(('Kontrol Adımları'!$A$1:$A$400=B493)*('Kontrol Adımları'!$B$1:$B$400=C493),0),0)),"")</f>
        <v/>
      </c>
      <c r="E493" s="5" t="inlineStr">
        <is>
          <t>nightstand</t>
        </is>
      </c>
      <c r="F493">
        <f>IFERROR(INDEX('Kalem Kataloğu'!$C$1:$C$1000,MATCH(1,INDEX(('Kalem Kataloğu'!$A$1:$A$1000=A493)*('Kalem Kataloğu'!$B$1:$B$1000=E493),0),0)),"?")</f>
        <v/>
      </c>
      <c r="G493">
        <f>IFERROR(INDEX('Kalem Kataloğu'!$D$1:$D$1000,MATCH(1,INDEX(('Kalem Kataloğu'!$A$1:$A$1000=A493)*('Kalem Kataloğu'!$B$1:$B$1000=E493),0),0)),"?")</f>
        <v/>
      </c>
      <c r="H493" s="7" t="n">
        <v>2</v>
      </c>
      <c r="I493" s="7" t="inlineStr">
        <is>
          <t>Evet</t>
        </is>
      </c>
      <c r="J493" s="5" t="inlineStr">
        <is>
          <t>Drive foto (20.10.2026)</t>
        </is>
      </c>
      <c r="K493" s="5" t="n"/>
    </row>
    <row r="494">
      <c r="A494" s="5" t="inlineStr">
        <is>
          <t>Tare Houses Hotel</t>
        </is>
      </c>
      <c r="B494" s="5" t="inlineStr">
        <is>
          <t>X3</t>
        </is>
      </c>
      <c r="C494" s="7" t="n">
        <v>15</v>
      </c>
      <c r="D494">
        <f>IFERROR(INDEX('Kontrol Adımları'!$D:$D,MATCH(1,INDEX(('Kontrol Adımları'!$A$1:$A$400=B494)*('Kontrol Adımları'!$B$1:$B$400=C494),0),0)),"")</f>
        <v/>
      </c>
      <c r="E494" s="5" t="inlineStr">
        <is>
          <t>bed</t>
        </is>
      </c>
      <c r="F494">
        <f>IFERROR(INDEX('Kalem Kataloğu'!$C$1:$C$1000,MATCH(1,INDEX(('Kalem Kataloğu'!$A$1:$A$1000=A494)*('Kalem Kataloğu'!$B$1:$B$1000=E494),0),0)),"?")</f>
        <v/>
      </c>
      <c r="G494">
        <f>IFERROR(INDEX('Kalem Kataloğu'!$D$1:$D$1000,MATCH(1,INDEX(('Kalem Kataloğu'!$A$1:$A$1000=A494)*('Kalem Kataloğu'!$B$1:$B$1000=E494),0),0)),"?")</f>
        <v/>
      </c>
      <c r="H494" s="7" t="n">
        <v>1</v>
      </c>
      <c r="I494" s="7" t="inlineStr">
        <is>
          <t>Evet</t>
        </is>
      </c>
      <c r="J494" s="5" t="inlineStr">
        <is>
          <t>Drive foto (20.10.2026)</t>
        </is>
      </c>
      <c r="K494" s="5" t="n"/>
    </row>
    <row r="495">
      <c r="A495" s="5" t="inlineStr">
        <is>
          <t>Tare Houses Hotel</t>
        </is>
      </c>
      <c r="B495" s="5" t="inlineStr">
        <is>
          <t>X3</t>
        </is>
      </c>
      <c r="C495" s="7" t="n">
        <v>15</v>
      </c>
      <c r="D495">
        <f>IFERROR(INDEX('Kontrol Adımları'!$D:$D,MATCH(1,INDEX(('Kontrol Adımları'!$A$1:$A$400=B495)*('Kontrol Adımları'!$B$1:$B$400=C495),0),0)),"")</f>
        <v/>
      </c>
      <c r="E495" s="5" t="inlineStr">
        <is>
          <t>bedside_wall_lamp</t>
        </is>
      </c>
      <c r="F495">
        <f>IFERROR(INDEX('Kalem Kataloğu'!$C$1:$C$1000,MATCH(1,INDEX(('Kalem Kataloğu'!$A$1:$A$1000=A495)*('Kalem Kataloğu'!$B$1:$B$1000=E495),0),0)),"?")</f>
        <v/>
      </c>
      <c r="G495">
        <f>IFERROR(INDEX('Kalem Kataloğu'!$D$1:$D$1000,MATCH(1,INDEX(('Kalem Kataloğu'!$A$1:$A$1000=A495)*('Kalem Kataloğu'!$B$1:$B$1000=E495),0),0)),"?")</f>
        <v/>
      </c>
      <c r="H495" s="7" t="n">
        <v>2</v>
      </c>
      <c r="I495" s="7" t="inlineStr">
        <is>
          <t>Evet</t>
        </is>
      </c>
      <c r="J495" s="5" t="inlineStr">
        <is>
          <t>Drive foto (20.10.2026)</t>
        </is>
      </c>
      <c r="K495" s="5" t="n"/>
    </row>
    <row r="496">
      <c r="A496" s="5" t="inlineStr">
        <is>
          <t>Tare Houses Hotel</t>
        </is>
      </c>
      <c r="B496" s="5" t="inlineStr">
        <is>
          <t>X3</t>
        </is>
      </c>
      <c r="C496" s="7" t="n">
        <v>15</v>
      </c>
      <c r="D496">
        <f>IFERROR(INDEX('Kontrol Adımları'!$D:$D,MATCH(1,INDEX(('Kontrol Adımları'!$A$1:$A$400=B496)*('Kontrol Adımları'!$B$1:$B$400=C496),0),0)),"")</f>
        <v/>
      </c>
      <c r="E496" s="5" t="inlineStr">
        <is>
          <t>wall_art</t>
        </is>
      </c>
      <c r="F496">
        <f>IFERROR(INDEX('Kalem Kataloğu'!$C$1:$C$1000,MATCH(1,INDEX(('Kalem Kataloğu'!$A$1:$A$1000=A496)*('Kalem Kataloğu'!$B$1:$B$1000=E496),0),0)),"?")</f>
        <v/>
      </c>
      <c r="G496">
        <f>IFERROR(INDEX('Kalem Kataloğu'!$D$1:$D$1000,MATCH(1,INDEX(('Kalem Kataloğu'!$A$1:$A$1000=A496)*('Kalem Kataloğu'!$B$1:$B$1000=E496),0),0)),"?")</f>
        <v/>
      </c>
      <c r="H496" s="7" t="n">
        <v>1</v>
      </c>
      <c r="I496" s="7" t="inlineStr">
        <is>
          <t>Evet</t>
        </is>
      </c>
      <c r="J496" s="5" t="inlineStr">
        <is>
          <t>Drive foto (20.10.2026)</t>
        </is>
      </c>
      <c r="K496" s="5" t="n"/>
    </row>
    <row r="497">
      <c r="A497" s="5" t="inlineStr">
        <is>
          <t>Tare Houses Hotel</t>
        </is>
      </c>
      <c r="B497" s="5" t="inlineStr">
        <is>
          <t>X3</t>
        </is>
      </c>
      <c r="C497" s="7" t="n">
        <v>16</v>
      </c>
      <c r="D497">
        <f>IFERROR(INDEX('Kontrol Adımları'!$D:$D,MATCH(1,INDEX(('Kontrol Adımları'!$A$1:$A$400=B497)*('Kontrol Adımları'!$B$1:$B$400=C497),0),0)),"")</f>
        <v/>
      </c>
      <c r="E497" s="5" t="inlineStr">
        <is>
          <t>remote</t>
        </is>
      </c>
      <c r="F497">
        <f>IFERROR(INDEX('Kalem Kataloğu'!$C$1:$C$1000,MATCH(1,INDEX(('Kalem Kataloğu'!$A$1:$A$1000=A497)*('Kalem Kataloğu'!$B$1:$B$1000=E497),0),0)),"?")</f>
        <v/>
      </c>
      <c r="G497">
        <f>IFERROR(INDEX('Kalem Kataloğu'!$D$1:$D$1000,MATCH(1,INDEX(('Kalem Kataloğu'!$A$1:$A$1000=A497)*('Kalem Kataloğu'!$B$1:$B$1000=E497),0),0)),"?")</f>
        <v/>
      </c>
      <c r="H497" s="7" t="n">
        <v>2</v>
      </c>
      <c r="I497" s="7" t="inlineStr">
        <is>
          <t>Evet</t>
        </is>
      </c>
      <c r="J497" s="5" t="inlineStr">
        <is>
          <t>Drive foto (20.10.2026)</t>
        </is>
      </c>
      <c r="K497" s="5" t="n"/>
    </row>
    <row r="498">
      <c r="A498" s="5" t="inlineStr">
        <is>
          <t>Tare Houses Hotel</t>
        </is>
      </c>
      <c r="B498" s="5" t="inlineStr">
        <is>
          <t>X3</t>
        </is>
      </c>
      <c r="C498" s="7" t="n">
        <v>16</v>
      </c>
      <c r="D498">
        <f>IFERROR(INDEX('Kontrol Adımları'!$D:$D,MATCH(1,INDEX(('Kontrol Adımları'!$A$1:$A$400=B498)*('Kontrol Adımları'!$B$1:$B$400=C498),0),0)),"")</f>
        <v/>
      </c>
      <c r="E498" s="5" t="inlineStr">
        <is>
          <t>amenity_tray</t>
        </is>
      </c>
      <c r="F498">
        <f>IFERROR(INDEX('Kalem Kataloğu'!$C$1:$C$1000,MATCH(1,INDEX(('Kalem Kataloğu'!$A$1:$A$1000=A498)*('Kalem Kataloğu'!$B$1:$B$1000=E498),0),0)),"?")</f>
        <v/>
      </c>
      <c r="G498">
        <f>IFERROR(INDEX('Kalem Kataloğu'!$D$1:$D$1000,MATCH(1,INDEX(('Kalem Kataloğu'!$A$1:$A$1000=A498)*('Kalem Kataloğu'!$B$1:$B$1000=E498),0),0)),"?")</f>
        <v/>
      </c>
      <c r="H498" s="7" t="n">
        <v>1</v>
      </c>
      <c r="I498" s="7" t="inlineStr">
        <is>
          <t>Evet</t>
        </is>
      </c>
      <c r="J498" s="5" t="inlineStr">
        <is>
          <t>Drive foto (20.10.2026)</t>
        </is>
      </c>
      <c r="K498" s="5" t="n"/>
    </row>
    <row r="499">
      <c r="A499" s="5" t="inlineStr">
        <is>
          <t>Tare Houses Hotel</t>
        </is>
      </c>
      <c r="B499" s="5" t="inlineStr">
        <is>
          <t>X3</t>
        </is>
      </c>
      <c r="C499" s="7" t="n">
        <v>16</v>
      </c>
      <c r="D499">
        <f>IFERROR(INDEX('Kontrol Adımları'!$D:$D,MATCH(1,INDEX(('Kontrol Adımları'!$A$1:$A$400=B499)*('Kontrol Adımları'!$B$1:$B$400=C499),0),0)),"")</f>
        <v/>
      </c>
      <c r="E499" s="5" t="inlineStr">
        <is>
          <t>armchair</t>
        </is>
      </c>
      <c r="F499">
        <f>IFERROR(INDEX('Kalem Kataloğu'!$C$1:$C$1000,MATCH(1,INDEX(('Kalem Kataloğu'!$A$1:$A$1000=A499)*('Kalem Kataloğu'!$B$1:$B$1000=E499),0),0)),"?")</f>
        <v/>
      </c>
      <c r="G499">
        <f>IFERROR(INDEX('Kalem Kataloğu'!$D$1:$D$1000,MATCH(1,INDEX(('Kalem Kataloğu'!$A$1:$A$1000=A499)*('Kalem Kataloğu'!$B$1:$B$1000=E499),0),0)),"?")</f>
        <v/>
      </c>
      <c r="H499" s="7" t="n">
        <v>2</v>
      </c>
      <c r="I499" s="7" t="inlineStr">
        <is>
          <t>Evet</t>
        </is>
      </c>
      <c r="J499" s="5" t="inlineStr">
        <is>
          <t>Drive foto (20.10.2026)</t>
        </is>
      </c>
      <c r="K499" s="5" t="n"/>
    </row>
    <row r="500">
      <c r="A500" s="5" t="inlineStr">
        <is>
          <t>Tare Houses Hotel</t>
        </is>
      </c>
      <c r="B500" s="5" t="inlineStr">
        <is>
          <t>X3</t>
        </is>
      </c>
      <c r="C500" s="7" t="n">
        <v>16</v>
      </c>
      <c r="D500">
        <f>IFERROR(INDEX('Kontrol Adımları'!$D:$D,MATCH(1,INDEX(('Kontrol Adımları'!$A$1:$A$400=B500)*('Kontrol Adımları'!$B$1:$B$400=C500),0),0)),"")</f>
        <v/>
      </c>
      <c r="E500" s="5" t="inlineStr">
        <is>
          <t>round_table</t>
        </is>
      </c>
      <c r="F500">
        <f>IFERROR(INDEX('Kalem Kataloğu'!$C$1:$C$1000,MATCH(1,INDEX(('Kalem Kataloğu'!$A$1:$A$1000=A500)*('Kalem Kataloğu'!$B$1:$B$1000=E500),0),0)),"?")</f>
        <v/>
      </c>
      <c r="G500">
        <f>IFERROR(INDEX('Kalem Kataloğu'!$D$1:$D$1000,MATCH(1,INDEX(('Kalem Kataloğu'!$A$1:$A$1000=A500)*('Kalem Kataloğu'!$B$1:$B$1000=E500),0),0)),"?")</f>
        <v/>
      </c>
      <c r="H500" s="7" t="n">
        <v>1</v>
      </c>
      <c r="I500" s="7" t="inlineStr">
        <is>
          <t>Evet</t>
        </is>
      </c>
      <c r="J500" s="5" t="inlineStr">
        <is>
          <t>Drive foto (20.10.2026)</t>
        </is>
      </c>
      <c r="K500" s="5" t="n"/>
    </row>
    <row r="501">
      <c r="A501" s="5" t="inlineStr">
        <is>
          <t>Tare Houses Hotel</t>
        </is>
      </c>
      <c r="B501" s="5" t="inlineStr">
        <is>
          <t>X3</t>
        </is>
      </c>
      <c r="C501" s="7" t="n">
        <v>17</v>
      </c>
      <c r="D501">
        <f>IFERROR(INDEX('Kontrol Adımları'!$D:$D,MATCH(1,INDEX(('Kontrol Adımları'!$A$1:$A$400=B501)*('Kontrol Adımları'!$B$1:$B$400=C501),0),0)),"")</f>
        <v/>
      </c>
      <c r="E501" s="5" t="inlineStr">
        <is>
          <t>room_bin</t>
        </is>
      </c>
      <c r="F501">
        <f>IFERROR(INDEX('Kalem Kataloğu'!$C$1:$C$1000,MATCH(1,INDEX(('Kalem Kataloğu'!$A$1:$A$1000=A501)*('Kalem Kataloğu'!$B$1:$B$1000=E501),0),0)),"?")</f>
        <v/>
      </c>
      <c r="G501">
        <f>IFERROR(INDEX('Kalem Kataloğu'!$D$1:$D$1000,MATCH(1,INDEX(('Kalem Kataloğu'!$A$1:$A$1000=A501)*('Kalem Kataloğu'!$B$1:$B$1000=E501),0),0)),"?")</f>
        <v/>
      </c>
      <c r="H501" s="7" t="n">
        <v>1</v>
      </c>
      <c r="I501" s="7" t="inlineStr">
        <is>
          <t>Evet</t>
        </is>
      </c>
      <c r="J501" s="5" t="inlineStr">
        <is>
          <t>Drive foto (20.10.2026)</t>
        </is>
      </c>
      <c r="K501" s="5" t="n"/>
    </row>
    <row r="502">
      <c r="A502" s="5" t="inlineStr">
        <is>
          <t>Tare Houses Hotel</t>
        </is>
      </c>
      <c r="B502" s="5" t="inlineStr">
        <is>
          <t>X3</t>
        </is>
      </c>
      <c r="C502" s="7" t="n">
        <v>17</v>
      </c>
      <c r="D502">
        <f>IFERROR(INDEX('Kontrol Adımları'!$D:$D,MATCH(1,INDEX(('Kontrol Adımları'!$A$1:$A$400=B502)*('Kontrol Adımları'!$B$1:$B$400=C502),0),0)),"")</f>
        <v/>
      </c>
      <c r="E502" s="5" t="inlineStr">
        <is>
          <t>smoke_detector</t>
        </is>
      </c>
      <c r="F502">
        <f>IFERROR(INDEX('Kalem Kataloğu'!$C$1:$C$1000,MATCH(1,INDEX(('Kalem Kataloğu'!$A$1:$A$1000=A502)*('Kalem Kataloğu'!$B$1:$B$1000=E502),0),0)),"?")</f>
        <v/>
      </c>
      <c r="G502">
        <f>IFERROR(INDEX('Kalem Kataloğu'!$D$1:$D$1000,MATCH(1,INDEX(('Kalem Kataloğu'!$A$1:$A$1000=A502)*('Kalem Kataloğu'!$B$1:$B$1000=E502),0),0)),"?")</f>
        <v/>
      </c>
      <c r="H502" s="7" t="n">
        <v>1</v>
      </c>
      <c r="I502" s="7" t="inlineStr">
        <is>
          <t>Evet</t>
        </is>
      </c>
      <c r="J502" s="5" t="inlineStr">
        <is>
          <t>Drive foto (20.10.2026)</t>
        </is>
      </c>
      <c r="K502" s="5" t="n"/>
    </row>
  </sheetData>
  <autoFilter ref="A1:K493"/>
  <dataValidations count="1">
    <dataValidation sqref="I2:I1000" showDropDown="0" showInputMessage="0" showErrorMessage="0" allowBlank="1" type="list">
      <formula1>"Evet,Hayır"</formula1>
    </dataValidation>
  </dataValidations>
  <pageMargins left="0.75" right="0.75" top="1" bottom="1" header="0.5" footer="0.5"/>
  <headerFooter>
    <oddHeader/>
    <oddFooter>&amp;C&amp;"Aptos"&amp;6 &amp;K626469_x000d_# General</oddFooter>
    <evenHeader/>
    <evenFooter/>
    <firstHeader/>
    <firstFooter/>
  </headerFooter>
  <extLst>
    <ext xmlns:x14="http://schemas.microsoft.com/office/spreadsheetml/2009/9/main" uri="{CCE6A557-97BC-4b89-ADB6-D9C93CAAB3DF}">
      <x14:dataValidations xmlns:xm="http://schemas.microsoft.com/office/excel/2006/main" count="2">
        <x14:dataValidation type="list" allowBlank="1">
          <x14:formula1>
            <xm:f>Oteller!$A$2:$A$30</xm:f>
          </x14:formula1>
          <xm:sqref>A2:A1000</xm:sqref>
        </x14:dataValidation>
        <x14:dataValidation type="list" allowBlank="1">
          <x14:formula1>
            <xm:f>'Oda Tipleri'!$A$2:$A$40</xm:f>
          </x14:formula1>
          <xm:sqref>B2:B1000</xm:sqref>
        </x14:dataValidation>
      </x14:dataValidations>
    </ext>
  </extLst>
</worksheet>
</file>

<file path=xl/worksheets/sheet9.xml><?xml version="1.0" encoding="utf-8"?>
<worksheet xmlns="http://schemas.openxmlformats.org/spreadsheetml/2006/main">
  <sheetPr>
    <outlinePr summaryBelow="1" summaryRight="1"/>
    <pageSetUpPr/>
  </sheetPr>
  <dimension ref="A1:K144"/>
  <sheetViews>
    <sheetView workbookViewId="0">
      <pane ySplit="1" topLeftCell="A2" activePane="bottomLeft" state="frozen"/>
      <selection pane="bottomLeft" activeCell="A1" sqref="A1"/>
    </sheetView>
  </sheetViews>
  <sheetFormatPr baseColWidth="8" defaultRowHeight="14.4"/>
  <cols>
    <col width="20" customWidth="1" min="1" max="1"/>
    <col width="10" customWidth="1" min="2" max="2"/>
    <col width="7" customWidth="1" min="3" max="3"/>
    <col width="24" customWidth="1" min="4" max="4"/>
    <col width="20" customWidth="1" min="5" max="5"/>
    <col width="32" customWidth="1" min="6" max="6"/>
    <col width="14" customWidth="1" min="7" max="7"/>
    <col width="10" customWidth="1" min="8" max="9"/>
    <col width="20" customWidth="1" min="10" max="10"/>
    <col width="44" customWidth="1" min="11" max="11"/>
  </cols>
  <sheetData>
    <row r="1" ht="30" customHeight="1">
      <c r="A1" s="4" t="inlineStr">
        <is>
          <t>Tesis</t>
        </is>
      </c>
      <c r="B1" s="4" t="inlineStr">
        <is>
          <t>Oda Tipi Kodu</t>
        </is>
      </c>
      <c r="C1" s="4" t="inlineStr">
        <is>
          <t>Adım No</t>
        </is>
      </c>
      <c r="D1" s="4" t="inlineStr">
        <is>
          <t>Adım Adı (otomatik)</t>
        </is>
      </c>
      <c r="E1" s="4" t="inlineStr">
        <is>
          <t>Kalem Kodu</t>
        </is>
      </c>
      <c r="F1" s="4" t="inlineStr">
        <is>
          <t>Kalem Adı (otomatik)</t>
        </is>
      </c>
      <c r="G1" s="4" t="inlineStr">
        <is>
          <t>Tür (otomatik)</t>
        </is>
      </c>
      <c r="H1" s="4" t="inlineStr">
        <is>
          <t>Olması Gereken Adet</t>
        </is>
      </c>
      <c r="I1" s="4" t="inlineStr">
        <is>
          <t>Doğrulandı mı</t>
        </is>
      </c>
      <c r="J1" s="4" t="inlineStr">
        <is>
          <t>Kaynak</t>
        </is>
      </c>
      <c r="K1" s="4" t="inlineStr">
        <is>
          <t>Not</t>
        </is>
      </c>
    </row>
    <row r="2" ht="26.4" customHeight="1">
      <c r="A2" s="5" t="inlineStr">
        <is>
          <t>Tare Houses Hotel</t>
        </is>
      </c>
      <c r="B2" s="5" t="inlineStr">
        <is>
          <t>X4</t>
        </is>
      </c>
      <c r="C2" s="7" t="n"/>
      <c r="D2" s="6">
        <f>IFERROR(INDEX('Kontrol Adımları'!$D:$D,MATCH(1,INDEX(('Kontrol Adımları'!$A$1:$A$400=B2)*('Kontrol Adımları'!$B$1:$B$400=C2),0),0)),"")</f>
        <v/>
      </c>
      <c r="E2" s="5" t="inlineStr">
        <is>
          <t>wooden_bowl</t>
        </is>
      </c>
      <c r="F2" s="6">
        <f>IFERROR(INDEX('Kalem Kataloğu'!$C$1:$C$1000,MATCH(1,INDEX(('Kalem Kataloğu'!$A$1:$A$1000=A2)*('Kalem Kataloğu'!$B$1:$B$1000=E2),0),0)),"?")</f>
        <v/>
      </c>
      <c r="G2" s="6">
        <f>IFERROR(INDEX('Kalem Kataloğu'!$D$1:$D$1000,MATCH(1,INDEX(('Kalem Kataloğu'!$A$1:$A$1000=A2)*('Kalem Kataloğu'!$B$1:$B$1000=E2),0),0)),"?")</f>
        <v/>
      </c>
      <c r="H2" s="7" t="n">
        <v>1</v>
      </c>
      <c r="I2" s="7" t="inlineStr">
        <is>
          <t>Hayır</t>
        </is>
      </c>
      <c r="J2" s="5" t="inlineStr">
        <is>
          <t>X3 ile aynı varsayıldı</t>
        </is>
      </c>
      <c r="K2" s="5" t="inlineStr">
        <is>
          <t>Mutfak seti Tare Houses tiplerinde ortak görünüyor (Drive Mutfak Gereçleri). Odada say.</t>
        </is>
      </c>
    </row>
    <row r="3">
      <c r="A3" s="5" t="inlineStr">
        <is>
          <t>Tare Houses Hotel</t>
        </is>
      </c>
      <c r="B3" s="5" t="inlineStr">
        <is>
          <t>X4</t>
        </is>
      </c>
      <c r="C3" s="7" t="n"/>
      <c r="D3" s="6">
        <f>IFERROR(INDEX('Kontrol Adımları'!$D:$D,MATCH(1,INDEX(('Kontrol Adımları'!$A$1:$A$400=B3)*('Kontrol Adımları'!$B$1:$B$400=C3),0),0)),"")</f>
        <v/>
      </c>
      <c r="E3" s="5" t="inlineStr">
        <is>
          <t>dish_rack</t>
        </is>
      </c>
      <c r="F3" s="6">
        <f>IFERROR(INDEX('Kalem Kataloğu'!$C$1:$C$1000,MATCH(1,INDEX(('Kalem Kataloğu'!$A$1:$A$1000=A3)*('Kalem Kataloğu'!$B$1:$B$1000=E3),0),0)),"?")</f>
        <v/>
      </c>
      <c r="G3" s="6">
        <f>IFERROR(INDEX('Kalem Kataloğu'!$D$1:$D$1000,MATCH(1,INDEX(('Kalem Kataloğu'!$A$1:$A$1000=A3)*('Kalem Kataloğu'!$B$1:$B$1000=E3),0),0)),"?")</f>
        <v/>
      </c>
      <c r="H3" s="7" t="n">
        <v>1</v>
      </c>
      <c r="I3" s="7" t="inlineStr">
        <is>
          <t>Hayır</t>
        </is>
      </c>
      <c r="J3" s="5" t="inlineStr">
        <is>
          <t>Drive foto (Tem. 2024)</t>
        </is>
      </c>
      <c r="K3" s="5" t="inlineStr">
        <is>
          <t xml:space="preserve"> [güven: yüksek]</t>
        </is>
      </c>
    </row>
    <row r="4" ht="66" customHeight="1">
      <c r="A4" s="5" t="inlineStr">
        <is>
          <t>Tare Houses Hotel</t>
        </is>
      </c>
      <c r="B4" s="5" t="inlineStr">
        <is>
          <t>X4</t>
        </is>
      </c>
      <c r="C4" s="7" t="n"/>
      <c r="D4" s="6">
        <f>IFERROR(INDEX('Kontrol Adımları'!$D:$D,MATCH(1,INDEX(('Kontrol Adımları'!$A$1:$A$400=B4)*('Kontrol Adımları'!$B$1:$B$400=C4),0),0)),"")</f>
        <v/>
      </c>
      <c r="E4" s="5" t="inlineStr">
        <is>
          <t>dinner_plate</t>
        </is>
      </c>
      <c r="F4" s="6">
        <f>IFERROR(INDEX('Kalem Kataloğu'!$C$1:$C$1000,MATCH(1,INDEX(('Kalem Kataloğu'!$A$1:$A$1000=A4)*('Kalem Kataloğu'!$B$1:$B$1000=E4),0),0)),"?")</f>
        <v/>
      </c>
      <c r="G4" s="6">
        <f>IFERROR(INDEX('Kalem Kataloğu'!$D$1:$D$1000,MATCH(1,INDEX(('Kalem Kataloğu'!$A$1:$A$1000=A4)*('Kalem Kataloğu'!$B$1:$B$1000=E4),0),0)),"?")</f>
        <v/>
      </c>
      <c r="H4" s="7" t="n">
        <v>4</v>
      </c>
      <c r="I4" s="7" t="inlineStr">
        <is>
          <t>Hayır</t>
        </is>
      </c>
      <c r="J4" s="5" t="inlineStr">
        <is>
          <t>Drive foto (Tem. 2024)</t>
        </is>
      </c>
      <c r="K4" s="5" t="inlineStr">
        <is>
          <t>Dolapta 4'lü yığın. Excel X3: "Büyük tabak (gri)" 4 → uyumlu. Mutfak Gereçleri klasörü oda numarası belirtmiyor (Temmuz 2024 çekimi); tüm TH tiplerinde aynı mutfak seti olduğu varsayıldı, X3 değeri 18.10.2026 videosundan. [güven: orta]</t>
        </is>
      </c>
    </row>
    <row r="5" ht="26.4" customHeight="1">
      <c r="A5" s="5" t="inlineStr">
        <is>
          <t>Tare Houses Hotel</t>
        </is>
      </c>
      <c r="B5" s="5" t="inlineStr">
        <is>
          <t>X4</t>
        </is>
      </c>
      <c r="C5" s="7" t="n"/>
      <c r="D5" s="6">
        <f>IFERROR(INDEX('Kontrol Adımları'!$D:$D,MATCH(1,INDEX(('Kontrol Adımları'!$A$1:$A$400=B5)*('Kontrol Adımları'!$B$1:$B$400=C5),0),0)),"")</f>
        <v/>
      </c>
      <c r="E5" s="5" t="inlineStr">
        <is>
          <t>sponge_caddy</t>
        </is>
      </c>
      <c r="F5" s="6">
        <f>IFERROR(INDEX('Kalem Kataloğu'!$C$1:$C$1000,MATCH(1,INDEX(('Kalem Kataloğu'!$A$1:$A$1000=A5)*('Kalem Kataloğu'!$B$1:$B$1000=E5),0),0)),"?")</f>
        <v/>
      </c>
      <c r="G5" s="6">
        <f>IFERROR(INDEX('Kalem Kataloğu'!$D$1:$D$1000,MATCH(1,INDEX(('Kalem Kataloğu'!$A$1:$A$1000=A5)*('Kalem Kataloğu'!$B$1:$B$1000=E5),0),0)),"?")</f>
        <v/>
      </c>
      <c r="H5" s="7" t="n">
        <v>1</v>
      </c>
      <c r="I5" s="7" t="inlineStr">
        <is>
          <t>Hayır</t>
        </is>
      </c>
      <c r="J5" s="5" t="inlineStr">
        <is>
          <t>Drive foto (Tem. 2024)</t>
        </is>
      </c>
      <c r="K5" s="5" t="inlineStr">
        <is>
          <t>Excel X3: fırça+sünger+deterjan standı 1. Sünger sarf. [güven: yüksek]</t>
        </is>
      </c>
    </row>
    <row r="6" ht="66" customHeight="1">
      <c r="A6" s="5" t="inlineStr">
        <is>
          <t>Tare Houses Hotel</t>
        </is>
      </c>
      <c r="B6" s="5" t="inlineStr">
        <is>
          <t>X4</t>
        </is>
      </c>
      <c r="C6" s="7" t="n"/>
      <c r="D6" s="6">
        <f>IFERROR(INDEX('Kontrol Adımları'!$D:$D,MATCH(1,INDEX(('Kontrol Adımları'!$A$1:$A$400=B6)*('Kontrol Adımları'!$B$1:$B$400=C6),0),0)),"")</f>
        <v/>
      </c>
      <c r="E6" s="5" t="inlineStr">
        <is>
          <t>bowl</t>
        </is>
      </c>
      <c r="F6" s="6">
        <f>IFERROR(INDEX('Kalem Kataloğu'!$C$1:$C$1000,MATCH(1,INDEX(('Kalem Kataloğu'!$A$1:$A$1000=A6)*('Kalem Kataloğu'!$B$1:$B$1000=E6),0),0)),"?")</f>
        <v/>
      </c>
      <c r="G6" s="6">
        <f>IFERROR(INDEX('Kalem Kataloğu'!$D$1:$D$1000,MATCH(1,INDEX(('Kalem Kataloğu'!$A$1:$A$1000=A6)*('Kalem Kataloğu'!$B$1:$B$1000=E6),0),0)),"?")</f>
        <v/>
      </c>
      <c r="H6" s="7" t="n">
        <v>4</v>
      </c>
      <c r="I6" s="7" t="inlineStr">
        <is>
          <t>Hayır</t>
        </is>
      </c>
      <c r="J6" s="5" t="inlineStr">
        <is>
          <t>Drive foto (Tem. 2024)</t>
        </is>
      </c>
      <c r="K6" s="5" t="inlineStr">
        <is>
          <t>Dolapta 4'lü yığın. Excel X3 "Kase (yeşil)" 4 → uyumlu (renk farkı algısal). Mutfak Gereçleri klasörü oda numarası belirtmiyor (Temmuz 2024 çekimi); tüm TH tiplerinde aynı mutfak seti olduğu varsayıldı, X3 değeri 18.10.2026 videosundan. [güven: orta]</t>
        </is>
      </c>
    </row>
    <row r="7" ht="26.4" customHeight="1">
      <c r="A7" s="5" t="inlineStr">
        <is>
          <t>Tare Houses Hotel</t>
        </is>
      </c>
      <c r="B7" s="5" t="inlineStr">
        <is>
          <t>X4</t>
        </is>
      </c>
      <c r="C7" s="7" t="n"/>
      <c r="D7" s="6">
        <f>IFERROR(INDEX('Kontrol Adımları'!$D:$D,MATCH(1,INDEX(('Kontrol Adımları'!$A$1:$A$400=B7)*('Kontrol Adımları'!$B$1:$B$400=C7),0),0)),"")</f>
        <v/>
      </c>
      <c r="E7" s="5" t="inlineStr">
        <is>
          <t>cutting_board</t>
        </is>
      </c>
      <c r="F7" s="6">
        <f>IFERROR(INDEX('Kalem Kataloğu'!$C$1:$C$1000,MATCH(1,INDEX(('Kalem Kataloğu'!$A$1:$A$1000=A7)*('Kalem Kataloğu'!$B$1:$B$1000=E7),0),0)),"?")</f>
        <v/>
      </c>
      <c r="G7" s="6">
        <f>IFERROR(INDEX('Kalem Kataloğu'!$D$1:$D$1000,MATCH(1,INDEX(('Kalem Kataloğu'!$A$1:$A$1000=A7)*('Kalem Kataloğu'!$B$1:$B$1000=E7),0),0)),"?")</f>
        <v/>
      </c>
      <c r="H7" s="7" t="n">
        <v>1</v>
      </c>
      <c r="I7" s="7" t="inlineStr">
        <is>
          <t>Hayır</t>
        </is>
      </c>
      <c r="J7" s="5" t="inlineStr">
        <is>
          <t>Drive foto (Tem. 2024)</t>
        </is>
      </c>
      <c r="K7" s="5" t="inlineStr">
        <is>
          <t>Bıçak seti kutusunun altında. Excel X3: kesme tahtası 1. [güven: orta]</t>
        </is>
      </c>
    </row>
    <row r="8" ht="66" customHeight="1">
      <c r="A8" s="5" t="inlineStr">
        <is>
          <t>Tare Houses Hotel</t>
        </is>
      </c>
      <c r="B8" s="5" t="inlineStr">
        <is>
          <t>X4</t>
        </is>
      </c>
      <c r="C8" s="7" t="n"/>
      <c r="D8" s="6">
        <f>IFERROR(INDEX('Kontrol Adımları'!$D:$D,MATCH(1,INDEX(('Kontrol Adımları'!$A$1:$A$400=B8)*('Kontrol Adımları'!$B$1:$B$400=C8),0),0)),"")</f>
        <v/>
      </c>
      <c r="E8" s="5" t="inlineStr">
        <is>
          <t>knife_set</t>
        </is>
      </c>
      <c r="F8" s="6">
        <f>IFERROR(INDEX('Kalem Kataloğu'!$C$1:$C$1000,MATCH(1,INDEX(('Kalem Kataloğu'!$A$1:$A$1000=A8)*('Kalem Kataloğu'!$B$1:$B$1000=E8),0),0)),"?")</f>
        <v/>
      </c>
      <c r="G8" s="6">
        <f>IFERROR(INDEX('Kalem Kataloğu'!$D$1:$D$1000,MATCH(1,INDEX(('Kalem Kataloğu'!$A$1:$A$1000=A8)*('Kalem Kataloğu'!$B$1:$B$1000=E8),0),0)),"?")</f>
        <v/>
      </c>
      <c r="H8" s="7" t="n">
        <v>1</v>
      </c>
      <c r="I8" s="7" t="inlineStr">
        <is>
          <t>Hayır</t>
        </is>
      </c>
      <c r="J8" s="5" t="inlineStr">
        <is>
          <t>Drive foto (Tem. 2024)</t>
        </is>
      </c>
      <c r="K8" s="5" t="inlineStr">
        <is>
          <t>Excel X3: Kiyomi bıçak seti 1. Kutu içi 7 parça tam mı kontrol edilmeli. Mutfak Gereçleri klasörü oda numarası belirtmiyor (Temmuz 2024 çekimi); tüm TH tiplerinde aynı mutfak seti olduğu varsayıldı, X3 değeri 18.10.2026 videosundan. [güven: yüksek]</t>
        </is>
      </c>
    </row>
    <row r="9" ht="26.4" customHeight="1">
      <c r="A9" s="5" t="inlineStr">
        <is>
          <t>Tare Houses Hotel</t>
        </is>
      </c>
      <c r="B9" s="5" t="inlineStr">
        <is>
          <t>X4</t>
        </is>
      </c>
      <c r="C9" s="7" t="n"/>
      <c r="D9" s="6">
        <f>IFERROR(INDEX('Kontrol Adımları'!$D:$D,MATCH(1,INDEX(('Kontrol Adımları'!$A$1:$A$400=B9)*('Kontrol Adımları'!$B$1:$B$400=C9),0),0)),"")</f>
        <v/>
      </c>
      <c r="E9" s="5" t="inlineStr">
        <is>
          <t>saucepan</t>
        </is>
      </c>
      <c r="F9" s="6">
        <f>IFERROR(INDEX('Kalem Kataloğu'!$C$1:$C$1000,MATCH(1,INDEX(('Kalem Kataloğu'!$A$1:$A$1000=A9)*('Kalem Kataloğu'!$B$1:$B$1000=E9),0),0)),"?")</f>
        <v/>
      </c>
      <c r="G9" s="6">
        <f>IFERROR(INDEX('Kalem Kataloğu'!$D$1:$D$1000,MATCH(1,INDEX(('Kalem Kataloğu'!$A$1:$A$1000=A9)*('Kalem Kataloğu'!$B$1:$B$1000=E9),0),0)),"?")</f>
        <v/>
      </c>
      <c r="H9" s="7" t="n">
        <v>1</v>
      </c>
      <c r="I9" s="7" t="inlineStr">
        <is>
          <t>Hayır</t>
        </is>
      </c>
      <c r="J9" s="5" t="inlineStr">
        <is>
          <t>X3 ile aynı varsayıldı</t>
        </is>
      </c>
      <c r="K9" s="5" t="inlineStr">
        <is>
          <t>Mutfak seti Tare Houses tiplerinde ortak görünüyor (Drive Mutfak Gereçleri). Odada say.</t>
        </is>
      </c>
    </row>
    <row r="10" ht="26.4" customHeight="1">
      <c r="A10" s="5" t="inlineStr">
        <is>
          <t>Tare Houses Hotel</t>
        </is>
      </c>
      <c r="B10" s="5" t="inlineStr">
        <is>
          <t>X4</t>
        </is>
      </c>
      <c r="C10" s="7" t="n"/>
      <c r="D10" s="6">
        <f>IFERROR(INDEX('Kontrol Adımları'!$D:$D,MATCH(1,INDEX(('Kontrol Adımları'!$A$1:$A$400=B10)*('Kontrol Adımları'!$B$1:$B$400=C10),0),0)),"")</f>
        <v/>
      </c>
      <c r="E10" s="5" t="inlineStr">
        <is>
          <t>mug</t>
        </is>
      </c>
      <c r="F10" s="6">
        <f>IFERROR(INDEX('Kalem Kataloğu'!$C$1:$C$1000,MATCH(1,INDEX(('Kalem Kataloğu'!$A$1:$A$1000=A10)*('Kalem Kataloğu'!$B$1:$B$1000=E10),0),0)),"?")</f>
        <v/>
      </c>
      <c r="G10" s="6">
        <f>IFERROR(INDEX('Kalem Kataloğu'!$D$1:$D$1000,MATCH(1,INDEX(('Kalem Kataloğu'!$A$1:$A$1000=A10)*('Kalem Kataloğu'!$B$1:$B$1000=E10),0),0)),"?")</f>
        <v/>
      </c>
      <c r="H10" s="7" t="n">
        <v>2</v>
      </c>
      <c r="I10" s="7" t="inlineStr">
        <is>
          <t>Hayır</t>
        </is>
      </c>
      <c r="J10" s="5" t="inlineStr">
        <is>
          <t>X3 ile aynı varsayıldı</t>
        </is>
      </c>
      <c r="K10" s="5" t="inlineStr">
        <is>
          <t>Mutfak seti Tare Houses tiplerinde ortak görünüyor (Drive Mutfak Gereçleri). Odada say.</t>
        </is>
      </c>
    </row>
    <row r="11" ht="66" customHeight="1">
      <c r="A11" s="5" t="inlineStr">
        <is>
          <t>Tare Houses Hotel</t>
        </is>
      </c>
      <c r="B11" s="5" t="inlineStr">
        <is>
          <t>X4</t>
        </is>
      </c>
      <c r="C11" s="7" t="n"/>
      <c r="D11" s="6">
        <f>IFERROR(INDEX('Kontrol Adımları'!$D:$D,MATCH(1,INDEX(('Kontrol Adımları'!$A$1:$A$400=B11)*('Kontrol Adımları'!$B$1:$B$400=C11),0),0)),"")</f>
        <v/>
      </c>
      <c r="E11" s="5" t="inlineStr">
        <is>
          <t>side_plate</t>
        </is>
      </c>
      <c r="F11" s="6">
        <f>IFERROR(INDEX('Kalem Kataloğu'!$C$1:$C$1000,MATCH(1,INDEX(('Kalem Kataloğu'!$A$1:$A$1000=A11)*('Kalem Kataloğu'!$B$1:$B$1000=E11),0),0)),"?")</f>
        <v/>
      </c>
      <c r="G11" s="6">
        <f>IFERROR(INDEX('Kalem Kataloğu'!$D$1:$D$1000,MATCH(1,INDEX(('Kalem Kataloğu'!$A$1:$A$1000=A11)*('Kalem Kataloğu'!$B$1:$B$1000=E11),0),0)),"?")</f>
        <v/>
      </c>
      <c r="H11" s="7" t="n">
        <v>4</v>
      </c>
      <c r="I11" s="7" t="inlineStr">
        <is>
          <t>Hayır</t>
        </is>
      </c>
      <c r="J11" s="5" t="inlineStr">
        <is>
          <t>Drive foto (Tem. 2024)</t>
        </is>
      </c>
      <c r="K11" s="5" t="inlineStr">
        <is>
          <t>Dolapta 4'lü yığın. Excel X3: "Küçük tabak (gri)" 4 → uyumlu. Mutfak Gereçleri klasörü oda numarası belirtmiyor (Temmuz 2024 çekimi); tüm TH tiplerinde aynı mutfak seti olduğu varsayıldı, X3 değeri 18.10.2026 videosundan. [güven: orta]</t>
        </is>
      </c>
    </row>
    <row r="12" ht="26.4" customHeight="1">
      <c r="A12" s="5" t="inlineStr">
        <is>
          <t>Tare Houses Hotel</t>
        </is>
      </c>
      <c r="B12" s="5" t="inlineStr">
        <is>
          <t>X4</t>
        </is>
      </c>
      <c r="C12" s="7" t="n"/>
      <c r="D12" s="6">
        <f>IFERROR(INDEX('Kontrol Adımları'!$D:$D,MATCH(1,INDEX(('Kontrol Adımları'!$A$1:$A$400=B12)*('Kontrol Adımları'!$B$1:$B$400=C12),0),0)),"")</f>
        <v/>
      </c>
      <c r="E12" s="5" t="inlineStr">
        <is>
          <t>small_plate_green</t>
        </is>
      </c>
      <c r="F12" s="6">
        <f>IFERROR(INDEX('Kalem Kataloğu'!$C$1:$C$1000,MATCH(1,INDEX(('Kalem Kataloğu'!$A$1:$A$1000=A12)*('Kalem Kataloğu'!$B$1:$B$1000=E12),0),0)),"?")</f>
        <v/>
      </c>
      <c r="G12" s="6">
        <f>IFERROR(INDEX('Kalem Kataloğu'!$D$1:$D$1000,MATCH(1,INDEX(('Kalem Kataloğu'!$A$1:$A$1000=A12)*('Kalem Kataloğu'!$B$1:$B$1000=E12),0),0)),"?")</f>
        <v/>
      </c>
      <c r="H12" s="7" t="n">
        <v>4</v>
      </c>
      <c r="I12" s="7" t="inlineStr">
        <is>
          <t>Hayır</t>
        </is>
      </c>
      <c r="J12" s="5" t="inlineStr">
        <is>
          <t>X3 ile aynı varsayıldı</t>
        </is>
      </c>
      <c r="K12" s="5" t="inlineStr">
        <is>
          <t>Mutfak seti Tare Houses tiplerinde ortak görünüyor (Drive Mutfak Gereçleri). Odada say.</t>
        </is>
      </c>
    </row>
    <row r="13" ht="26.4" customHeight="1">
      <c r="A13" s="5" t="inlineStr">
        <is>
          <t>Tare Houses Hotel</t>
        </is>
      </c>
      <c r="B13" s="5" t="inlineStr">
        <is>
          <t>X4</t>
        </is>
      </c>
      <c r="C13" s="7" t="n"/>
      <c r="D13" s="6">
        <f>IFERROR(INDEX('Kontrol Adımları'!$D:$D,MATCH(1,INDEX(('Kontrol Adımları'!$A$1:$A$400=B13)*('Kontrol Adımları'!$B$1:$B$400=C13),0),0)),"")</f>
        <v/>
      </c>
      <c r="E13" s="5" t="inlineStr">
        <is>
          <t>trivet</t>
        </is>
      </c>
      <c r="F13" s="6">
        <f>IFERROR(INDEX('Kalem Kataloğu'!$C$1:$C$1000,MATCH(1,INDEX(('Kalem Kataloğu'!$A$1:$A$1000=A13)*('Kalem Kataloğu'!$B$1:$B$1000=E13),0),0)),"?")</f>
        <v/>
      </c>
      <c r="G13" s="6">
        <f>IFERROR(INDEX('Kalem Kataloğu'!$D$1:$D$1000,MATCH(1,INDEX(('Kalem Kataloğu'!$A$1:$A$1000=A13)*('Kalem Kataloğu'!$B$1:$B$1000=E13),0),0)),"?")</f>
        <v/>
      </c>
      <c r="H13" s="7" t="n">
        <v>1</v>
      </c>
      <c r="I13" s="7" t="inlineStr">
        <is>
          <t>Hayır</t>
        </is>
      </c>
      <c r="J13" s="5" t="inlineStr">
        <is>
          <t>X3 ile aynı varsayıldı</t>
        </is>
      </c>
      <c r="K13" s="5" t="inlineStr">
        <is>
          <t>Mutfak seti Tare Houses tiplerinde ortak görünüyor (Drive Mutfak Gereçleri). Odada say.</t>
        </is>
      </c>
    </row>
    <row r="14" ht="52.8" customHeight="1">
      <c r="A14" s="5" t="inlineStr">
        <is>
          <t>Tare Houses Hotel</t>
        </is>
      </c>
      <c r="B14" s="5" t="inlineStr">
        <is>
          <t>X4</t>
        </is>
      </c>
      <c r="C14" s="7" t="n"/>
      <c r="D14" s="6">
        <f>IFERROR(INDEX('Kontrol Adımları'!$D:$D,MATCH(1,INDEX(('Kontrol Adımları'!$A$1:$A$400=B14)*('Kontrol Adımları'!$B$1:$B$400=C14),0),0)),"")</f>
        <v/>
      </c>
      <c r="E14" s="5" t="inlineStr">
        <is>
          <t>silicone_slotted</t>
        </is>
      </c>
      <c r="F14" s="6">
        <f>IFERROR(INDEX('Kalem Kataloğu'!$C$1:$C$1000,MATCH(1,INDEX(('Kalem Kataloğu'!$A$1:$A$1000=A14)*('Kalem Kataloğu'!$B$1:$B$1000=E14),0),0)),"?")</f>
        <v/>
      </c>
      <c r="G14" s="6">
        <f>IFERROR(INDEX('Kalem Kataloğu'!$D$1:$D$1000,MATCH(1,INDEX(('Kalem Kataloğu'!$A$1:$A$1000=A14)*('Kalem Kataloğu'!$B$1:$B$1000=E14),0),0)),"?")</f>
        <v/>
      </c>
      <c r="H14" s="7" t="n">
        <v>1</v>
      </c>
      <c r="I14" s="7" t="inlineStr">
        <is>
          <t>Hayır</t>
        </is>
      </c>
      <c r="J14" s="5" t="inlineStr">
        <is>
          <t>Drive foto (Tem. 2024)</t>
        </is>
      </c>
      <c r="K14" s="5" t="inlineStr">
        <is>
          <t>Mutfak Gereçleri klasörü oda numarası belirtmiyor (Temmuz 2024 çekimi); tüm TH tiplerinde aynı mutfak seti olduğu varsayıldı, X3 değeri 18.10.2026 videosundan. [güven: yüksek]</t>
        </is>
      </c>
    </row>
    <row r="15" ht="52.8" customHeight="1">
      <c r="A15" s="5" t="inlineStr">
        <is>
          <t>Tare Houses Hotel</t>
        </is>
      </c>
      <c r="B15" s="5" t="inlineStr">
        <is>
          <t>X4</t>
        </is>
      </c>
      <c r="C15" s="7" t="n"/>
      <c r="D15" s="6">
        <f>IFERROR(INDEX('Kontrol Adımları'!$D:$D,MATCH(1,INDEX(('Kontrol Adımları'!$A$1:$A$400=B15)*('Kontrol Adımları'!$B$1:$B$400=C15),0),0)),"")</f>
        <v/>
      </c>
      <c r="E15" s="5" t="inlineStr">
        <is>
          <t>silicone_spoon</t>
        </is>
      </c>
      <c r="F15" s="6">
        <f>IFERROR(INDEX('Kalem Kataloğu'!$C$1:$C$1000,MATCH(1,INDEX(('Kalem Kataloğu'!$A$1:$A$1000=A15)*('Kalem Kataloğu'!$B$1:$B$1000=E15),0),0)),"?")</f>
        <v/>
      </c>
      <c r="G15" s="6">
        <f>IFERROR(INDEX('Kalem Kataloğu'!$D$1:$D$1000,MATCH(1,INDEX(('Kalem Kataloğu'!$A$1:$A$1000=A15)*('Kalem Kataloğu'!$B$1:$B$1000=E15),0),0)),"?")</f>
        <v/>
      </c>
      <c r="H15" s="7" t="n">
        <v>1</v>
      </c>
      <c r="I15" s="7" t="inlineStr">
        <is>
          <t>Hayır</t>
        </is>
      </c>
      <c r="J15" s="5" t="inlineStr">
        <is>
          <t>Drive foto (Tem. 2024)</t>
        </is>
      </c>
      <c r="K15" s="5" t="inlineStr">
        <is>
          <t>Mutfak Gereçleri klasörü oda numarası belirtmiyor (Temmuz 2024 çekimi); tüm TH tiplerinde aynı mutfak seti olduğu varsayıldı, X3 değeri 18.10.2026 videosundan. [güven: yüksek]</t>
        </is>
      </c>
    </row>
    <row r="16" ht="66" customHeight="1">
      <c r="A16" s="5" t="inlineStr">
        <is>
          <t>Tare Houses Hotel</t>
        </is>
      </c>
      <c r="B16" s="5" t="inlineStr">
        <is>
          <t>X4</t>
        </is>
      </c>
      <c r="C16" s="7" t="n"/>
      <c r="D16" s="6">
        <f>IFERROR(INDEX('Kontrol Adımları'!$D:$D,MATCH(1,INDEX(('Kontrol Adımları'!$A$1:$A$400=B16)*('Kontrol Adımları'!$B$1:$B$400=C16),0),0)),"")</f>
        <v/>
      </c>
      <c r="E16" s="5" t="inlineStr">
        <is>
          <t>sauce_bowl</t>
        </is>
      </c>
      <c r="F16" s="6">
        <f>IFERROR(INDEX('Kalem Kataloğu'!$C$1:$C$1000,MATCH(1,INDEX(('Kalem Kataloğu'!$A$1:$A$1000=A16)*('Kalem Kataloğu'!$B$1:$B$1000=E16),0),0)),"?")</f>
        <v/>
      </c>
      <c r="G16" s="6">
        <f>IFERROR(INDEX('Kalem Kataloğu'!$D$1:$D$1000,MATCH(1,INDEX(('Kalem Kataloğu'!$A$1:$A$1000=A16)*('Kalem Kataloğu'!$B$1:$B$1000=E16),0),0)),"?")</f>
        <v/>
      </c>
      <c r="H16" s="7" t="n">
        <v>4</v>
      </c>
      <c r="I16" s="7" t="inlineStr">
        <is>
          <t>Hayır</t>
        </is>
      </c>
      <c r="J16" s="5" t="inlineStr">
        <is>
          <t>Drive foto (Tem. 2024)</t>
        </is>
      </c>
      <c r="K16" s="5" t="inlineStr">
        <is>
          <t>Fotoğrafta 4'lü yığın. Excel X3 "Sos kasesi (krem)" 4 → uyumlu. Mutfak Gereçleri klasörü oda numarası belirtmiyor (Temmuz 2024 çekimi); tüm TH tiplerinde aynı mutfak seti olduğu varsayıldı, X3 değeri 18.10.2026 videosundan. [güven: orta]</t>
        </is>
      </c>
    </row>
    <row r="17" ht="66" customHeight="1">
      <c r="A17" s="5" t="inlineStr">
        <is>
          <t>Tare Houses Hotel</t>
        </is>
      </c>
      <c r="B17" s="5" t="inlineStr">
        <is>
          <t>X4</t>
        </is>
      </c>
      <c r="C17" s="7" t="n"/>
      <c r="D17" s="6">
        <f>IFERROR(INDEX('Kontrol Adımları'!$D:$D,MATCH(1,INDEX(('Kontrol Adımları'!$A$1:$A$400=B17)*('Kontrol Adımları'!$B$1:$B$400=C17),0),0)),"")</f>
        <v/>
      </c>
      <c r="E17" s="5" t="inlineStr">
        <is>
          <t>water_glass</t>
        </is>
      </c>
      <c r="F17" s="6">
        <f>IFERROR(INDEX('Kalem Kataloğu'!$C$1:$C$1000,MATCH(1,INDEX(('Kalem Kataloğu'!$A$1:$A$1000=A17)*('Kalem Kataloğu'!$B$1:$B$1000=E17),0),0)),"?")</f>
        <v/>
      </c>
      <c r="G17" s="6">
        <f>IFERROR(INDEX('Kalem Kataloğu'!$D$1:$D$1000,MATCH(1,INDEX(('Kalem Kataloğu'!$A$1:$A$1000=A17)*('Kalem Kataloğu'!$B$1:$B$1000=E17),0),0)),"?")</f>
        <v/>
      </c>
      <c r="H17" s="7" t="n">
        <v>4</v>
      </c>
      <c r="I17" s="7" t="inlineStr">
        <is>
          <t>Hayır</t>
        </is>
      </c>
      <c r="J17" s="5" t="inlineStr">
        <is>
          <t>Drive foto (Tem. 2024)</t>
        </is>
      </c>
      <c r="K17" s="5" t="inlineStr">
        <is>
          <t>Fotoğrafta 4. Excel X3: 4 (doğrulanmadı). Mutfak Gereçleri klasörü oda numarası belirtmiyor (Temmuz 2024 çekimi); tüm TH tiplerinde aynı mutfak seti olduğu varsayıldı, X3 değeri 18.10.2026 videosundan. [güven: orta]</t>
        </is>
      </c>
    </row>
    <row r="18" ht="26.4" customHeight="1">
      <c r="A18" s="5" t="inlineStr">
        <is>
          <t>Tare Houses Hotel</t>
        </is>
      </c>
      <c r="B18" s="5" t="inlineStr">
        <is>
          <t>X4</t>
        </is>
      </c>
      <c r="C18" s="7" t="n"/>
      <c r="D18" s="6">
        <f>IFERROR(INDEX('Kontrol Adımları'!$D:$D,MATCH(1,INDEX(('Kontrol Adımları'!$A$1:$A$400=B18)*('Kontrol Adımları'!$B$1:$B$400=C18),0),0)),"")</f>
        <v/>
      </c>
      <c r="E18" s="5" t="inlineStr">
        <is>
          <t>frying_pan</t>
        </is>
      </c>
      <c r="F18" s="6">
        <f>IFERROR(INDEX('Kalem Kataloğu'!$C$1:$C$1000,MATCH(1,INDEX(('Kalem Kataloğu'!$A$1:$A$1000=A18)*('Kalem Kataloğu'!$B$1:$B$1000=E18),0),0)),"?")</f>
        <v/>
      </c>
      <c r="G18" s="6">
        <f>IFERROR(INDEX('Kalem Kataloğu'!$D$1:$D$1000,MATCH(1,INDEX(('Kalem Kataloğu'!$A$1:$A$1000=A18)*('Kalem Kataloğu'!$B$1:$B$1000=E18),0),0)),"?")</f>
        <v/>
      </c>
      <c r="H18" s="7" t="n">
        <v>1</v>
      </c>
      <c r="I18" s="7" t="inlineStr">
        <is>
          <t>Hayır</t>
        </is>
      </c>
      <c r="J18" s="5" t="inlineStr">
        <is>
          <t>X3 ile aynı varsayıldı</t>
        </is>
      </c>
      <c r="K18" s="5" t="inlineStr">
        <is>
          <t>Mutfak seti Tare Houses tiplerinde ortak görünüyor (Drive Mutfak Gereçleri). Odada say.</t>
        </is>
      </c>
    </row>
    <row r="19" ht="26.4" customHeight="1">
      <c r="A19" s="5" t="inlineStr">
        <is>
          <t>Tare Houses Hotel</t>
        </is>
      </c>
      <c r="B19" s="5" t="inlineStr">
        <is>
          <t>X4</t>
        </is>
      </c>
      <c r="C19" s="7" t="n"/>
      <c r="D19" s="6">
        <f>IFERROR(INDEX('Kontrol Adımları'!$D:$D,MATCH(1,INDEX(('Kontrol Adımları'!$A$1:$A$400=B19)*('Kontrol Adımları'!$B$1:$B$400=C19),0),0)),"")</f>
        <v/>
      </c>
      <c r="E19" s="5" t="inlineStr">
        <is>
          <t>pot</t>
        </is>
      </c>
      <c r="F19" s="6">
        <f>IFERROR(INDEX('Kalem Kataloğu'!$C$1:$C$1000,MATCH(1,INDEX(('Kalem Kataloğu'!$A$1:$A$1000=A19)*('Kalem Kataloğu'!$B$1:$B$1000=E19),0),0)),"?")</f>
        <v/>
      </c>
      <c r="G19" s="6">
        <f>IFERROR(INDEX('Kalem Kataloğu'!$D$1:$D$1000,MATCH(1,INDEX(('Kalem Kataloğu'!$A$1:$A$1000=A19)*('Kalem Kataloğu'!$B$1:$B$1000=E19),0),0)),"?")</f>
        <v/>
      </c>
      <c r="H19" s="7" t="n">
        <v>2</v>
      </c>
      <c r="I19" s="7" t="inlineStr">
        <is>
          <t>Hayır</t>
        </is>
      </c>
      <c r="J19" s="5" t="inlineStr">
        <is>
          <t>X3 ile aynı varsayıldı</t>
        </is>
      </c>
      <c r="K19" s="5" t="inlineStr">
        <is>
          <t>Mutfak seti Tare Houses tiplerinde ortak görünüyor (Drive Mutfak Gereçleri). Odada say.</t>
        </is>
      </c>
    </row>
    <row r="20" ht="26.4" customHeight="1">
      <c r="A20" s="5" t="inlineStr">
        <is>
          <t>Tare Houses Hotel</t>
        </is>
      </c>
      <c r="B20" s="5" t="inlineStr">
        <is>
          <t>X4</t>
        </is>
      </c>
      <c r="C20" s="7" t="n"/>
      <c r="D20" s="6">
        <f>IFERROR(INDEX('Kontrol Adımları'!$D:$D,MATCH(1,INDEX(('Kontrol Adımları'!$A$1:$A$400=B20)*('Kontrol Adımları'!$B$1:$B$400=C20),0),0)),"")</f>
        <v/>
      </c>
      <c r="E20" s="5" t="inlineStr">
        <is>
          <t>salt_pepper_set</t>
        </is>
      </c>
      <c r="F20" s="6">
        <f>IFERROR(INDEX('Kalem Kataloğu'!$C$1:$C$1000,MATCH(1,INDEX(('Kalem Kataloğu'!$A$1:$A$1000=A20)*('Kalem Kataloğu'!$B$1:$B$1000=E20),0),0)),"?")</f>
        <v/>
      </c>
      <c r="G20" s="6">
        <f>IFERROR(INDEX('Kalem Kataloğu'!$D$1:$D$1000,MATCH(1,INDEX(('Kalem Kataloğu'!$A$1:$A$1000=A20)*('Kalem Kataloğu'!$B$1:$B$1000=E20),0),0)),"?")</f>
        <v/>
      </c>
      <c r="H20" s="7" t="n">
        <v>1</v>
      </c>
      <c r="I20" s="7" t="inlineStr">
        <is>
          <t>Hayır</t>
        </is>
      </c>
      <c r="J20" s="5" t="inlineStr">
        <is>
          <t>Drive foto (Tem. 2024)</t>
        </is>
      </c>
      <c r="K20" s="5" t="inlineStr">
        <is>
          <t>Excel X3: tuz-biber-kürdan standı 1. [güven: yüksek]</t>
        </is>
      </c>
    </row>
    <row r="21" ht="26.4" customHeight="1">
      <c r="A21" s="5" t="inlineStr">
        <is>
          <t>Tare Houses Hotel</t>
        </is>
      </c>
      <c r="B21" s="5" t="inlineStr">
        <is>
          <t>X4</t>
        </is>
      </c>
      <c r="C21" s="7" t="n"/>
      <c r="D21" s="6">
        <f>IFERROR(INDEX('Kontrol Adımları'!$D:$D,MATCH(1,INDEX(('Kontrol Adımları'!$A$1:$A$400=B21)*('Kontrol Adımları'!$B$1:$B$400=C21),0),0)),"")</f>
        <v/>
      </c>
      <c r="E21" s="5" t="inlineStr">
        <is>
          <t>oil_bottle</t>
        </is>
      </c>
      <c r="F21" s="6">
        <f>IFERROR(INDEX('Kalem Kataloğu'!$C$1:$C$1000,MATCH(1,INDEX(('Kalem Kataloğu'!$A$1:$A$1000=A21)*('Kalem Kataloğu'!$B$1:$B$1000=E21),0),0)),"?")</f>
        <v/>
      </c>
      <c r="G21" s="6">
        <f>IFERROR(INDEX('Kalem Kataloğu'!$D$1:$D$1000,MATCH(1,INDEX(('Kalem Kataloğu'!$A$1:$A$1000=A21)*('Kalem Kataloğu'!$B$1:$B$1000=E21),0),0)),"?")</f>
        <v/>
      </c>
      <c r="H21" s="7" t="n">
        <v>1</v>
      </c>
      <c r="I21" s="7" t="inlineStr">
        <is>
          <t>Hayır</t>
        </is>
      </c>
      <c r="J21" s="5" t="inlineStr">
        <is>
          <t>X3 ile aynı varsayıldı</t>
        </is>
      </c>
      <c r="K21" s="5" t="inlineStr">
        <is>
          <t>Mutfak seti Tare Houses tiplerinde ortak görünüyor (Drive Mutfak Gereçleri). Odada say.</t>
        </is>
      </c>
    </row>
    <row r="22" ht="26.4" customHeight="1">
      <c r="A22" s="5" t="inlineStr">
        <is>
          <t>Tare Houses Hotel</t>
        </is>
      </c>
      <c r="B22" s="5" t="inlineStr">
        <is>
          <t>X4</t>
        </is>
      </c>
      <c r="C22" s="7" t="n"/>
      <c r="D22" s="6">
        <f>IFERROR(INDEX('Kontrol Adımları'!$D:$D,MATCH(1,INDEX(('Kontrol Adımları'!$A$1:$A$400=B22)*('Kontrol Adımları'!$B$1:$B$400=C22),0),0)),"")</f>
        <v/>
      </c>
      <c r="E22" s="5" t="inlineStr">
        <is>
          <t>knife</t>
        </is>
      </c>
      <c r="F22" s="6">
        <f>IFERROR(INDEX('Kalem Kataloğu'!$C$1:$C$1000,MATCH(1,INDEX(('Kalem Kataloğu'!$A$1:$A$1000=A22)*('Kalem Kataloğu'!$B$1:$B$1000=E22),0),0)),"?")</f>
        <v/>
      </c>
      <c r="G22" s="6">
        <f>IFERROR(INDEX('Kalem Kataloğu'!$D$1:$D$1000,MATCH(1,INDEX(('Kalem Kataloğu'!$A$1:$A$1000=A22)*('Kalem Kataloğu'!$B$1:$B$1000=E22),0),0)),"?")</f>
        <v/>
      </c>
      <c r="H22" s="7" t="n">
        <v>6</v>
      </c>
      <c r="I22" s="7" t="inlineStr">
        <is>
          <t>Hayır</t>
        </is>
      </c>
      <c r="J22" s="5" t="inlineStr">
        <is>
          <t>X3 ile aynı varsayıldı</t>
        </is>
      </c>
      <c r="K22" s="5" t="inlineStr">
        <is>
          <t>Mutfak seti Tare Houses tiplerinde ortak görünüyor (Drive Mutfak Gereçleri). Odada say.</t>
        </is>
      </c>
    </row>
    <row r="23" ht="26.4" customHeight="1">
      <c r="A23" s="5" t="inlineStr">
        <is>
          <t>Tare Houses Hotel</t>
        </is>
      </c>
      <c r="B23" s="5" t="inlineStr">
        <is>
          <t>X4</t>
        </is>
      </c>
      <c r="C23" s="7" t="n"/>
      <c r="D23" s="6">
        <f>IFERROR(INDEX('Kontrol Adımları'!$D:$D,MATCH(1,INDEX(('Kontrol Adımları'!$A$1:$A$400=B23)*('Kontrol Adımları'!$B$1:$B$400=C23),0),0)),"")</f>
        <v/>
      </c>
      <c r="E23" s="5" t="inlineStr">
        <is>
          <t>spoon</t>
        </is>
      </c>
      <c r="F23" s="6">
        <f>IFERROR(INDEX('Kalem Kataloğu'!$C$1:$C$1000,MATCH(1,INDEX(('Kalem Kataloğu'!$A$1:$A$1000=A23)*('Kalem Kataloğu'!$B$1:$B$1000=E23),0),0)),"?")</f>
        <v/>
      </c>
      <c r="G23" s="6">
        <f>IFERROR(INDEX('Kalem Kataloğu'!$D$1:$D$1000,MATCH(1,INDEX(('Kalem Kataloğu'!$A$1:$A$1000=A23)*('Kalem Kataloğu'!$B$1:$B$1000=E23),0),0)),"?")</f>
        <v/>
      </c>
      <c r="H23" s="7" t="n">
        <v>6</v>
      </c>
      <c r="I23" s="7" t="inlineStr">
        <is>
          <t>Hayır</t>
        </is>
      </c>
      <c r="J23" s="5" t="inlineStr">
        <is>
          <t>X3 ile aynı varsayıldı</t>
        </is>
      </c>
      <c r="K23" s="5" t="inlineStr">
        <is>
          <t>Mutfak seti Tare Houses tiplerinde ortak görünüyor (Drive Mutfak Gereçleri). Odada say.</t>
        </is>
      </c>
    </row>
    <row r="24" ht="26.4" customHeight="1">
      <c r="A24" s="5" t="inlineStr">
        <is>
          <t>Tare Houses Hotel</t>
        </is>
      </c>
      <c r="B24" s="5" t="inlineStr">
        <is>
          <t>X4</t>
        </is>
      </c>
      <c r="C24" s="7" t="n"/>
      <c r="D24" s="6">
        <f>IFERROR(INDEX('Kontrol Adımları'!$D:$D,MATCH(1,INDEX(('Kontrol Adımları'!$A$1:$A$400=B24)*('Kontrol Adımları'!$B$1:$B$400=C24),0),0)),"")</f>
        <v/>
      </c>
      <c r="E24" s="5" t="inlineStr">
        <is>
          <t>fork</t>
        </is>
      </c>
      <c r="F24" s="6">
        <f>IFERROR(INDEX('Kalem Kataloğu'!$C$1:$C$1000,MATCH(1,INDEX(('Kalem Kataloğu'!$A$1:$A$1000=A24)*('Kalem Kataloğu'!$B$1:$B$1000=E24),0),0)),"?")</f>
        <v/>
      </c>
      <c r="G24" s="6">
        <f>IFERROR(INDEX('Kalem Kataloğu'!$D$1:$D$1000,MATCH(1,INDEX(('Kalem Kataloğu'!$A$1:$A$1000=A24)*('Kalem Kataloğu'!$B$1:$B$1000=E24),0),0)),"?")</f>
        <v/>
      </c>
      <c r="H24" s="7" t="n">
        <v>6</v>
      </c>
      <c r="I24" s="7" t="inlineStr">
        <is>
          <t>Hayır</t>
        </is>
      </c>
      <c r="J24" s="5" t="inlineStr">
        <is>
          <t>X3 ile aynı varsayıldı</t>
        </is>
      </c>
      <c r="K24" s="5" t="inlineStr">
        <is>
          <t>Mutfak seti Tare Houses tiplerinde ortak görünüyor (Drive Mutfak Gereçleri). Odada say.</t>
        </is>
      </c>
    </row>
    <row r="25" ht="52.8" customHeight="1">
      <c r="A25" s="5" t="inlineStr">
        <is>
          <t>Tare Houses Hotel</t>
        </is>
      </c>
      <c r="B25" s="5" t="inlineStr">
        <is>
          <t>X4</t>
        </is>
      </c>
      <c r="C25" s="7" t="n"/>
      <c r="D25" s="6">
        <f>IFERROR(INDEX('Kontrol Adımları'!$D:$D,MATCH(1,INDEX(('Kontrol Adımları'!$A$1:$A$400=B25)*('Kontrol Adımları'!$B$1:$B$400=C25),0),0)),"")</f>
        <v/>
      </c>
      <c r="E25" s="5" t="inlineStr">
        <is>
          <t>cutlery_tray</t>
        </is>
      </c>
      <c r="F25" s="6">
        <f>IFERROR(INDEX('Kalem Kataloğu'!$C$1:$C$1000,MATCH(1,INDEX(('Kalem Kataloğu'!$A$1:$A$1000=A25)*('Kalem Kataloğu'!$B$1:$B$1000=E25),0),0)),"?")</f>
        <v/>
      </c>
      <c r="G25" s="6">
        <f>IFERROR(INDEX('Kalem Kataloğu'!$D$1:$D$1000,MATCH(1,INDEX(('Kalem Kataloğu'!$A$1:$A$1000=A25)*('Kalem Kataloğu'!$B$1:$B$1000=E25),0),0)),"?")</f>
        <v/>
      </c>
      <c r="H25" s="7" t="n">
        <v>1</v>
      </c>
      <c r="I25" s="7" t="inlineStr">
        <is>
          <t>Hayır</t>
        </is>
      </c>
      <c r="J25" s="5" t="inlineStr">
        <is>
          <t>Drive foto (Tem. 2024)</t>
        </is>
      </c>
      <c r="K25" s="5" t="inlineStr">
        <is>
          <t>Çay kaşığı Excel X3: 5. Mutfak Gereçleri klasörü oda numarası belirtmiyor (Temmuz 2024 çekimi); tüm TH tiplerinde aynı mutfak seti olduğu varsayıldı, X3 değeri 18.10.2026 videosundan. [güven: yüksek]</t>
        </is>
      </c>
    </row>
    <row r="26" ht="26.4" customHeight="1">
      <c r="A26" s="5" t="inlineStr">
        <is>
          <t>Tare Houses Hotel</t>
        </is>
      </c>
      <c r="B26" s="5" t="inlineStr">
        <is>
          <t>X4</t>
        </is>
      </c>
      <c r="C26" s="7" t="n"/>
      <c r="D26" s="6">
        <f>IFERROR(INDEX('Kontrol Adımları'!$D:$D,MATCH(1,INDEX(('Kontrol Adımları'!$A$1:$A$400=B26)*('Kontrol Adımları'!$B$1:$B$400=C26),0),0)),"")</f>
        <v/>
      </c>
      <c r="E26" s="5" t="inlineStr">
        <is>
          <t>teaspoon</t>
        </is>
      </c>
      <c r="F26" s="6">
        <f>IFERROR(INDEX('Kalem Kataloğu'!$C$1:$C$1000,MATCH(1,INDEX(('Kalem Kataloğu'!$A$1:$A$1000=A26)*('Kalem Kataloğu'!$B$1:$B$1000=E26),0),0)),"?")</f>
        <v/>
      </c>
      <c r="G26" s="6">
        <f>IFERROR(INDEX('Kalem Kataloğu'!$D$1:$D$1000,MATCH(1,INDEX(('Kalem Kataloğu'!$A$1:$A$1000=A26)*('Kalem Kataloğu'!$B$1:$B$1000=E26),0),0)),"?")</f>
        <v/>
      </c>
      <c r="H26" s="7" t="n">
        <v>5</v>
      </c>
      <c r="I26" s="7" t="inlineStr">
        <is>
          <t>Hayır</t>
        </is>
      </c>
      <c r="J26" s="5" t="inlineStr">
        <is>
          <t>X3 ile aynı varsayıldı</t>
        </is>
      </c>
      <c r="K26" s="5" t="inlineStr">
        <is>
          <t>Mutfak seti Tare Houses tiplerinde ortak görünüyor (Drive Mutfak Gereçleri). Odada say.</t>
        </is>
      </c>
    </row>
    <row r="27" ht="79.2" customHeight="1">
      <c r="A27" s="5" t="inlineStr">
        <is>
          <t>Tare Houses Hotel</t>
        </is>
      </c>
      <c r="B27" s="5" t="inlineStr">
        <is>
          <t>X4</t>
        </is>
      </c>
      <c r="C27" s="7" t="n"/>
      <c r="D27" s="6">
        <f>IFERROR(INDEX('Kontrol Adımları'!$D:$D,MATCH(1,INDEX(('Kontrol Adımları'!$A$1:$A$400=B27)*('Kontrol Adımları'!$B$1:$B$400=C27),0),0)),"")</f>
        <v/>
      </c>
      <c r="E27" s="5" t="inlineStr">
        <is>
          <t>deep_plate</t>
        </is>
      </c>
      <c r="F27" s="6">
        <f>IFERROR(INDEX('Kalem Kataloğu'!$C$1:$C$1000,MATCH(1,INDEX(('Kalem Kataloğu'!$A$1:$A$1000=A27)*('Kalem Kataloğu'!$B$1:$B$1000=E27),0),0)),"?")</f>
        <v/>
      </c>
      <c r="G27" s="6">
        <f>IFERROR(INDEX('Kalem Kataloğu'!$D$1:$D$1000,MATCH(1,INDEX(('Kalem Kataloğu'!$A$1:$A$1000=A27)*('Kalem Kataloğu'!$B$1:$B$1000=E27),0),0)),"?")</f>
        <v/>
      </c>
      <c r="H27" s="7" t="n">
        <v>4</v>
      </c>
      <c r="I27" s="7" t="inlineStr">
        <is>
          <t>Hayır</t>
        </is>
      </c>
      <c r="J27" s="5" t="inlineStr">
        <is>
          <t>Drive foto (Tem. 2024)</t>
        </is>
      </c>
      <c r="K27" s="5" t="inlineStr">
        <is>
          <t>Dolapta 4'lü yığın. Excel X3 "Çukur tabak (yeşil)" 4 — fotoğrafta renk hardal-zeytin; aynı ürün olmalı. Mutfak Gereçleri klasörü oda numarası belirtmiyor (Temmuz 2024 çekimi); tüm TH tiplerinde aynı mutfak seti olduğu varsayıldı, X3 değeri 18.10.2026 videosundan. [güven: orta]</t>
        </is>
      </c>
    </row>
    <row r="28" ht="26.4" customHeight="1">
      <c r="A28" s="5" t="inlineStr">
        <is>
          <t>Tare Houses Hotel</t>
        </is>
      </c>
      <c r="B28" s="5" t="inlineStr">
        <is>
          <t>X4</t>
        </is>
      </c>
      <c r="C28" s="7" t="n"/>
      <c r="D28" s="6">
        <f>IFERROR(INDEX('Kontrol Adımları'!$D:$D,MATCH(1,INDEX(('Kontrol Adımları'!$A$1:$A$400=B28)*('Kontrol Adımları'!$B$1:$B$400=C28),0),0)),"")</f>
        <v/>
      </c>
      <c r="E28" s="5" t="inlineStr">
        <is>
          <t>corkscrew</t>
        </is>
      </c>
      <c r="F28" s="6">
        <f>IFERROR(INDEX('Kalem Kataloğu'!$C$1:$C$1000,MATCH(1,INDEX(('Kalem Kataloğu'!$A$1:$A$1000=A28)*('Kalem Kataloğu'!$B$1:$B$1000=E28),0),0)),"?")</f>
        <v/>
      </c>
      <c r="G28" s="6">
        <f>IFERROR(INDEX('Kalem Kataloğu'!$D$1:$D$1000,MATCH(1,INDEX(('Kalem Kataloğu'!$A$1:$A$1000=A28)*('Kalem Kataloğu'!$B$1:$B$1000=E28),0),0)),"?")</f>
        <v/>
      </c>
      <c r="H28" s="7" t="n">
        <v>1</v>
      </c>
      <c r="I28" s="7" t="inlineStr">
        <is>
          <t>Hayır</t>
        </is>
      </c>
      <c r="J28" s="5" t="inlineStr">
        <is>
          <t>Drive foto (Tem. 2024)</t>
        </is>
      </c>
      <c r="K28" s="5" t="inlineStr">
        <is>
          <t>Kaşıklığın sağ bölmesinde. Excel X3: 1. [güven: orta]</t>
        </is>
      </c>
    </row>
    <row r="29" ht="26.4" customHeight="1">
      <c r="A29" s="5" t="inlineStr">
        <is>
          <t>Tare Houses Hotel</t>
        </is>
      </c>
      <c r="B29" s="5" t="inlineStr">
        <is>
          <t>X4</t>
        </is>
      </c>
      <c r="C29" s="7" t="n"/>
      <c r="D29" s="6">
        <f>IFERROR(INDEX('Kontrol Adımları'!$D:$D,MATCH(1,INDEX(('Kontrol Adımları'!$A$1:$A$400=B29)*('Kontrol Adımları'!$B$1:$B$400=C29),0),0)),"")</f>
        <v/>
      </c>
      <c r="E29" s="5" t="inlineStr">
        <is>
          <t>wine_glass</t>
        </is>
      </c>
      <c r="F29" s="6">
        <f>IFERROR(INDEX('Kalem Kataloğu'!$C$1:$C$1000,MATCH(1,INDEX(('Kalem Kataloğu'!$A$1:$A$1000=A29)*('Kalem Kataloğu'!$B$1:$B$1000=E29),0),0)),"?")</f>
        <v/>
      </c>
      <c r="G29" s="6">
        <f>IFERROR(INDEX('Kalem Kataloğu'!$D$1:$D$1000,MATCH(1,INDEX(('Kalem Kataloğu'!$A$1:$A$1000=A29)*('Kalem Kataloğu'!$B$1:$B$1000=E29),0),0)),"?")</f>
        <v/>
      </c>
      <c r="H29" s="7" t="n">
        <v>2</v>
      </c>
      <c r="I29" s="7" t="inlineStr">
        <is>
          <t>Hayır</t>
        </is>
      </c>
      <c r="J29" s="5" t="inlineStr">
        <is>
          <t>X3 ile aynı varsayıldı</t>
        </is>
      </c>
      <c r="K29" s="5" t="inlineStr">
        <is>
          <t>Mutfak seti Tare Houses tiplerinde ortak görünüyor (Drive Mutfak Gereçleri). Odada say.</t>
        </is>
      </c>
    </row>
    <row r="30" ht="26.4" customHeight="1">
      <c r="A30" s="5" t="inlineStr">
        <is>
          <t>Tare Suites Urla</t>
        </is>
      </c>
      <c r="B30" s="5" t="inlineStr">
        <is>
          <t>DFS</t>
        </is>
      </c>
      <c r="C30" s="7" t="n"/>
      <c r="D30" s="6">
        <f>IFERROR(INDEX('Kontrol Adımları'!$D:$D,MATCH(1,INDEX(('Kontrol Adımları'!$A$1:$A$400=B30)*('Kontrol Adımları'!$B$1:$B$400=C30),0),0)),"")</f>
        <v/>
      </c>
      <c r="E30" s="5" t="inlineStr">
        <is>
          <t>cift_cidarli_bardak</t>
        </is>
      </c>
      <c r="F30" s="6">
        <f>IFERROR(INDEX('Kalem Kataloğu'!$C$1:$C$1000,MATCH(1,INDEX(('Kalem Kataloğu'!$A$1:$A$1000=A30)*('Kalem Kataloğu'!$B$1:$B$1000=E30),0),0)),"?")</f>
        <v/>
      </c>
      <c r="G30" s="6">
        <f>IFERROR(INDEX('Kalem Kataloğu'!$D$1:$D$1000,MATCH(1,INDEX(('Kalem Kataloğu'!$A$1:$A$1000=A30)*('Kalem Kataloğu'!$B$1:$B$1000=E30),0),0)),"?")</f>
        <v/>
      </c>
      <c r="H30" s="7" t="n">
        <v>2</v>
      </c>
      <c r="I30" s="7" t="inlineStr">
        <is>
          <t>Hayır</t>
        </is>
      </c>
      <c r="J30" s="5" t="inlineStr">
        <is>
          <t>Drive foto</t>
        </is>
      </c>
      <c r="K30" s="5" t="inlineStr">
        <is>
          <t>DFS: biri kulplu, biri kulpsuz [güven: high]</t>
        </is>
      </c>
    </row>
    <row r="31" ht="26.4" customHeight="1">
      <c r="A31" s="5" t="inlineStr">
        <is>
          <t>Tare Suites Urla</t>
        </is>
      </c>
      <c r="B31" s="5" t="inlineStr">
        <is>
          <t>DS</t>
        </is>
      </c>
      <c r="C31" s="7" t="n"/>
      <c r="D31" s="6">
        <f>IFERROR(INDEX('Kontrol Adımları'!$D:$D,MATCH(1,INDEX(('Kontrol Adımları'!$A$1:$A$400=B31)*('Kontrol Adımları'!$B$1:$B$400=C31),0),0)),"")</f>
        <v/>
      </c>
      <c r="E31" s="5" t="inlineStr">
        <is>
          <t>cift_cidarli_bardak</t>
        </is>
      </c>
      <c r="F31" s="6">
        <f>IFERROR(INDEX('Kalem Kataloğu'!$C$1:$C$1000,MATCH(1,INDEX(('Kalem Kataloğu'!$A$1:$A$1000=A31)*('Kalem Kataloğu'!$B$1:$B$1000=E31),0),0)),"?")</f>
        <v/>
      </c>
      <c r="G31" s="6">
        <f>IFERROR(INDEX('Kalem Kataloğu'!$D$1:$D$1000,MATCH(1,INDEX(('Kalem Kataloğu'!$A$1:$A$1000=A31)*('Kalem Kataloğu'!$B$1:$B$1000=E31),0),0)),"?")</f>
        <v/>
      </c>
      <c r="H31" s="7" t="n"/>
      <c r="I31" s="7" t="inlineStr">
        <is>
          <t>Hayır</t>
        </is>
      </c>
      <c r="J31" s="5" t="inlineStr">
        <is>
          <t>Drive foto</t>
        </is>
      </c>
      <c r="K31" s="5" t="inlineStr">
        <is>
          <t>DFS: biri kulplu, biri kulpsuz [güven: high]</t>
        </is>
      </c>
    </row>
    <row r="32" ht="66" customHeight="1">
      <c r="A32" s="5" t="inlineStr">
        <is>
          <t>Tare Suites Urla</t>
        </is>
      </c>
      <c r="B32" s="5" t="inlineStr">
        <is>
          <t>DSSW</t>
        </is>
      </c>
      <c r="C32" s="7" t="n"/>
      <c r="D32" s="6">
        <f>IFERROR(INDEX('Kontrol Adımları'!$D:$D,MATCH(1,INDEX(('Kontrol Adımları'!$A$1:$A$400=B32)*('Kontrol Adımları'!$B$1:$B$400=C32),0),0)),"")</f>
        <v/>
      </c>
      <c r="E32" s="5" t="inlineStr">
        <is>
          <t>cift_cidarli_bardak</t>
        </is>
      </c>
      <c r="F32" s="6">
        <f>IFERROR(INDEX('Kalem Kataloğu'!$C$1:$C$1000,MATCH(1,INDEX(('Kalem Kataloğu'!$A$1:$A$1000=A32)*('Kalem Kataloğu'!$B$1:$B$1000=E32),0),0)),"?")</f>
        <v/>
      </c>
      <c r="G32" s="6">
        <f>IFERROR(INDEX('Kalem Kataloğu'!$D$1:$D$1000,MATCH(1,INDEX(('Kalem Kataloğu'!$A$1:$A$1000=A32)*('Kalem Kataloğu'!$B$1:$B$1000=E32),0),0)),"?")</f>
        <v/>
      </c>
      <c r="H32" s="7" t="n"/>
      <c r="I32" s="7" t="inlineStr">
        <is>
          <t>Hayır</t>
        </is>
      </c>
      <c r="J32" s="5" t="inlineStr">
        <is>
          <t>Drive foto</t>
        </is>
      </c>
      <c r="K32" s="5" t="inlineStr">
        <is>
          <t>DFS: biri kulplu, biri kulpsuz [güven: high]</t>
        </is>
      </c>
    </row>
    <row r="33" ht="26.4" customHeight="1">
      <c r="A33" s="5" t="inlineStr">
        <is>
          <t>Tare Suites Urla</t>
        </is>
      </c>
      <c r="B33" s="5" t="inlineStr">
        <is>
          <t>EDR</t>
        </is>
      </c>
      <c r="C33" s="7" t="n"/>
      <c r="D33" s="6">
        <f>IFERROR(INDEX('Kontrol Adımları'!$D:$D,MATCH(1,INDEX(('Kontrol Adımları'!$A$1:$A$400=B33)*('Kontrol Adımları'!$B$1:$B$400=C33),0),0)),"")</f>
        <v/>
      </c>
      <c r="E33" s="5" t="inlineStr">
        <is>
          <t>cift_cidarli_bardak</t>
        </is>
      </c>
      <c r="F33" s="6">
        <f>IFERROR(INDEX('Kalem Kataloğu'!$C$1:$C$1000,MATCH(1,INDEX(('Kalem Kataloğu'!$A$1:$A$1000=A33)*('Kalem Kataloğu'!$B$1:$B$1000=E33),0),0)),"?")</f>
        <v/>
      </c>
      <c r="G33" s="6">
        <f>IFERROR(INDEX('Kalem Kataloğu'!$D$1:$D$1000,MATCH(1,INDEX(('Kalem Kataloğu'!$A$1:$A$1000=A33)*('Kalem Kataloğu'!$B$1:$B$1000=E33),0),0)),"?")</f>
        <v/>
      </c>
      <c r="H33" s="7" t="n">
        <v>2</v>
      </c>
      <c r="I33" s="7" t="inlineStr">
        <is>
          <t>Hayır</t>
        </is>
      </c>
      <c r="J33" s="5" t="inlineStr">
        <is>
          <t>Drive foto</t>
        </is>
      </c>
      <c r="K33" s="5" t="inlineStr">
        <is>
          <t>DFS: biri kulplu, biri kulpsuz [güven: high]</t>
        </is>
      </c>
    </row>
    <row r="34" ht="66" customHeight="1">
      <c r="A34" s="5" t="inlineStr">
        <is>
          <t>Tare Suites Urla</t>
        </is>
      </c>
      <c r="B34" s="5" t="inlineStr">
        <is>
          <t>EXSB</t>
        </is>
      </c>
      <c r="C34" s="7" t="n"/>
      <c r="D34" s="6">
        <f>IFERROR(INDEX('Kontrol Adımları'!$D:$D,MATCH(1,INDEX(('Kontrol Adımları'!$A$1:$A$400=B34)*('Kontrol Adımları'!$B$1:$B$400=C34),0),0)),"")</f>
        <v/>
      </c>
      <c r="E34" s="5" t="inlineStr">
        <is>
          <t>cift_cidarli_bardak</t>
        </is>
      </c>
      <c r="F34" s="6">
        <f>IFERROR(INDEX('Kalem Kataloğu'!$C$1:$C$1000,MATCH(1,INDEX(('Kalem Kataloğu'!$A$1:$A$1000=A34)*('Kalem Kataloğu'!$B$1:$B$1000=E34),0),0)),"?")</f>
        <v/>
      </c>
      <c r="G34" s="6">
        <f>IFERROR(INDEX('Kalem Kataloğu'!$D$1:$D$1000,MATCH(1,INDEX(('Kalem Kataloğu'!$A$1:$A$1000=A34)*('Kalem Kataloğu'!$B$1:$B$1000=E34),0),0)),"?")</f>
        <v/>
      </c>
      <c r="H34" s="7" t="n"/>
      <c r="I34" s="7" t="inlineStr">
        <is>
          <t>Hayır</t>
        </is>
      </c>
      <c r="J34" s="5" t="inlineStr">
        <is>
          <t>Drive foto</t>
        </is>
      </c>
      <c r="K34" s="5" t="inlineStr">
        <is>
          <t>DFS: biri kulplu, biri kulpsuz [güven: high]</t>
        </is>
      </c>
    </row>
    <row r="35" ht="26.4" customHeight="1">
      <c r="A35" s="5" t="inlineStr">
        <is>
          <t>Tare Village Urla</t>
        </is>
      </c>
      <c r="B35" s="5" t="inlineStr">
        <is>
          <t>VBS</t>
        </is>
      </c>
      <c r="C35" s="7" t="n"/>
      <c r="D35" s="6">
        <f>IFERROR(INDEX('Kontrol Adımları'!$D:$D,MATCH(1,INDEX(('Kontrol Adımları'!$A$1:$A$400=B35)*('Kontrol Adımları'!$B$1:$B$400=C35),0),0)),"")</f>
        <v/>
      </c>
      <c r="E35" s="5" t="inlineStr">
        <is>
          <t>kettle</t>
        </is>
      </c>
      <c r="F35" s="6">
        <f>IFERROR(INDEX('Kalem Kataloğu'!$C$1:$C$1000,MATCH(1,INDEX(('Kalem Kataloğu'!$A$1:$A$1000=A35)*('Kalem Kataloğu'!$B$1:$B$1000=E35),0),0)),"?")</f>
        <v/>
      </c>
      <c r="G35" s="6">
        <f>IFERROR(INDEX('Kalem Kataloğu'!$D$1:$D$1000,MATCH(1,INDEX(('Kalem Kataloğu'!$A$1:$A$1000=A35)*('Kalem Kataloğu'!$B$1:$B$1000=E35),0),0)),"?")</f>
        <v/>
      </c>
      <c r="H35" s="7" t="n">
        <v>1</v>
      </c>
      <c r="I35" s="7" t="inlineStr">
        <is>
          <t>Hayır</t>
        </is>
      </c>
      <c r="J35" s="5" t="inlineStr">
        <is>
          <t>Drive foto</t>
        </is>
      </c>
      <c r="K35" s="5" t="inlineStr">
        <is>
          <t>VSS beyaz Xiaomi, VTS mint yeşili [güven: medium]</t>
        </is>
      </c>
    </row>
    <row r="36" ht="66" customHeight="1">
      <c r="A36" s="5" t="inlineStr">
        <is>
          <t>Tare Village Urla</t>
        </is>
      </c>
      <c r="B36" s="5" t="inlineStr">
        <is>
          <t>VBS</t>
        </is>
      </c>
      <c r="C36" s="7" t="n"/>
      <c r="D36" s="6">
        <f>IFERROR(INDEX('Kontrol Adımları'!$D:$D,MATCH(1,INDEX(('Kontrol Adımları'!$A$1:$A$400=B36)*('Kontrol Adımları'!$B$1:$B$400=C36),0),0)),"")</f>
        <v/>
      </c>
      <c r="E36" s="5" t="inlineStr">
        <is>
          <t>servis_gerecleri_kabi</t>
        </is>
      </c>
      <c r="F36" s="6">
        <f>IFERROR(INDEX('Kalem Kataloğu'!$C$1:$C$1000,MATCH(1,INDEX(('Kalem Kataloğu'!$A$1:$A$1000=A36)*('Kalem Kataloğu'!$B$1:$B$1000=E36),0),0)),"?")</f>
        <v/>
      </c>
      <c r="G36" s="6">
        <f>IFERROR(INDEX('Kalem Kataloğu'!$D$1:$D$1000,MATCH(1,INDEX(('Kalem Kataloğu'!$A$1:$A$1000=A36)*('Kalem Kataloğu'!$B$1:$B$1000=E36),0),0)),"?")</f>
        <v/>
      </c>
      <c r="H36" s="7" t="n">
        <v>1</v>
      </c>
      <c r="I36" s="7" t="inlineStr">
        <is>
          <t>Hayır</t>
        </is>
      </c>
      <c r="J36" s="5" t="inlineStr">
        <is>
          <t>Drive foto</t>
        </is>
      </c>
      <c r="K36" s="5" t="inlineStr">
        <is>
          <t>Kapta 4-6 gereç; tek tek sayılamadı [güven: medium]</t>
        </is>
      </c>
    </row>
    <row r="37" ht="26.4" customHeight="1">
      <c r="A37" s="5" t="inlineStr">
        <is>
          <t>Tare Village Urla</t>
        </is>
      </c>
      <c r="B37" s="5" t="inlineStr">
        <is>
          <t>VBS</t>
        </is>
      </c>
      <c r="C37" s="7" t="n"/>
      <c r="D37" s="6">
        <f>IFERROR(INDEX('Kontrol Adımları'!$D:$D,MATCH(1,INDEX(('Kontrol Adımları'!$A$1:$A$400=B37)*('Kontrol Adımları'!$B$1:$B$400=C37),0),0)),"")</f>
        <v/>
      </c>
      <c r="E37" s="5" t="inlineStr">
        <is>
          <t>tabak_bardak_catal_vb</t>
        </is>
      </c>
      <c r="F37" s="6">
        <f>IFERROR(INDEX('Kalem Kataloğu'!$C$1:$C$1000,MATCH(1,INDEX(('Kalem Kataloğu'!$A$1:$A$1000=A37)*('Kalem Kataloğu'!$B$1:$B$1000=E37),0),0)),"?")</f>
        <v/>
      </c>
      <c r="G37" s="6">
        <f>IFERROR(INDEX('Kalem Kataloğu'!$D$1:$D$1000,MATCH(1,INDEX(('Kalem Kataloğu'!$A$1:$A$1000=A37)*('Kalem Kataloğu'!$B$1:$B$1000=E37),0),0)),"?")</f>
        <v/>
      </c>
      <c r="H37" s="7" t="n"/>
      <c r="I37" s="7" t="inlineStr">
        <is>
          <t>Hayır</t>
        </is>
      </c>
      <c r="J37" s="5" t="inlineStr">
        <is>
          <t>Drive foto</t>
        </is>
      </c>
      <c r="K37" s="5" t="inlineStr">
        <is>
          <t>Fotoğraflar tanıtım çekimi; dolap içleri görünmüyor. Odada sayılmalı [güven: none]</t>
        </is>
      </c>
    </row>
    <row r="38" ht="26.4" customHeight="1">
      <c r="A38" s="5" t="inlineStr">
        <is>
          <t>Tare Village Urla</t>
        </is>
      </c>
      <c r="B38" s="5" t="inlineStr">
        <is>
          <t>VBS</t>
        </is>
      </c>
      <c r="C38" s="7" t="n"/>
      <c r="D38" s="6">
        <f>IFERROR(INDEX('Kontrol Adımları'!$D:$D,MATCH(1,INDEX(('Kontrol Adımları'!$A$1:$A$400=B38)*('Kontrol Adımları'!$B$1:$B$400=C38),0),0)),"")</f>
        <v/>
      </c>
      <c r="E38" s="5" t="inlineStr">
        <is>
          <t>yag_sisesi</t>
        </is>
      </c>
      <c r="F38" s="6">
        <f>IFERROR(INDEX('Kalem Kataloğu'!$C$1:$C$1000,MATCH(1,INDEX(('Kalem Kataloğu'!$A$1:$A$1000=A38)*('Kalem Kataloğu'!$B$1:$B$1000=E38),0),0)),"?")</f>
        <v/>
      </c>
      <c r="G38" s="6">
        <f>IFERROR(INDEX('Kalem Kataloğu'!$D$1:$D$1000,MATCH(1,INDEX(('Kalem Kataloğu'!$A$1:$A$1000=A38)*('Kalem Kataloğu'!$B$1:$B$1000=E38),0),0)),"?")</f>
        <v/>
      </c>
      <c r="H38" s="7" t="n"/>
      <c r="I38" s="7" t="inlineStr">
        <is>
          <t>Hayır</t>
        </is>
      </c>
      <c r="J38" s="5" t="inlineStr">
        <is>
          <t>Drive foto</t>
        </is>
      </c>
      <c r="K38" s="5" t="inlineStr">
        <is>
          <t xml:space="preserve"> [güven: medium]</t>
        </is>
      </c>
    </row>
    <row r="39" ht="66" customHeight="1">
      <c r="A39" s="5" t="inlineStr">
        <is>
          <t>Tare Village Urla</t>
        </is>
      </c>
      <c r="B39" s="5" t="inlineStr">
        <is>
          <t>VGS</t>
        </is>
      </c>
      <c r="C39" s="7" t="n"/>
      <c r="D39" s="6">
        <f>IFERROR(INDEX('Kontrol Adımları'!$D:$D,MATCH(1,INDEX(('Kontrol Adımları'!$A$1:$A$400=B39)*('Kontrol Adımları'!$B$1:$B$400=C39),0),0)),"")</f>
        <v/>
      </c>
      <c r="E39" s="5" t="inlineStr">
        <is>
          <t>kettle</t>
        </is>
      </c>
      <c r="F39" s="6">
        <f>IFERROR(INDEX('Kalem Kataloğu'!$C$1:$C$1000,MATCH(1,INDEX(('Kalem Kataloğu'!$A$1:$A$1000=A39)*('Kalem Kataloğu'!$B$1:$B$1000=E39),0),0)),"?")</f>
        <v/>
      </c>
      <c r="G39" s="6">
        <f>IFERROR(INDEX('Kalem Kataloğu'!$D$1:$D$1000,MATCH(1,INDEX(('Kalem Kataloğu'!$A$1:$A$1000=A39)*('Kalem Kataloğu'!$B$1:$B$1000=E39),0),0)),"?")</f>
        <v/>
      </c>
      <c r="H39" s="7" t="n">
        <v>1</v>
      </c>
      <c r="I39" s="7" t="inlineStr">
        <is>
          <t>Hayır</t>
        </is>
      </c>
      <c r="J39" s="5" t="inlineStr">
        <is>
          <t>Drive foto</t>
        </is>
      </c>
      <c r="K39" s="5" t="inlineStr">
        <is>
          <t>VSS beyaz Xiaomi, VTS mint yeşili [güven: medium]</t>
        </is>
      </c>
    </row>
    <row r="40" ht="26.4" customHeight="1">
      <c r="A40" s="5" t="inlineStr">
        <is>
          <t>Tare Village Urla</t>
        </is>
      </c>
      <c r="B40" s="5" t="inlineStr">
        <is>
          <t>VGS</t>
        </is>
      </c>
      <c r="C40" s="7" t="n"/>
      <c r="D40" s="6">
        <f>IFERROR(INDEX('Kontrol Adımları'!$D:$D,MATCH(1,INDEX(('Kontrol Adımları'!$A$1:$A$400=B40)*('Kontrol Adımları'!$B$1:$B$400=C40),0),0)),"")</f>
        <v/>
      </c>
      <c r="E40" s="5" t="inlineStr">
        <is>
          <t>servis_gerecleri_kabi</t>
        </is>
      </c>
      <c r="F40" s="6">
        <f>IFERROR(INDEX('Kalem Kataloğu'!$C$1:$C$1000,MATCH(1,INDEX(('Kalem Kataloğu'!$A$1:$A$1000=A40)*('Kalem Kataloğu'!$B$1:$B$1000=E40),0),0)),"?")</f>
        <v/>
      </c>
      <c r="G40" s="6">
        <f>IFERROR(INDEX('Kalem Kataloğu'!$D$1:$D$1000,MATCH(1,INDEX(('Kalem Kataloğu'!$A$1:$A$1000=A40)*('Kalem Kataloğu'!$B$1:$B$1000=E40),0),0)),"?")</f>
        <v/>
      </c>
      <c r="H40" s="7" t="n"/>
      <c r="I40" s="7" t="inlineStr">
        <is>
          <t>Hayır</t>
        </is>
      </c>
      <c r="J40" s="5" t="inlineStr">
        <is>
          <t>Drive foto</t>
        </is>
      </c>
      <c r="K40" s="5" t="inlineStr">
        <is>
          <t>Kapta 4-6 gereç; tek tek sayılamadı [güven: medium]</t>
        </is>
      </c>
    </row>
    <row r="41" ht="26.4" customHeight="1">
      <c r="A41" s="5" t="inlineStr">
        <is>
          <t>Tare Village Urla</t>
        </is>
      </c>
      <c r="B41" s="5" t="inlineStr">
        <is>
          <t>VGS</t>
        </is>
      </c>
      <c r="C41" s="7" t="n"/>
      <c r="D41" s="6">
        <f>IFERROR(INDEX('Kontrol Adımları'!$D:$D,MATCH(1,INDEX(('Kontrol Adımları'!$A$1:$A$400=B41)*('Kontrol Adımları'!$B$1:$B$400=C41),0),0)),"")</f>
        <v/>
      </c>
      <c r="E41" s="5" t="inlineStr">
        <is>
          <t>tabak_bardak_catal_vb</t>
        </is>
      </c>
      <c r="F41" s="6">
        <f>IFERROR(INDEX('Kalem Kataloğu'!$C$1:$C$1000,MATCH(1,INDEX(('Kalem Kataloğu'!$A$1:$A$1000=A41)*('Kalem Kataloğu'!$B$1:$B$1000=E41),0),0)),"?")</f>
        <v/>
      </c>
      <c r="G41" s="6">
        <f>IFERROR(INDEX('Kalem Kataloğu'!$D$1:$D$1000,MATCH(1,INDEX(('Kalem Kataloğu'!$A$1:$A$1000=A41)*('Kalem Kataloğu'!$B$1:$B$1000=E41),0),0)),"?")</f>
        <v/>
      </c>
      <c r="H41" s="7" t="n"/>
      <c r="I41" s="7" t="inlineStr">
        <is>
          <t>Hayır</t>
        </is>
      </c>
      <c r="J41" s="5" t="inlineStr">
        <is>
          <t>Drive foto</t>
        </is>
      </c>
      <c r="K41" s="5" t="inlineStr">
        <is>
          <t>Fotoğraflar tanıtım çekimi; dolap içleri görünmüyor. Odada sayılmalı [güven: none]</t>
        </is>
      </c>
    </row>
    <row r="42" ht="52.8" customHeight="1">
      <c r="A42" s="5" t="inlineStr">
        <is>
          <t>Tare Village Urla</t>
        </is>
      </c>
      <c r="B42" s="5" t="inlineStr">
        <is>
          <t>VGS</t>
        </is>
      </c>
      <c r="C42" s="7" t="n"/>
      <c r="D42" s="6">
        <f>IFERROR(INDEX('Kontrol Adımları'!$D:$D,MATCH(1,INDEX(('Kontrol Adımları'!$A$1:$A$400=B42)*('Kontrol Adımları'!$B$1:$B$400=C42),0),0)),"")</f>
        <v/>
      </c>
      <c r="E42" s="5" t="inlineStr">
        <is>
          <t>yag_sisesi</t>
        </is>
      </c>
      <c r="F42" s="6">
        <f>IFERROR(INDEX('Kalem Kataloğu'!$C$1:$C$1000,MATCH(1,INDEX(('Kalem Kataloğu'!$A$1:$A$1000=A42)*('Kalem Kataloğu'!$B$1:$B$1000=E42),0),0)),"?")</f>
        <v/>
      </c>
      <c r="G42" s="6">
        <f>IFERROR(INDEX('Kalem Kataloğu'!$D$1:$D$1000,MATCH(1,INDEX(('Kalem Kataloğu'!$A$1:$A$1000=A42)*('Kalem Kataloğu'!$B$1:$B$1000=E42),0),0)),"?")</f>
        <v/>
      </c>
      <c r="H42" s="7" t="n"/>
      <c r="I42" s="7" t="inlineStr">
        <is>
          <t>Hayır</t>
        </is>
      </c>
      <c r="J42" s="5" t="inlineStr">
        <is>
          <t>Drive foto</t>
        </is>
      </c>
      <c r="K42" s="5" t="inlineStr">
        <is>
          <t xml:space="preserve"> [güven: medium]</t>
        </is>
      </c>
    </row>
    <row r="43" ht="52.8" customHeight="1">
      <c r="A43" s="5" t="inlineStr">
        <is>
          <t>Tare Village Urla</t>
        </is>
      </c>
      <c r="B43" s="5" t="inlineStr">
        <is>
          <t>VSS</t>
        </is>
      </c>
      <c r="C43" s="7" t="n"/>
      <c r="D43" s="6">
        <f>IFERROR(INDEX('Kontrol Adımları'!$D:$D,MATCH(1,INDEX(('Kontrol Adımları'!$A$1:$A$400=B43)*('Kontrol Adımları'!$B$1:$B$400=C43),0),0)),"")</f>
        <v/>
      </c>
      <c r="E43" s="5" t="inlineStr">
        <is>
          <t>bulasik_kurutma_mati</t>
        </is>
      </c>
      <c r="F43" s="6">
        <f>IFERROR(INDEX('Kalem Kataloğu'!$C$1:$C$1000,MATCH(1,INDEX(('Kalem Kataloğu'!$A$1:$A$1000=A43)*('Kalem Kataloğu'!$B$1:$B$1000=E43),0),0)),"?")</f>
        <v/>
      </c>
      <c r="G43" s="6">
        <f>IFERROR(INDEX('Kalem Kataloğu'!$D$1:$D$1000,MATCH(1,INDEX(('Kalem Kataloğu'!$A$1:$A$1000=A43)*('Kalem Kataloğu'!$B$1:$B$1000=E43),0),0)),"?")</f>
        <v/>
      </c>
      <c r="H43" s="7" t="n">
        <v>1</v>
      </c>
      <c r="I43" s="7" t="inlineStr">
        <is>
          <t>Hayır</t>
        </is>
      </c>
      <c r="J43" s="5" t="inlineStr">
        <is>
          <t>Drive foto</t>
        </is>
      </c>
      <c r="K43" s="5" t="inlineStr">
        <is>
          <t xml:space="preserve"> [güven: low]</t>
        </is>
      </c>
    </row>
    <row r="44" ht="66" customHeight="1">
      <c r="A44" s="5" t="inlineStr">
        <is>
          <t>Tare Village Urla</t>
        </is>
      </c>
      <c r="B44" s="5" t="inlineStr">
        <is>
          <t>VSS</t>
        </is>
      </c>
      <c r="C44" s="7" t="n"/>
      <c r="D44" s="6">
        <f>IFERROR(INDEX('Kontrol Adımları'!$D:$D,MATCH(1,INDEX(('Kontrol Adımları'!$A$1:$A$400=B44)*('Kontrol Adımları'!$B$1:$B$400=C44),0),0)),"")</f>
        <v/>
      </c>
      <c r="E44" s="5" t="inlineStr">
        <is>
          <t>kettle</t>
        </is>
      </c>
      <c r="F44" s="6">
        <f>IFERROR(INDEX('Kalem Kataloğu'!$C$1:$C$1000,MATCH(1,INDEX(('Kalem Kataloğu'!$A$1:$A$1000=A44)*('Kalem Kataloğu'!$B$1:$B$1000=E44),0),0)),"?")</f>
        <v/>
      </c>
      <c r="G44" s="6">
        <f>IFERROR(INDEX('Kalem Kataloğu'!$D$1:$D$1000,MATCH(1,INDEX(('Kalem Kataloğu'!$A$1:$A$1000=A44)*('Kalem Kataloğu'!$B$1:$B$1000=E44),0),0)),"?")</f>
        <v/>
      </c>
      <c r="H44" s="7" t="n">
        <v>1</v>
      </c>
      <c r="I44" s="7" t="inlineStr">
        <is>
          <t>Hayır</t>
        </is>
      </c>
      <c r="J44" s="5" t="inlineStr">
        <is>
          <t>Drive foto</t>
        </is>
      </c>
      <c r="K44" s="5" t="inlineStr">
        <is>
          <t>VSS beyaz Xiaomi, VTS mint yeşili [güven: medium]</t>
        </is>
      </c>
    </row>
    <row r="45" ht="66" customHeight="1">
      <c r="A45" s="5" t="inlineStr">
        <is>
          <t>Tare Village Urla</t>
        </is>
      </c>
      <c r="B45" s="5" t="inlineStr">
        <is>
          <t>VSS</t>
        </is>
      </c>
      <c r="C45" s="7" t="n"/>
      <c r="D45" s="6">
        <f>IFERROR(INDEX('Kontrol Adımları'!$D:$D,MATCH(1,INDEX(('Kontrol Adımları'!$A$1:$A$400=B45)*('Kontrol Adımları'!$B$1:$B$400=C45),0),0)),"")</f>
        <v/>
      </c>
      <c r="E45" s="5" t="inlineStr">
        <is>
          <t>servis_gerecleri_kabi</t>
        </is>
      </c>
      <c r="F45" s="6">
        <f>IFERROR(INDEX('Kalem Kataloğu'!$C$1:$C$1000,MATCH(1,INDEX(('Kalem Kataloğu'!$A$1:$A$1000=A45)*('Kalem Kataloğu'!$B$1:$B$1000=E45),0),0)),"?")</f>
        <v/>
      </c>
      <c r="G45" s="6">
        <f>IFERROR(INDEX('Kalem Kataloğu'!$D$1:$D$1000,MATCH(1,INDEX(('Kalem Kataloğu'!$A$1:$A$1000=A45)*('Kalem Kataloğu'!$B$1:$B$1000=E45),0),0)),"?")</f>
        <v/>
      </c>
      <c r="H45" s="7" t="n">
        <v>1</v>
      </c>
      <c r="I45" s="7" t="inlineStr">
        <is>
          <t>Hayır</t>
        </is>
      </c>
      <c r="J45" s="5" t="inlineStr">
        <is>
          <t>Drive foto</t>
        </is>
      </c>
      <c r="K45" s="5" t="inlineStr">
        <is>
          <t>Kapta 4-6 gereç; tek tek sayılamadı [güven: medium]</t>
        </is>
      </c>
    </row>
    <row r="46" ht="26.4" customHeight="1">
      <c r="A46" s="5" t="inlineStr">
        <is>
          <t>Tare Village Urla</t>
        </is>
      </c>
      <c r="B46" s="5" t="inlineStr">
        <is>
          <t>VSS</t>
        </is>
      </c>
      <c r="C46" s="7" t="n"/>
      <c r="D46" s="6">
        <f>IFERROR(INDEX('Kontrol Adımları'!$D:$D,MATCH(1,INDEX(('Kontrol Adımları'!$A$1:$A$400=B46)*('Kontrol Adımları'!$B$1:$B$400=C46),0),0)),"")</f>
        <v/>
      </c>
      <c r="E46" s="5" t="inlineStr">
        <is>
          <t>tabak_bardak_catal_vb</t>
        </is>
      </c>
      <c r="F46" s="6">
        <f>IFERROR(INDEX('Kalem Kataloğu'!$C$1:$C$1000,MATCH(1,INDEX(('Kalem Kataloğu'!$A$1:$A$1000=A46)*('Kalem Kataloğu'!$B$1:$B$1000=E46),0),0)),"?")</f>
        <v/>
      </c>
      <c r="G46" s="6">
        <f>IFERROR(INDEX('Kalem Kataloğu'!$D$1:$D$1000,MATCH(1,INDEX(('Kalem Kataloğu'!$A$1:$A$1000=A46)*('Kalem Kataloğu'!$B$1:$B$1000=E46),0),0)),"?")</f>
        <v/>
      </c>
      <c r="H46" s="7" t="n"/>
      <c r="I46" s="7" t="inlineStr">
        <is>
          <t>Hayır</t>
        </is>
      </c>
      <c r="J46" s="5" t="inlineStr">
        <is>
          <t>Drive foto</t>
        </is>
      </c>
      <c r="K46" s="5" t="inlineStr">
        <is>
          <t>Fotoğraflar tanıtım çekimi; dolap içleri görünmüyor. Odada sayılmalı [güven: none]</t>
        </is>
      </c>
    </row>
    <row r="47" ht="26.4" customHeight="1">
      <c r="A47" s="5" t="inlineStr">
        <is>
          <t>Tare Village Urla</t>
        </is>
      </c>
      <c r="B47" s="5" t="inlineStr">
        <is>
          <t>VSS</t>
        </is>
      </c>
      <c r="C47" s="7" t="n"/>
      <c r="D47" s="6">
        <f>IFERROR(INDEX('Kontrol Adımları'!$D:$D,MATCH(1,INDEX(('Kontrol Adımları'!$A$1:$A$400=B47)*('Kontrol Adımları'!$B$1:$B$400=C47),0),0)),"")</f>
        <v/>
      </c>
      <c r="E47" s="5" t="inlineStr">
        <is>
          <t>yag_sisesi</t>
        </is>
      </c>
      <c r="F47" s="6">
        <f>IFERROR(INDEX('Kalem Kataloğu'!$C$1:$C$1000,MATCH(1,INDEX(('Kalem Kataloğu'!$A$1:$A$1000=A47)*('Kalem Kataloğu'!$B$1:$B$1000=E47),0),0)),"?")</f>
        <v/>
      </c>
      <c r="G47" s="6">
        <f>IFERROR(INDEX('Kalem Kataloğu'!$D$1:$D$1000,MATCH(1,INDEX(('Kalem Kataloğu'!$A$1:$A$1000=A47)*('Kalem Kataloğu'!$B$1:$B$1000=E47),0),0)),"?")</f>
        <v/>
      </c>
      <c r="H47" s="7" t="n">
        <v>1</v>
      </c>
      <c r="I47" s="7" t="inlineStr">
        <is>
          <t>Hayır</t>
        </is>
      </c>
      <c r="J47" s="5" t="inlineStr">
        <is>
          <t>Drive foto</t>
        </is>
      </c>
      <c r="K47" s="5" t="inlineStr">
        <is>
          <t xml:space="preserve"> [güven: medium]</t>
        </is>
      </c>
    </row>
    <row r="48" ht="26.4" customHeight="1">
      <c r="A48" s="5" t="inlineStr">
        <is>
          <t>Tare Village Urla</t>
        </is>
      </c>
      <c r="B48" s="5" t="inlineStr">
        <is>
          <t>VTS</t>
        </is>
      </c>
      <c r="C48" s="7" t="n"/>
      <c r="D48" s="6">
        <f>IFERROR(INDEX('Kontrol Adımları'!$D:$D,MATCH(1,INDEX(('Kontrol Adımları'!$A$1:$A$400=B48)*('Kontrol Adımları'!$B$1:$B$400=C48),0),0)),"")</f>
        <v/>
      </c>
      <c r="E48" s="5" t="inlineStr">
        <is>
          <t>kettle</t>
        </is>
      </c>
      <c r="F48" s="6">
        <f>IFERROR(INDEX('Kalem Kataloğu'!$C$1:$C$1000,MATCH(1,INDEX(('Kalem Kataloğu'!$A$1:$A$1000=A48)*('Kalem Kataloğu'!$B$1:$B$1000=E48),0),0)),"?")</f>
        <v/>
      </c>
      <c r="G48" s="6">
        <f>IFERROR(INDEX('Kalem Kataloğu'!$D$1:$D$1000,MATCH(1,INDEX(('Kalem Kataloğu'!$A$1:$A$1000=A48)*('Kalem Kataloğu'!$B$1:$B$1000=E48),0),0)),"?")</f>
        <v/>
      </c>
      <c r="H48" s="7" t="n">
        <v>1</v>
      </c>
      <c r="I48" s="7" t="inlineStr">
        <is>
          <t>Hayır</t>
        </is>
      </c>
      <c r="J48" s="5" t="inlineStr">
        <is>
          <t>Drive foto</t>
        </is>
      </c>
      <c r="K48" s="5" t="inlineStr">
        <is>
          <t>VSS beyaz Xiaomi, VTS mint yeşili [güven: medium]</t>
        </is>
      </c>
    </row>
    <row r="49" ht="26.4" customHeight="1">
      <c r="A49" s="5" t="inlineStr">
        <is>
          <t>Tare Village Urla</t>
        </is>
      </c>
      <c r="B49" s="5" t="inlineStr">
        <is>
          <t>VTS</t>
        </is>
      </c>
      <c r="C49" s="7" t="n"/>
      <c r="D49" s="6">
        <f>IFERROR(INDEX('Kontrol Adımları'!$D:$D,MATCH(1,INDEX(('Kontrol Adımları'!$A$1:$A$400=B49)*('Kontrol Adımları'!$B$1:$B$400=C49),0),0)),"")</f>
        <v/>
      </c>
      <c r="E49" s="5" t="inlineStr">
        <is>
          <t>servis_gerecleri_kabi</t>
        </is>
      </c>
      <c r="F49" s="6">
        <f>IFERROR(INDEX('Kalem Kataloğu'!$C$1:$C$1000,MATCH(1,INDEX(('Kalem Kataloğu'!$A$1:$A$1000=A49)*('Kalem Kataloğu'!$B$1:$B$1000=E49),0),0)),"?")</f>
        <v/>
      </c>
      <c r="G49" s="6">
        <f>IFERROR(INDEX('Kalem Kataloğu'!$D$1:$D$1000,MATCH(1,INDEX(('Kalem Kataloğu'!$A$1:$A$1000=A49)*('Kalem Kataloğu'!$B$1:$B$1000=E49),0),0)),"?")</f>
        <v/>
      </c>
      <c r="H49" s="7" t="n">
        <v>1</v>
      </c>
      <c r="I49" s="7" t="inlineStr">
        <is>
          <t>Hayır</t>
        </is>
      </c>
      <c r="J49" s="5" t="inlineStr">
        <is>
          <t>Drive foto</t>
        </is>
      </c>
      <c r="K49" s="5" t="inlineStr">
        <is>
          <t>Kapta 4-6 gereç; tek tek sayılamadı [güven: medium]</t>
        </is>
      </c>
    </row>
    <row r="50" ht="26.4" customHeight="1">
      <c r="A50" s="5" t="inlineStr">
        <is>
          <t>Tare Village Urla</t>
        </is>
      </c>
      <c r="B50" s="5" t="inlineStr">
        <is>
          <t>VTS</t>
        </is>
      </c>
      <c r="C50" s="7" t="n"/>
      <c r="D50" s="6">
        <f>IFERROR(INDEX('Kontrol Adımları'!$D:$D,MATCH(1,INDEX(('Kontrol Adımları'!$A$1:$A$400=B50)*('Kontrol Adımları'!$B$1:$B$400=C50),0),0)),"")</f>
        <v/>
      </c>
      <c r="E50" s="5" t="inlineStr">
        <is>
          <t>tabak_bardak_catal_vb</t>
        </is>
      </c>
      <c r="F50" s="6">
        <f>IFERROR(INDEX('Kalem Kataloğu'!$C$1:$C$1000,MATCH(1,INDEX(('Kalem Kataloğu'!$A$1:$A$1000=A50)*('Kalem Kataloğu'!$B$1:$B$1000=E50),0),0)),"?")</f>
        <v/>
      </c>
      <c r="G50" s="6">
        <f>IFERROR(INDEX('Kalem Kataloğu'!$D$1:$D$1000,MATCH(1,INDEX(('Kalem Kataloğu'!$A$1:$A$1000=A50)*('Kalem Kataloğu'!$B$1:$B$1000=E50),0),0)),"?")</f>
        <v/>
      </c>
      <c r="H50" s="7" t="n"/>
      <c r="I50" s="7" t="inlineStr">
        <is>
          <t>Hayır</t>
        </is>
      </c>
      <c r="J50" s="5" t="inlineStr">
        <is>
          <t>Drive foto</t>
        </is>
      </c>
      <c r="K50" s="5" t="inlineStr">
        <is>
          <t>Fotoğraflar tanıtım çekimi; dolap içleri görünmüyor. Odada sayılmalı [güven: none]</t>
        </is>
      </c>
    </row>
    <row r="51" ht="26.4" customHeight="1">
      <c r="A51" s="5" t="inlineStr">
        <is>
          <t>Tare Village Urla</t>
        </is>
      </c>
      <c r="B51" s="5" t="inlineStr">
        <is>
          <t>VTS</t>
        </is>
      </c>
      <c r="C51" s="7" t="n"/>
      <c r="D51" s="6">
        <f>IFERROR(INDEX('Kontrol Adımları'!$D:$D,MATCH(1,INDEX(('Kontrol Adımları'!$A$1:$A$400=B51)*('Kontrol Adımları'!$B$1:$B$400=C51),0),0)),"")</f>
        <v/>
      </c>
      <c r="E51" s="5" t="inlineStr">
        <is>
          <t>yag_sisesi</t>
        </is>
      </c>
      <c r="F51" s="6">
        <f>IFERROR(INDEX('Kalem Kataloğu'!$C$1:$C$1000,MATCH(1,INDEX(('Kalem Kataloğu'!$A$1:$A$1000=A51)*('Kalem Kataloğu'!$B$1:$B$1000=E51),0),0)),"?")</f>
        <v/>
      </c>
      <c r="G51" s="6">
        <f>IFERROR(INDEX('Kalem Kataloğu'!$D$1:$D$1000,MATCH(1,INDEX(('Kalem Kataloğu'!$A$1:$A$1000=A51)*('Kalem Kataloğu'!$B$1:$B$1000=E51),0),0)),"?")</f>
        <v/>
      </c>
      <c r="H51" s="7" t="n"/>
      <c r="I51" s="7" t="inlineStr">
        <is>
          <t>Hayır</t>
        </is>
      </c>
      <c r="J51" s="5" t="inlineStr">
        <is>
          <t>Drive foto</t>
        </is>
      </c>
      <c r="K51" s="5" t="inlineStr">
        <is>
          <t xml:space="preserve"> [güven: medium]</t>
        </is>
      </c>
    </row>
    <row r="52" ht="26.4" customHeight="1">
      <c r="A52" s="5" t="inlineStr">
        <is>
          <t>Tare Houses Hotel</t>
        </is>
      </c>
      <c r="B52" s="5" t="inlineStr">
        <is>
          <t>X1</t>
        </is>
      </c>
      <c r="C52" s="7" t="n">
        <v>9</v>
      </c>
      <c r="D52">
        <f>IFERROR(INDEX('Kontrol Adımları'!$D:$D,MATCH(1,INDEX(('Kontrol Adımları'!$A$1:$A$400=B52)*('Kontrol Adımları'!$B$1:$B$400=C52),0),0)),"")</f>
        <v/>
      </c>
      <c r="E52" s="5" t="inlineStr">
        <is>
          <t>coffee_cup</t>
        </is>
      </c>
      <c r="F52">
        <f>IFERROR(INDEX('Kalem Kataloğu'!$C$1:$C$1000,MATCH(1,INDEX(('Kalem Kataloğu'!$A$1:$A$1000=A52)*('Kalem Kataloğu'!$B$1:$B$1000=E52),0),0)),"?")</f>
        <v/>
      </c>
      <c r="G52">
        <f>IFERROR(INDEX('Kalem Kataloğu'!$D$1:$D$1000,MATCH(1,INDEX(('Kalem Kataloğu'!$A$1:$A$1000=A52)*('Kalem Kataloğu'!$B$1:$B$1000=E52),0),0)),"?")</f>
        <v/>
      </c>
      <c r="H52" s="7" t="n">
        <v>2</v>
      </c>
      <c r="I52" s="7" t="inlineStr">
        <is>
          <t>Evet</t>
        </is>
      </c>
      <c r="J52" s="5" t="inlineStr">
        <is>
          <t>Drive foto (20.10.2026)</t>
        </is>
      </c>
      <c r="K52" s="5" t="n"/>
    </row>
    <row r="53" ht="52.8" customHeight="1">
      <c r="A53" s="5" t="inlineStr">
        <is>
          <t>Tare Houses Hotel</t>
        </is>
      </c>
      <c r="B53" s="5" t="inlineStr">
        <is>
          <t>X1</t>
        </is>
      </c>
      <c r="C53" s="7" t="n">
        <v>9</v>
      </c>
      <c r="D53">
        <f>IFERROR(INDEX('Kontrol Adımları'!$D:$D,MATCH(1,INDEX(('Kontrol Adımları'!$A$1:$A$400=B53)*('Kontrol Adımları'!$B$1:$B$400=C53),0),0)),"")</f>
        <v/>
      </c>
      <c r="E53" s="5" t="inlineStr">
        <is>
          <t>lokum_bowl</t>
        </is>
      </c>
      <c r="F53">
        <f>IFERROR(INDEX('Kalem Kataloğu'!$C$1:$C$1000,MATCH(1,INDEX(('Kalem Kataloğu'!$A$1:$A$1000=A53)*('Kalem Kataloğu'!$B$1:$B$1000=E53),0),0)),"?")</f>
        <v/>
      </c>
      <c r="G53">
        <f>IFERROR(INDEX('Kalem Kataloğu'!$D$1:$D$1000,MATCH(1,INDEX(('Kalem Kataloğu'!$A$1:$A$1000=A53)*('Kalem Kataloğu'!$B$1:$B$1000=E53),0),0)),"?")</f>
        <v/>
      </c>
      <c r="H53" s="7" t="n">
        <v>1</v>
      </c>
      <c r="I53" s="7" t="inlineStr">
        <is>
          <t>Evet</t>
        </is>
      </c>
      <c r="J53" s="5" t="inlineStr">
        <is>
          <t>Drive foto (20.10.2026)</t>
        </is>
      </c>
      <c r="K53" s="5" t="n"/>
    </row>
    <row r="54" ht="26.4" customHeight="1">
      <c r="A54" s="5" t="inlineStr">
        <is>
          <t>Tare Houses Hotel</t>
        </is>
      </c>
      <c r="B54" s="5" t="inlineStr">
        <is>
          <t>X1</t>
        </is>
      </c>
      <c r="C54" s="7" t="n">
        <v>11</v>
      </c>
      <c r="D54">
        <f>IFERROR(INDEX('Kontrol Adımları'!$D:$D,MATCH(1,INDEX(('Kontrol Adımları'!$A$1:$A$400=B54)*('Kontrol Adımları'!$B$1:$B$400=C54),0),0)),"")</f>
        <v/>
      </c>
      <c r="E54" s="5" t="inlineStr">
        <is>
          <t>sponge_caddy</t>
        </is>
      </c>
      <c r="F54">
        <f>IFERROR(INDEX('Kalem Kataloğu'!$C$1:$C$1000,MATCH(1,INDEX(('Kalem Kataloğu'!$A$1:$A$1000=A54)*('Kalem Kataloğu'!$B$1:$B$1000=E54),0),0)),"?")</f>
        <v/>
      </c>
      <c r="G54">
        <f>IFERROR(INDEX('Kalem Kataloğu'!$D$1:$D$1000,MATCH(1,INDEX(('Kalem Kataloğu'!$A$1:$A$1000=A54)*('Kalem Kataloğu'!$B$1:$B$1000=E54),0),0)),"?")</f>
        <v/>
      </c>
      <c r="H54" s="7" t="n">
        <v>1</v>
      </c>
      <c r="I54" s="7" t="inlineStr">
        <is>
          <t>Evet</t>
        </is>
      </c>
      <c r="J54" s="5" t="inlineStr">
        <is>
          <t>Drive foto (20.10.2026)</t>
        </is>
      </c>
      <c r="K54" s="5" t="n"/>
    </row>
    <row r="55" ht="79.2" customHeight="1">
      <c r="A55" s="5" t="inlineStr">
        <is>
          <t>Tare Houses Hotel</t>
        </is>
      </c>
      <c r="B55" s="5" t="inlineStr">
        <is>
          <t>X1</t>
        </is>
      </c>
      <c r="C55" s="7" t="n">
        <v>11</v>
      </c>
      <c r="D55">
        <f>IFERROR(INDEX('Kontrol Adımları'!$D:$D,MATCH(1,INDEX(('Kontrol Adımları'!$A$1:$A$400=B55)*('Kontrol Adımları'!$B$1:$B$400=C55),0),0)),"")</f>
        <v/>
      </c>
      <c r="E55" s="5" t="inlineStr">
        <is>
          <t>dish_rack</t>
        </is>
      </c>
      <c r="F55">
        <f>IFERROR(INDEX('Kalem Kataloğu'!$C$1:$C$1000,MATCH(1,INDEX(('Kalem Kataloğu'!$A$1:$A$1000=A55)*('Kalem Kataloğu'!$B$1:$B$1000=E55),0),0)),"?")</f>
        <v/>
      </c>
      <c r="G55">
        <f>IFERROR(INDEX('Kalem Kataloğu'!$D$1:$D$1000,MATCH(1,INDEX(('Kalem Kataloğu'!$A$1:$A$1000=A55)*('Kalem Kataloğu'!$B$1:$B$1000=E55),0),0)),"?")</f>
        <v/>
      </c>
      <c r="H55" s="7" t="n">
        <v>1</v>
      </c>
      <c r="I55" s="7" t="inlineStr">
        <is>
          <t>Evet</t>
        </is>
      </c>
      <c r="J55" s="5" t="inlineStr">
        <is>
          <t>Drive foto (20.10.2026)</t>
        </is>
      </c>
      <c r="K55" s="5" t="n"/>
    </row>
    <row r="56" ht="26.4" customHeight="1">
      <c r="A56" s="5" t="inlineStr">
        <is>
          <t>Tare Houses Hotel</t>
        </is>
      </c>
      <c r="B56" s="5" t="inlineStr">
        <is>
          <t>X1</t>
        </is>
      </c>
      <c r="C56" s="7" t="n">
        <v>12</v>
      </c>
      <c r="D56">
        <f>IFERROR(INDEX('Kontrol Adımları'!$D:$D,MATCH(1,INDEX(('Kontrol Adımları'!$A$1:$A$400=B56)*('Kontrol Adımları'!$B$1:$B$400=C56),0),0)),"")</f>
        <v/>
      </c>
      <c r="E56" s="5" t="inlineStr">
        <is>
          <t>cutlery_tray</t>
        </is>
      </c>
      <c r="F56">
        <f>IFERROR(INDEX('Kalem Kataloğu'!$C$1:$C$1000,MATCH(1,INDEX(('Kalem Kataloğu'!$A$1:$A$1000=A56)*('Kalem Kataloğu'!$B$1:$B$1000=E56),0),0)),"?")</f>
        <v/>
      </c>
      <c r="G56">
        <f>IFERROR(INDEX('Kalem Kataloğu'!$D$1:$D$1000,MATCH(1,INDEX(('Kalem Kataloğu'!$A$1:$A$1000=A56)*('Kalem Kataloğu'!$B$1:$B$1000=E56),0),0)),"?")</f>
        <v/>
      </c>
      <c r="H56" s="7" t="n">
        <v>1</v>
      </c>
      <c r="I56" s="7" t="inlineStr">
        <is>
          <t>Evet</t>
        </is>
      </c>
      <c r="J56" s="5" t="inlineStr">
        <is>
          <t>Drive foto (20.10.2026)</t>
        </is>
      </c>
      <c r="K56" s="5" t="n"/>
    </row>
    <row r="57" ht="26.4" customHeight="1">
      <c r="A57" s="5" t="inlineStr">
        <is>
          <t>Tare Houses Hotel</t>
        </is>
      </c>
      <c r="B57" s="5" t="inlineStr">
        <is>
          <t>X1</t>
        </is>
      </c>
      <c r="C57" s="7" t="n">
        <v>12</v>
      </c>
      <c r="D57">
        <f>IFERROR(INDEX('Kontrol Adımları'!$D:$D,MATCH(1,INDEX(('Kontrol Adımları'!$A$1:$A$400=B57)*('Kontrol Adımları'!$B$1:$B$400=C57),0),0)),"")</f>
        <v/>
      </c>
      <c r="E57" s="5" t="inlineStr">
        <is>
          <t>spoon</t>
        </is>
      </c>
      <c r="F57">
        <f>IFERROR(INDEX('Kalem Kataloğu'!$C$1:$C$1000,MATCH(1,INDEX(('Kalem Kataloğu'!$A$1:$A$1000=A57)*('Kalem Kataloğu'!$B$1:$B$1000=E57),0),0)),"?")</f>
        <v/>
      </c>
      <c r="G57">
        <f>IFERROR(INDEX('Kalem Kataloğu'!$D$1:$D$1000,MATCH(1,INDEX(('Kalem Kataloğu'!$A$1:$A$1000=A57)*('Kalem Kataloğu'!$B$1:$B$1000=E57),0),0)),"?")</f>
        <v/>
      </c>
      <c r="H57" s="7" t="n">
        <v>5</v>
      </c>
      <c r="I57" s="7" t="inlineStr">
        <is>
          <t>Hayır</t>
        </is>
      </c>
      <c r="J57" s="5" t="inlineStr">
        <is>
          <t>Drive foto (20.10.2026)</t>
        </is>
      </c>
      <c r="K57" s="5" t="inlineStr">
        <is>
          <t>Fotoğraftan sayıldı; odada say</t>
        </is>
      </c>
    </row>
    <row r="58" ht="26.4" customHeight="1">
      <c r="A58" s="5" t="inlineStr">
        <is>
          <t>Tare Houses Hotel</t>
        </is>
      </c>
      <c r="B58" s="5" t="inlineStr">
        <is>
          <t>X1</t>
        </is>
      </c>
      <c r="C58" s="7" t="n">
        <v>12</v>
      </c>
      <c r="D58">
        <f>IFERROR(INDEX('Kontrol Adımları'!$D:$D,MATCH(1,INDEX(('Kontrol Adımları'!$A$1:$A$400=B58)*('Kontrol Adımları'!$B$1:$B$400=C58),0),0)),"")</f>
        <v/>
      </c>
      <c r="E58" s="5" t="inlineStr">
        <is>
          <t>fork</t>
        </is>
      </c>
      <c r="F58">
        <f>IFERROR(INDEX('Kalem Kataloğu'!$C$1:$C$1000,MATCH(1,INDEX(('Kalem Kataloğu'!$A$1:$A$1000=A58)*('Kalem Kataloğu'!$B$1:$B$1000=E58),0),0)),"?")</f>
        <v/>
      </c>
      <c r="G58">
        <f>IFERROR(INDEX('Kalem Kataloğu'!$D$1:$D$1000,MATCH(1,INDEX(('Kalem Kataloğu'!$A$1:$A$1000=A58)*('Kalem Kataloğu'!$B$1:$B$1000=E58),0),0)),"?")</f>
        <v/>
      </c>
      <c r="H58" s="7" t="n">
        <v>6</v>
      </c>
      <c r="I58" s="7" t="inlineStr">
        <is>
          <t>Hayır</t>
        </is>
      </c>
      <c r="J58" s="5" t="inlineStr">
        <is>
          <t>Drive foto (20.10.2026)</t>
        </is>
      </c>
      <c r="K58" s="5" t="inlineStr">
        <is>
          <t>Fotoğraftan sayıldı; odada say</t>
        </is>
      </c>
    </row>
    <row r="59" ht="26.4" customHeight="1">
      <c r="A59" s="5" t="inlineStr">
        <is>
          <t>Tare Houses Hotel</t>
        </is>
      </c>
      <c r="B59" s="5" t="inlineStr">
        <is>
          <t>X1</t>
        </is>
      </c>
      <c r="C59" s="7" t="n">
        <v>12</v>
      </c>
      <c r="D59">
        <f>IFERROR(INDEX('Kontrol Adımları'!$D:$D,MATCH(1,INDEX(('Kontrol Adımları'!$A$1:$A$400=B59)*('Kontrol Adımları'!$B$1:$B$400=C59),0),0)),"")</f>
        <v/>
      </c>
      <c r="E59" s="5" t="inlineStr">
        <is>
          <t>knife</t>
        </is>
      </c>
      <c r="F59">
        <f>IFERROR(INDEX('Kalem Kataloğu'!$C$1:$C$1000,MATCH(1,INDEX(('Kalem Kataloğu'!$A$1:$A$1000=A59)*('Kalem Kataloğu'!$B$1:$B$1000=E59),0),0)),"?")</f>
        <v/>
      </c>
      <c r="G59">
        <f>IFERROR(INDEX('Kalem Kataloğu'!$D$1:$D$1000,MATCH(1,INDEX(('Kalem Kataloğu'!$A$1:$A$1000=A59)*('Kalem Kataloğu'!$B$1:$B$1000=E59),0),0)),"?")</f>
        <v/>
      </c>
      <c r="H59" s="7" t="n">
        <v>5</v>
      </c>
      <c r="I59" s="7" t="inlineStr">
        <is>
          <t>Evet</t>
        </is>
      </c>
      <c r="J59" s="5" t="inlineStr">
        <is>
          <t>Drive foto (20.10.2026)</t>
        </is>
      </c>
      <c r="K59" s="5" t="n"/>
    </row>
    <row r="60" ht="26.4" customHeight="1">
      <c r="A60" s="5" t="inlineStr">
        <is>
          <t>Tare Houses Hotel</t>
        </is>
      </c>
      <c r="B60" s="5" t="inlineStr">
        <is>
          <t>X1</t>
        </is>
      </c>
      <c r="C60" s="7" t="n">
        <v>12</v>
      </c>
      <c r="D60">
        <f>IFERROR(INDEX('Kontrol Adımları'!$D:$D,MATCH(1,INDEX(('Kontrol Adımları'!$A$1:$A$400=B60)*('Kontrol Adımları'!$B$1:$B$400=C60),0),0)),"")</f>
        <v/>
      </c>
      <c r="E60" s="5" t="inlineStr">
        <is>
          <t>teaspoon</t>
        </is>
      </c>
      <c r="F60">
        <f>IFERROR(INDEX('Kalem Kataloğu'!$C$1:$C$1000,MATCH(1,INDEX(('Kalem Kataloğu'!$A$1:$A$1000=A60)*('Kalem Kataloğu'!$B$1:$B$1000=E60),0),0)),"?")</f>
        <v/>
      </c>
      <c r="G60">
        <f>IFERROR(INDEX('Kalem Kataloğu'!$D$1:$D$1000,MATCH(1,INDEX(('Kalem Kataloğu'!$A$1:$A$1000=A60)*('Kalem Kataloğu'!$B$1:$B$1000=E60),0),0)),"?")</f>
        <v/>
      </c>
      <c r="H60" s="7" t="n">
        <v>3</v>
      </c>
      <c r="I60" s="7" t="inlineStr">
        <is>
          <t>Hayır</t>
        </is>
      </c>
      <c r="J60" s="5" t="inlineStr">
        <is>
          <t>Drive foto (20.10.2026)</t>
        </is>
      </c>
      <c r="K60" s="5" t="inlineStr">
        <is>
          <t>Fotoğrafta 3; set 4 olabilir</t>
        </is>
      </c>
    </row>
    <row r="61" ht="26.4" customHeight="1">
      <c r="A61" s="5" t="inlineStr">
        <is>
          <t>Tare Houses Hotel</t>
        </is>
      </c>
      <c r="B61" s="5" t="inlineStr">
        <is>
          <t>X1</t>
        </is>
      </c>
      <c r="C61" s="7" t="n">
        <v>12</v>
      </c>
      <c r="D61">
        <f>IFERROR(INDEX('Kontrol Adımları'!$D:$D,MATCH(1,INDEX(('Kontrol Adımları'!$A$1:$A$400=B61)*('Kontrol Adımları'!$B$1:$B$400=C61),0),0)),"")</f>
        <v/>
      </c>
      <c r="E61" s="5" t="inlineStr">
        <is>
          <t>corkscrew</t>
        </is>
      </c>
      <c r="F61">
        <f>IFERROR(INDEX('Kalem Kataloğu'!$C$1:$C$1000,MATCH(1,INDEX(('Kalem Kataloğu'!$A$1:$A$1000=A61)*('Kalem Kataloğu'!$B$1:$B$1000=E61),0),0)),"?")</f>
        <v/>
      </c>
      <c r="G61">
        <f>IFERROR(INDEX('Kalem Kataloğu'!$D$1:$D$1000,MATCH(1,INDEX(('Kalem Kataloğu'!$A$1:$A$1000=A61)*('Kalem Kataloğu'!$B$1:$B$1000=E61),0),0)),"?")</f>
        <v/>
      </c>
      <c r="H61" s="7" t="n">
        <v>1</v>
      </c>
      <c r="I61" s="7" t="inlineStr">
        <is>
          <t>Evet</t>
        </is>
      </c>
      <c r="J61" s="5" t="inlineStr">
        <is>
          <t>Drive foto (20.10.2026)</t>
        </is>
      </c>
      <c r="K61" s="5" t="n"/>
    </row>
    <row r="62" ht="26.4" customHeight="1">
      <c r="A62" s="5" t="inlineStr">
        <is>
          <t>Tare Houses Hotel</t>
        </is>
      </c>
      <c r="B62" s="5" t="inlineStr">
        <is>
          <t>X1</t>
        </is>
      </c>
      <c r="C62" s="7" t="n">
        <v>13</v>
      </c>
      <c r="D62">
        <f>IFERROR(INDEX('Kontrol Adımları'!$D:$D,MATCH(1,INDEX(('Kontrol Adımları'!$A$1:$A$400=B62)*('Kontrol Adımları'!$B$1:$B$400=C62),0),0)),"")</f>
        <v/>
      </c>
      <c r="E62" s="5" t="inlineStr">
        <is>
          <t>silicone_ladle</t>
        </is>
      </c>
      <c r="F62">
        <f>IFERROR(INDEX('Kalem Kataloğu'!$C$1:$C$1000,MATCH(1,INDEX(('Kalem Kataloğu'!$A$1:$A$1000=A62)*('Kalem Kataloğu'!$B$1:$B$1000=E62),0),0)),"?")</f>
        <v/>
      </c>
      <c r="G62">
        <f>IFERROR(INDEX('Kalem Kataloğu'!$D$1:$D$1000,MATCH(1,INDEX(('Kalem Kataloğu'!$A$1:$A$1000=A62)*('Kalem Kataloğu'!$B$1:$B$1000=E62),0),0)),"?")</f>
        <v/>
      </c>
      <c r="H62" s="7" t="n">
        <v>1</v>
      </c>
      <c r="I62" s="7" t="inlineStr">
        <is>
          <t>Evet</t>
        </is>
      </c>
      <c r="J62" s="5" t="inlineStr">
        <is>
          <t>Drive foto (20.10.2026)</t>
        </is>
      </c>
      <c r="K62" s="5" t="n"/>
    </row>
    <row r="63" ht="26.4" customHeight="1">
      <c r="A63" s="5" t="inlineStr">
        <is>
          <t>Tare Houses Hotel</t>
        </is>
      </c>
      <c r="B63" s="5" t="inlineStr">
        <is>
          <t>X1</t>
        </is>
      </c>
      <c r="C63" s="7" t="n">
        <v>13</v>
      </c>
      <c r="D63">
        <f>IFERROR(INDEX('Kontrol Adımları'!$D:$D,MATCH(1,INDEX(('Kontrol Adımları'!$A$1:$A$400=B63)*('Kontrol Adımları'!$B$1:$B$400=C63),0),0)),"")</f>
        <v/>
      </c>
      <c r="E63" s="5" t="inlineStr">
        <is>
          <t>silicone_slotted</t>
        </is>
      </c>
      <c r="F63">
        <f>IFERROR(INDEX('Kalem Kataloğu'!$C$1:$C$1000,MATCH(1,INDEX(('Kalem Kataloğu'!$A$1:$A$1000=A63)*('Kalem Kataloğu'!$B$1:$B$1000=E63),0),0)),"?")</f>
        <v/>
      </c>
      <c r="G63">
        <f>IFERROR(INDEX('Kalem Kataloğu'!$D$1:$D$1000,MATCH(1,INDEX(('Kalem Kataloğu'!$A$1:$A$1000=A63)*('Kalem Kataloğu'!$B$1:$B$1000=E63),0),0)),"?")</f>
        <v/>
      </c>
      <c r="H63" s="7" t="n">
        <v>1</v>
      </c>
      <c r="I63" s="7" t="inlineStr">
        <is>
          <t>Evet</t>
        </is>
      </c>
      <c r="J63" s="5" t="inlineStr">
        <is>
          <t>Drive foto (20.10.2026)</t>
        </is>
      </c>
      <c r="K63" s="5" t="n"/>
    </row>
    <row r="64" ht="26.4" customHeight="1">
      <c r="A64" s="5" t="inlineStr">
        <is>
          <t>Tare Houses Hotel</t>
        </is>
      </c>
      <c r="B64" s="5" t="inlineStr">
        <is>
          <t>X1</t>
        </is>
      </c>
      <c r="C64" s="7" t="n">
        <v>13</v>
      </c>
      <c r="D64">
        <f>IFERROR(INDEX('Kontrol Adımları'!$D:$D,MATCH(1,INDEX(('Kontrol Adımları'!$A$1:$A$400=B64)*('Kontrol Adımları'!$B$1:$B$400=C64),0),0)),"")</f>
        <v/>
      </c>
      <c r="E64" s="5" t="inlineStr">
        <is>
          <t>silicone_spoon</t>
        </is>
      </c>
      <c r="F64">
        <f>IFERROR(INDEX('Kalem Kataloğu'!$C$1:$C$1000,MATCH(1,INDEX(('Kalem Kataloğu'!$A$1:$A$1000=A64)*('Kalem Kataloğu'!$B$1:$B$1000=E64),0),0)),"?")</f>
        <v/>
      </c>
      <c r="G64">
        <f>IFERROR(INDEX('Kalem Kataloğu'!$D$1:$D$1000,MATCH(1,INDEX(('Kalem Kataloğu'!$A$1:$A$1000=A64)*('Kalem Kataloğu'!$B$1:$B$1000=E64),0),0)),"?")</f>
        <v/>
      </c>
      <c r="H64" s="7" t="n">
        <v>1</v>
      </c>
      <c r="I64" s="7" t="inlineStr">
        <is>
          <t>Evet</t>
        </is>
      </c>
      <c r="J64" s="5" t="inlineStr">
        <is>
          <t>Drive foto (20.10.2026)</t>
        </is>
      </c>
      <c r="K64" s="5" t="n"/>
    </row>
    <row r="65" ht="26.4" customHeight="1">
      <c r="A65" s="5" t="inlineStr">
        <is>
          <t>Tare Houses Hotel</t>
        </is>
      </c>
      <c r="B65" s="5" t="inlineStr">
        <is>
          <t>X1</t>
        </is>
      </c>
      <c r="C65" s="7" t="n">
        <v>13</v>
      </c>
      <c r="D65">
        <f>IFERROR(INDEX('Kontrol Adımları'!$D:$D,MATCH(1,INDEX(('Kontrol Adımları'!$A$1:$A$400=B65)*('Kontrol Adımları'!$B$1:$B$400=C65),0),0)),"")</f>
        <v/>
      </c>
      <c r="E65" s="5" t="inlineStr">
        <is>
          <t>silicone_spatula</t>
        </is>
      </c>
      <c r="F65">
        <f>IFERROR(INDEX('Kalem Kataloğu'!$C$1:$C$1000,MATCH(1,INDEX(('Kalem Kataloğu'!$A$1:$A$1000=A65)*('Kalem Kataloğu'!$B$1:$B$1000=E65),0),0)),"?")</f>
        <v/>
      </c>
      <c r="G65">
        <f>IFERROR(INDEX('Kalem Kataloğu'!$D$1:$D$1000,MATCH(1,INDEX(('Kalem Kataloğu'!$A$1:$A$1000=A65)*('Kalem Kataloğu'!$B$1:$B$1000=E65),0),0)),"?")</f>
        <v/>
      </c>
      <c r="H65" s="7" t="n">
        <v>1</v>
      </c>
      <c r="I65" s="7" t="inlineStr">
        <is>
          <t>Evet</t>
        </is>
      </c>
      <c r="J65" s="5" t="inlineStr">
        <is>
          <t>Drive foto (20.10.2026)</t>
        </is>
      </c>
      <c r="K65" s="5" t="n"/>
    </row>
    <row r="66" ht="26.4" customHeight="1">
      <c r="A66" s="5" t="inlineStr">
        <is>
          <t>Tare Houses Hotel</t>
        </is>
      </c>
      <c r="B66" s="5" t="inlineStr">
        <is>
          <t>X1</t>
        </is>
      </c>
      <c r="C66" s="7" t="n">
        <v>14</v>
      </c>
      <c r="D66">
        <f>IFERROR(INDEX('Kontrol Adımları'!$D:$D,MATCH(1,INDEX(('Kontrol Adımları'!$A$1:$A$400=B66)*('Kontrol Adımları'!$B$1:$B$400=C66),0),0)),"")</f>
        <v/>
      </c>
      <c r="E66" s="5" t="inlineStr">
        <is>
          <t>knife_set</t>
        </is>
      </c>
      <c r="F66">
        <f>IFERROR(INDEX('Kalem Kataloğu'!$C$1:$C$1000,MATCH(1,INDEX(('Kalem Kataloğu'!$A$1:$A$1000=A66)*('Kalem Kataloğu'!$B$1:$B$1000=E66),0),0)),"?")</f>
        <v/>
      </c>
      <c r="G66">
        <f>IFERROR(INDEX('Kalem Kataloğu'!$D$1:$D$1000,MATCH(1,INDEX(('Kalem Kataloğu'!$A$1:$A$1000=A66)*('Kalem Kataloğu'!$B$1:$B$1000=E66),0),0)),"?")</f>
        <v/>
      </c>
      <c r="H66" s="7" t="n">
        <v>1</v>
      </c>
      <c r="I66" s="7" t="inlineStr">
        <is>
          <t>Evet</t>
        </is>
      </c>
      <c r="J66" s="5" t="inlineStr">
        <is>
          <t>Drive foto (20.10.2026)</t>
        </is>
      </c>
      <c r="K66" s="5" t="n"/>
    </row>
    <row r="67" ht="26.4" customHeight="1">
      <c r="A67" s="5" t="inlineStr">
        <is>
          <t>Tare Houses Hotel</t>
        </is>
      </c>
      <c r="B67" s="5" t="inlineStr">
        <is>
          <t>X1</t>
        </is>
      </c>
      <c r="C67" s="7" t="n">
        <v>14</v>
      </c>
      <c r="D67">
        <f>IFERROR(INDEX('Kontrol Adımları'!$D:$D,MATCH(1,INDEX(('Kontrol Adımları'!$A$1:$A$400=B67)*('Kontrol Adımları'!$B$1:$B$400=C67),0),0)),"")</f>
        <v/>
      </c>
      <c r="E67" s="5" t="inlineStr">
        <is>
          <t>cutting_board</t>
        </is>
      </c>
      <c r="F67">
        <f>IFERROR(INDEX('Kalem Kataloğu'!$C$1:$C$1000,MATCH(1,INDEX(('Kalem Kataloğu'!$A$1:$A$1000=A67)*('Kalem Kataloğu'!$B$1:$B$1000=E67),0),0)),"?")</f>
        <v/>
      </c>
      <c r="G67">
        <f>IFERROR(INDEX('Kalem Kataloğu'!$D$1:$D$1000,MATCH(1,INDEX(('Kalem Kataloğu'!$A$1:$A$1000=A67)*('Kalem Kataloğu'!$B$1:$B$1000=E67),0),0)),"?")</f>
        <v/>
      </c>
      <c r="H67" s="7" t="n">
        <v>1</v>
      </c>
      <c r="I67" s="7" t="inlineStr">
        <is>
          <t>Evet</t>
        </is>
      </c>
      <c r="J67" s="5" t="inlineStr">
        <is>
          <t>Drive foto (20.10.2026)</t>
        </is>
      </c>
      <c r="K67" s="5" t="n"/>
    </row>
    <row r="68" ht="26.4" customHeight="1">
      <c r="A68" s="5" t="inlineStr">
        <is>
          <t>Tare Houses Hotel</t>
        </is>
      </c>
      <c r="B68" s="5" t="inlineStr">
        <is>
          <t>X1</t>
        </is>
      </c>
      <c r="C68" s="7" t="n">
        <v>15</v>
      </c>
      <c r="D68">
        <f>IFERROR(INDEX('Kontrol Adımları'!$D:$D,MATCH(1,INDEX(('Kontrol Adımları'!$A$1:$A$400=B68)*('Kontrol Adımları'!$B$1:$B$400=C68),0),0)),"")</f>
        <v/>
      </c>
      <c r="E68" s="5" t="inlineStr">
        <is>
          <t>flat_plate_green</t>
        </is>
      </c>
      <c r="F68">
        <f>IFERROR(INDEX('Kalem Kataloğu'!$C$1:$C$1000,MATCH(1,INDEX(('Kalem Kataloğu'!$A$1:$A$1000=A68)*('Kalem Kataloğu'!$B$1:$B$1000=E68),0),0)),"?")</f>
        <v/>
      </c>
      <c r="G68">
        <f>IFERROR(INDEX('Kalem Kataloğu'!$D$1:$D$1000,MATCH(1,INDEX(('Kalem Kataloğu'!$A$1:$A$1000=A68)*('Kalem Kataloğu'!$B$1:$B$1000=E68),0),0)),"?")</f>
        <v/>
      </c>
      <c r="H68" s="7" t="n">
        <v>4</v>
      </c>
      <c r="I68" s="7" t="inlineStr">
        <is>
          <t>Evet</t>
        </is>
      </c>
      <c r="J68" s="5" t="inlineStr">
        <is>
          <t>Drive foto (20.10.2026)</t>
        </is>
      </c>
      <c r="K68" s="5" t="n"/>
    </row>
    <row r="69" ht="26.4" customHeight="1">
      <c r="A69" s="5" t="inlineStr">
        <is>
          <t>Tare Houses Hotel</t>
        </is>
      </c>
      <c r="B69" s="5" t="inlineStr">
        <is>
          <t>X1</t>
        </is>
      </c>
      <c r="C69" s="7" t="n">
        <v>15</v>
      </c>
      <c r="D69">
        <f>IFERROR(INDEX('Kontrol Adımları'!$D:$D,MATCH(1,INDEX(('Kontrol Adımları'!$A$1:$A$400=B69)*('Kontrol Adımları'!$B$1:$B$400=C69),0),0)),"")</f>
        <v/>
      </c>
      <c r="E69" s="5" t="inlineStr">
        <is>
          <t>small_plate_green</t>
        </is>
      </c>
      <c r="F69">
        <f>IFERROR(INDEX('Kalem Kataloğu'!$C$1:$C$1000,MATCH(1,INDEX(('Kalem Kataloğu'!$A$1:$A$1000=A69)*('Kalem Kataloğu'!$B$1:$B$1000=E69),0),0)),"?")</f>
        <v/>
      </c>
      <c r="G69">
        <f>IFERROR(INDEX('Kalem Kataloğu'!$D$1:$D$1000,MATCH(1,INDEX(('Kalem Kataloğu'!$A$1:$A$1000=A69)*('Kalem Kataloğu'!$B$1:$B$1000=E69),0),0)),"?")</f>
        <v/>
      </c>
      <c r="H69" s="7" t="n">
        <v>4</v>
      </c>
      <c r="I69" s="7" t="inlineStr">
        <is>
          <t>Evet</t>
        </is>
      </c>
      <c r="J69" s="5" t="inlineStr">
        <is>
          <t>Drive foto (20.10.2026)</t>
        </is>
      </c>
      <c r="K69" s="5" t="n"/>
    </row>
    <row r="70" ht="26.4" customHeight="1">
      <c r="A70" s="5" t="inlineStr">
        <is>
          <t>Tare Houses Hotel</t>
        </is>
      </c>
      <c r="B70" s="5" t="inlineStr">
        <is>
          <t>X1</t>
        </is>
      </c>
      <c r="C70" s="7" t="n">
        <v>15</v>
      </c>
      <c r="D70">
        <f>IFERROR(INDEX('Kontrol Adımları'!$D:$D,MATCH(1,INDEX(('Kontrol Adımları'!$A$1:$A$400=B70)*('Kontrol Adımları'!$B$1:$B$400=C70),0),0)),"")</f>
        <v/>
      </c>
      <c r="E70" s="5" t="inlineStr">
        <is>
          <t>mug</t>
        </is>
      </c>
      <c r="F70">
        <f>IFERROR(INDEX('Kalem Kataloğu'!$C$1:$C$1000,MATCH(1,INDEX(('Kalem Kataloğu'!$A$1:$A$1000=A70)*('Kalem Kataloğu'!$B$1:$B$1000=E70),0),0)),"?")</f>
        <v/>
      </c>
      <c r="G70">
        <f>IFERROR(INDEX('Kalem Kataloğu'!$D$1:$D$1000,MATCH(1,INDEX(('Kalem Kataloğu'!$A$1:$A$1000=A70)*('Kalem Kataloğu'!$B$1:$B$1000=E70),0),0)),"?")</f>
        <v/>
      </c>
      <c r="H70" s="7" t="n">
        <v>4</v>
      </c>
      <c r="I70" s="7" t="inlineStr">
        <is>
          <t>Evet</t>
        </is>
      </c>
      <c r="J70" s="5" t="inlineStr">
        <is>
          <t>Drive foto (20.10.2026)</t>
        </is>
      </c>
      <c r="K70" s="5" t="n"/>
    </row>
    <row r="71" ht="26.4" customHeight="1">
      <c r="A71" s="5" t="inlineStr">
        <is>
          <t>Tare Houses Hotel</t>
        </is>
      </c>
      <c r="B71" s="5" t="inlineStr">
        <is>
          <t>X1</t>
        </is>
      </c>
      <c r="C71" s="7" t="n">
        <v>15</v>
      </c>
      <c r="D71">
        <f>IFERROR(INDEX('Kontrol Adımları'!$D:$D,MATCH(1,INDEX(('Kontrol Adımları'!$A$1:$A$400=B71)*('Kontrol Adımları'!$B$1:$B$400=C71),0),0)),"")</f>
        <v/>
      </c>
      <c r="E71" s="5" t="inlineStr">
        <is>
          <t>wine_glass</t>
        </is>
      </c>
      <c r="F71">
        <f>IFERROR(INDEX('Kalem Kataloğu'!$C$1:$C$1000,MATCH(1,INDEX(('Kalem Kataloğu'!$A$1:$A$1000=A71)*('Kalem Kataloğu'!$B$1:$B$1000=E71),0),0)),"?")</f>
        <v/>
      </c>
      <c r="G71">
        <f>IFERROR(INDEX('Kalem Kataloğu'!$D$1:$D$1000,MATCH(1,INDEX(('Kalem Kataloğu'!$A$1:$A$1000=A71)*('Kalem Kataloğu'!$B$1:$B$1000=E71),0),0)),"?")</f>
        <v/>
      </c>
      <c r="H71" s="7" t="n">
        <v>2</v>
      </c>
      <c r="I71" s="7" t="inlineStr">
        <is>
          <t>Evet</t>
        </is>
      </c>
      <c r="J71" s="5" t="inlineStr">
        <is>
          <t>Drive foto (20.10.2026)</t>
        </is>
      </c>
      <c r="K71" s="5" t="n"/>
    </row>
    <row r="72" ht="26.4" customHeight="1">
      <c r="A72" s="5" t="inlineStr">
        <is>
          <t>Tare Houses Hotel</t>
        </is>
      </c>
      <c r="B72" s="5" t="inlineStr">
        <is>
          <t>X1</t>
        </is>
      </c>
      <c r="C72" s="7" t="n">
        <v>15</v>
      </c>
      <c r="D72">
        <f>IFERROR(INDEX('Kontrol Adımları'!$D:$D,MATCH(1,INDEX(('Kontrol Adımları'!$A$1:$A$400=B72)*('Kontrol Adımları'!$B$1:$B$400=C72),0),0)),"")</f>
        <v/>
      </c>
      <c r="E72" s="5" t="inlineStr">
        <is>
          <t>water_glass</t>
        </is>
      </c>
      <c r="F72">
        <f>IFERROR(INDEX('Kalem Kataloğu'!$C$1:$C$1000,MATCH(1,INDEX(('Kalem Kataloğu'!$A$1:$A$1000=A72)*('Kalem Kataloğu'!$B$1:$B$1000=E72),0),0)),"?")</f>
        <v/>
      </c>
      <c r="G72">
        <f>IFERROR(INDEX('Kalem Kataloğu'!$D$1:$D$1000,MATCH(1,INDEX(('Kalem Kataloğu'!$A$1:$A$1000=A72)*('Kalem Kataloğu'!$B$1:$B$1000=E72),0),0)),"?")</f>
        <v/>
      </c>
      <c r="H72" s="7" t="n">
        <v>3</v>
      </c>
      <c r="I72" s="7" t="inlineStr">
        <is>
          <t>Hayır</t>
        </is>
      </c>
      <c r="J72" s="5" t="inlineStr">
        <is>
          <t>Drive foto (20.10.2026)</t>
        </is>
      </c>
      <c r="K72" s="5" t="inlineStr">
        <is>
          <t>Fotoğrafta 3; set 4 olabilir</t>
        </is>
      </c>
    </row>
    <row r="73" ht="26.4" customHeight="1">
      <c r="A73" s="5" t="inlineStr">
        <is>
          <t>Tare Houses Hotel</t>
        </is>
      </c>
      <c r="B73" s="5" t="inlineStr">
        <is>
          <t>X1</t>
        </is>
      </c>
      <c r="C73" s="7" t="n">
        <v>15</v>
      </c>
      <c r="D73">
        <f>IFERROR(INDEX('Kontrol Adımları'!$D:$D,MATCH(1,INDEX(('Kontrol Adımları'!$A$1:$A$400=B73)*('Kontrol Adımları'!$B$1:$B$400=C73),0),0)),"")</f>
        <v/>
      </c>
      <c r="E73" s="5" t="inlineStr">
        <is>
          <t>sauce_bowl</t>
        </is>
      </c>
      <c r="F73">
        <f>IFERROR(INDEX('Kalem Kataloğu'!$C$1:$C$1000,MATCH(1,INDEX(('Kalem Kataloğu'!$A$1:$A$1000=A73)*('Kalem Kataloğu'!$B$1:$B$1000=E73),0),0)),"?")</f>
        <v/>
      </c>
      <c r="G73">
        <f>IFERROR(INDEX('Kalem Kataloğu'!$D$1:$D$1000,MATCH(1,INDEX(('Kalem Kataloğu'!$A$1:$A$1000=A73)*('Kalem Kataloğu'!$B$1:$B$1000=E73),0),0)),"?")</f>
        <v/>
      </c>
      <c r="H73" s="7" t="n">
        <v>4</v>
      </c>
      <c r="I73" s="7" t="inlineStr">
        <is>
          <t>Evet</t>
        </is>
      </c>
      <c r="J73" s="5" t="inlineStr">
        <is>
          <t>Drive foto (20.10.2026)</t>
        </is>
      </c>
      <c r="K73" s="5" t="n"/>
    </row>
    <row r="74" ht="26.4" customHeight="1">
      <c r="A74" s="5" t="inlineStr">
        <is>
          <t>Tare Houses Hotel</t>
        </is>
      </c>
      <c r="B74" s="5" t="inlineStr">
        <is>
          <t>X1</t>
        </is>
      </c>
      <c r="C74" s="7" t="n">
        <v>16</v>
      </c>
      <c r="D74">
        <f>IFERROR(INDEX('Kontrol Adımları'!$D:$D,MATCH(1,INDEX(('Kontrol Adımları'!$A$1:$A$400=B74)*('Kontrol Adımları'!$B$1:$B$400=C74),0),0)),"")</f>
        <v/>
      </c>
      <c r="E74" s="5" t="inlineStr">
        <is>
          <t>salt_pepper_set</t>
        </is>
      </c>
      <c r="F74">
        <f>IFERROR(INDEX('Kalem Kataloğu'!$C$1:$C$1000,MATCH(1,INDEX(('Kalem Kataloğu'!$A$1:$A$1000=A74)*('Kalem Kataloğu'!$B$1:$B$1000=E74),0),0)),"?")</f>
        <v/>
      </c>
      <c r="G74">
        <f>IFERROR(INDEX('Kalem Kataloğu'!$D$1:$D$1000,MATCH(1,INDEX(('Kalem Kataloğu'!$A$1:$A$1000=A74)*('Kalem Kataloğu'!$B$1:$B$1000=E74),0),0)),"?")</f>
        <v/>
      </c>
      <c r="H74" s="7" t="n">
        <v>1</v>
      </c>
      <c r="I74" s="7" t="inlineStr">
        <is>
          <t>Evet</t>
        </is>
      </c>
      <c r="J74" s="5" t="inlineStr">
        <is>
          <t>Drive foto (20.10.2026)</t>
        </is>
      </c>
      <c r="K74" s="5" t="n"/>
    </row>
    <row r="75" ht="26.4" customHeight="1">
      <c r="A75" s="5" t="inlineStr">
        <is>
          <t>Tare Houses Hotel</t>
        </is>
      </c>
      <c r="B75" s="5" t="inlineStr">
        <is>
          <t>X1</t>
        </is>
      </c>
      <c r="C75" s="7" t="n">
        <v>16</v>
      </c>
      <c r="D75">
        <f>IFERROR(INDEX('Kontrol Adımları'!$D:$D,MATCH(1,INDEX(('Kontrol Adımları'!$A$1:$A$400=B75)*('Kontrol Adımları'!$B$1:$B$400=C75),0),0)),"")</f>
        <v/>
      </c>
      <c r="E75" s="5" t="inlineStr">
        <is>
          <t>oil_bottle</t>
        </is>
      </c>
      <c r="F75">
        <f>IFERROR(INDEX('Kalem Kataloğu'!$C$1:$C$1000,MATCH(1,INDEX(('Kalem Kataloğu'!$A$1:$A$1000=A75)*('Kalem Kataloğu'!$B$1:$B$1000=E75),0),0)),"?")</f>
        <v/>
      </c>
      <c r="G75">
        <f>IFERROR(INDEX('Kalem Kataloğu'!$D$1:$D$1000,MATCH(1,INDEX(('Kalem Kataloğu'!$A$1:$A$1000=A75)*('Kalem Kataloğu'!$B$1:$B$1000=E75),0),0)),"?")</f>
        <v/>
      </c>
      <c r="H75" s="7" t="n">
        <v>1</v>
      </c>
      <c r="I75" s="7" t="inlineStr">
        <is>
          <t>Evet</t>
        </is>
      </c>
      <c r="J75" s="5" t="inlineStr">
        <is>
          <t>Drive foto (20.10.2026)</t>
        </is>
      </c>
      <c r="K75" s="5" t="n"/>
    </row>
    <row r="76" ht="26.4" customHeight="1">
      <c r="A76" s="5" t="inlineStr">
        <is>
          <t>Tare Houses Hotel</t>
        </is>
      </c>
      <c r="B76" s="5" t="inlineStr">
        <is>
          <t>X1</t>
        </is>
      </c>
      <c r="C76" s="7" t="n">
        <v>17</v>
      </c>
      <c r="D76">
        <f>IFERROR(INDEX('Kontrol Adımları'!$D:$D,MATCH(1,INDEX(('Kontrol Adımları'!$A$1:$A$400=B76)*('Kontrol Adımları'!$B$1:$B$400=C76),0),0)),"")</f>
        <v/>
      </c>
      <c r="E76" s="5" t="inlineStr">
        <is>
          <t>deep_plate</t>
        </is>
      </c>
      <c r="F76">
        <f>IFERROR(INDEX('Kalem Kataloğu'!$C$1:$C$1000,MATCH(1,INDEX(('Kalem Kataloğu'!$A$1:$A$1000=A76)*('Kalem Kataloğu'!$B$1:$B$1000=E76),0),0)),"?")</f>
        <v/>
      </c>
      <c r="G76">
        <f>IFERROR(INDEX('Kalem Kataloğu'!$D$1:$D$1000,MATCH(1,INDEX(('Kalem Kataloğu'!$A$1:$A$1000=A76)*('Kalem Kataloğu'!$B$1:$B$1000=E76),0),0)),"?")</f>
        <v/>
      </c>
      <c r="H76" s="7" t="n">
        <v>2</v>
      </c>
      <c r="I76" s="7" t="inlineStr">
        <is>
          <t>Evet</t>
        </is>
      </c>
      <c r="J76" s="5" t="inlineStr">
        <is>
          <t>Drive foto (20.10.2026)</t>
        </is>
      </c>
      <c r="K76" s="5" t="n"/>
    </row>
    <row r="77" ht="26.4" customHeight="1">
      <c r="A77" s="5" t="inlineStr">
        <is>
          <t>Tare Houses Hotel</t>
        </is>
      </c>
      <c r="B77" s="5" t="inlineStr">
        <is>
          <t>X1</t>
        </is>
      </c>
      <c r="C77" s="7" t="n">
        <v>17</v>
      </c>
      <c r="D77">
        <f>IFERROR(INDEX('Kontrol Adımları'!$D:$D,MATCH(1,INDEX(('Kontrol Adımları'!$A$1:$A$400=B77)*('Kontrol Adımları'!$B$1:$B$400=C77),0),0)),"")</f>
        <v/>
      </c>
      <c r="E77" s="5" t="inlineStr">
        <is>
          <t>bowl</t>
        </is>
      </c>
      <c r="F77">
        <f>IFERROR(INDEX('Kalem Kataloğu'!$C$1:$C$1000,MATCH(1,INDEX(('Kalem Kataloğu'!$A$1:$A$1000=A77)*('Kalem Kataloğu'!$B$1:$B$1000=E77),0),0)),"?")</f>
        <v/>
      </c>
      <c r="G77">
        <f>IFERROR(INDEX('Kalem Kataloğu'!$D$1:$D$1000,MATCH(1,INDEX(('Kalem Kataloğu'!$A$1:$A$1000=A77)*('Kalem Kataloğu'!$B$1:$B$1000=E77),0),0)),"?")</f>
        <v/>
      </c>
      <c r="H77" s="7" t="n">
        <v>2</v>
      </c>
      <c r="I77" s="7" t="inlineStr">
        <is>
          <t>Evet</t>
        </is>
      </c>
      <c r="J77" s="5" t="inlineStr">
        <is>
          <t>Drive foto (20.10.2026)</t>
        </is>
      </c>
      <c r="K77" s="5" t="n"/>
    </row>
    <row r="78" ht="26.4" customHeight="1">
      <c r="A78" s="5" t="inlineStr">
        <is>
          <t>Tare Houses Hotel</t>
        </is>
      </c>
      <c r="B78" s="5" t="inlineStr">
        <is>
          <t>X1</t>
        </is>
      </c>
      <c r="C78" s="7" t="n">
        <v>17</v>
      </c>
      <c r="D78">
        <f>IFERROR(INDEX('Kontrol Adımları'!$D:$D,MATCH(1,INDEX(('Kontrol Adımları'!$A$1:$A$400=B78)*('Kontrol Adımları'!$B$1:$B$400=C78),0),0)),"")</f>
        <v/>
      </c>
      <c r="E78" s="5" t="inlineStr">
        <is>
          <t>dinner_plate</t>
        </is>
      </c>
      <c r="F78">
        <f>IFERROR(INDEX('Kalem Kataloğu'!$C$1:$C$1000,MATCH(1,INDEX(('Kalem Kataloğu'!$A$1:$A$1000=A78)*('Kalem Kataloğu'!$B$1:$B$1000=E78),0),0)),"?")</f>
        <v/>
      </c>
      <c r="G78">
        <f>IFERROR(INDEX('Kalem Kataloğu'!$D$1:$D$1000,MATCH(1,INDEX(('Kalem Kataloğu'!$A$1:$A$1000=A78)*('Kalem Kataloğu'!$B$1:$B$1000=E78),0),0)),"?")</f>
        <v/>
      </c>
      <c r="H78" s="7" t="n">
        <v>2</v>
      </c>
      <c r="I78" s="7" t="inlineStr">
        <is>
          <t>Evet</t>
        </is>
      </c>
      <c r="J78" s="5" t="inlineStr">
        <is>
          <t>Drive foto (20.10.2026)</t>
        </is>
      </c>
      <c r="K78" s="5" t="n"/>
    </row>
    <row r="79" ht="26.4" customHeight="1">
      <c r="A79" s="5" t="inlineStr">
        <is>
          <t>Tare Houses Hotel</t>
        </is>
      </c>
      <c r="B79" s="5" t="inlineStr">
        <is>
          <t>X1</t>
        </is>
      </c>
      <c r="C79" s="7" t="n">
        <v>17</v>
      </c>
      <c r="D79">
        <f>IFERROR(INDEX('Kontrol Adımları'!$D:$D,MATCH(1,INDEX(('Kontrol Adımları'!$A$1:$A$400=B79)*('Kontrol Adımları'!$B$1:$B$400=C79),0),0)),"")</f>
        <v/>
      </c>
      <c r="E79" s="5" t="inlineStr">
        <is>
          <t>side_plate</t>
        </is>
      </c>
      <c r="F79">
        <f>IFERROR(INDEX('Kalem Kataloğu'!$C$1:$C$1000,MATCH(1,INDEX(('Kalem Kataloğu'!$A$1:$A$1000=A79)*('Kalem Kataloğu'!$B$1:$B$1000=E79),0),0)),"?")</f>
        <v/>
      </c>
      <c r="G79">
        <f>IFERROR(INDEX('Kalem Kataloğu'!$D$1:$D$1000,MATCH(1,INDEX(('Kalem Kataloğu'!$A$1:$A$1000=A79)*('Kalem Kataloğu'!$B$1:$B$1000=E79),0),0)),"?")</f>
        <v/>
      </c>
      <c r="H79" s="7" t="n">
        <v>2</v>
      </c>
      <c r="I79" s="7" t="inlineStr">
        <is>
          <t>Evet</t>
        </is>
      </c>
      <c r="J79" s="5" t="inlineStr">
        <is>
          <t>Drive foto (20.10.2026)</t>
        </is>
      </c>
      <c r="K79" s="5" t="n"/>
    </row>
    <row r="80" ht="26.4" customHeight="1">
      <c r="A80" s="5" t="inlineStr">
        <is>
          <t>Tare Houses Hotel</t>
        </is>
      </c>
      <c r="B80" s="5" t="inlineStr">
        <is>
          <t>X1</t>
        </is>
      </c>
      <c r="C80" s="7" t="n">
        <v>18</v>
      </c>
      <c r="D80">
        <f>IFERROR(INDEX('Kontrol Adımları'!$D:$D,MATCH(1,INDEX(('Kontrol Adımları'!$A$1:$A$400=B80)*('Kontrol Adımları'!$B$1:$B$400=C80),0),0)),"")</f>
        <v/>
      </c>
      <c r="E80" s="5" t="inlineStr">
        <is>
          <t>pot</t>
        </is>
      </c>
      <c r="F80">
        <f>IFERROR(INDEX('Kalem Kataloğu'!$C$1:$C$1000,MATCH(1,INDEX(('Kalem Kataloğu'!$A$1:$A$1000=A80)*('Kalem Kataloğu'!$B$1:$B$1000=E80),0),0)),"?")</f>
        <v/>
      </c>
      <c r="G80">
        <f>IFERROR(INDEX('Kalem Kataloğu'!$D$1:$D$1000,MATCH(1,INDEX(('Kalem Kataloğu'!$A$1:$A$1000=A80)*('Kalem Kataloğu'!$B$1:$B$1000=E80),0),0)),"?")</f>
        <v/>
      </c>
      <c r="H80" s="7" t="n">
        <v>2</v>
      </c>
      <c r="I80" s="7" t="inlineStr">
        <is>
          <t>Hayır</t>
        </is>
      </c>
      <c r="J80" s="5" t="inlineStr">
        <is>
          <t>Drive foto (20.10.2026)</t>
        </is>
      </c>
      <c r="K80" s="5" t="inlineStr">
        <is>
          <t>X1 fotoğrafı yok; X2 ile aynı varsayıldı</t>
        </is>
      </c>
    </row>
    <row r="81" ht="26.4" customHeight="1">
      <c r="A81" s="5" t="inlineStr">
        <is>
          <t>Tare Houses Hotel</t>
        </is>
      </c>
      <c r="B81" s="5" t="inlineStr">
        <is>
          <t>X1</t>
        </is>
      </c>
      <c r="C81" s="7" t="n">
        <v>18</v>
      </c>
      <c r="D81">
        <f>IFERROR(INDEX('Kontrol Adımları'!$D:$D,MATCH(1,INDEX(('Kontrol Adımları'!$A$1:$A$400=B81)*('Kontrol Adımları'!$B$1:$B$400=C81),0),0)),"")</f>
        <v/>
      </c>
      <c r="E81" s="5" t="inlineStr">
        <is>
          <t>saucepan</t>
        </is>
      </c>
      <c r="F81">
        <f>IFERROR(INDEX('Kalem Kataloğu'!$C$1:$C$1000,MATCH(1,INDEX(('Kalem Kataloğu'!$A$1:$A$1000=A81)*('Kalem Kataloğu'!$B$1:$B$1000=E81),0),0)),"?")</f>
        <v/>
      </c>
      <c r="G81">
        <f>IFERROR(INDEX('Kalem Kataloğu'!$D$1:$D$1000,MATCH(1,INDEX(('Kalem Kataloğu'!$A$1:$A$1000=A81)*('Kalem Kataloğu'!$B$1:$B$1000=E81),0),0)),"?")</f>
        <v/>
      </c>
      <c r="H81" s="7" t="n">
        <v>1</v>
      </c>
      <c r="I81" s="7" t="inlineStr">
        <is>
          <t>Hayır</t>
        </is>
      </c>
      <c r="J81" s="5" t="inlineStr">
        <is>
          <t>Drive foto (20.10.2026)</t>
        </is>
      </c>
      <c r="K81" s="5" t="inlineStr">
        <is>
          <t>X2 ile aynı varsayıldı</t>
        </is>
      </c>
    </row>
    <row r="82" ht="26.4" customHeight="1">
      <c r="A82" s="5" t="inlineStr">
        <is>
          <t>Tare Houses Hotel</t>
        </is>
      </c>
      <c r="B82" s="5" t="inlineStr">
        <is>
          <t>X1</t>
        </is>
      </c>
      <c r="C82" s="7" t="n">
        <v>18</v>
      </c>
      <c r="D82">
        <f>IFERROR(INDEX('Kontrol Adımları'!$D:$D,MATCH(1,INDEX(('Kontrol Adımları'!$A$1:$A$400=B82)*('Kontrol Adımları'!$B$1:$B$400=C82),0),0)),"")</f>
        <v/>
      </c>
      <c r="E82" s="5" t="inlineStr">
        <is>
          <t>frying_pan</t>
        </is>
      </c>
      <c r="F82">
        <f>IFERROR(INDEX('Kalem Kataloğu'!$C$1:$C$1000,MATCH(1,INDEX(('Kalem Kataloğu'!$A$1:$A$1000=A82)*('Kalem Kataloğu'!$B$1:$B$1000=E82),0),0)),"?")</f>
        <v/>
      </c>
      <c r="G82">
        <f>IFERROR(INDEX('Kalem Kataloğu'!$D$1:$D$1000,MATCH(1,INDEX(('Kalem Kataloğu'!$A$1:$A$1000=A82)*('Kalem Kataloğu'!$B$1:$B$1000=E82),0),0)),"?")</f>
        <v/>
      </c>
      <c r="H82" s="7" t="n">
        <v>1</v>
      </c>
      <c r="I82" s="7" t="inlineStr">
        <is>
          <t>Hayır</t>
        </is>
      </c>
      <c r="J82" s="5" t="inlineStr">
        <is>
          <t>Drive foto (20.10.2026)</t>
        </is>
      </c>
      <c r="K82" s="5" t="inlineStr">
        <is>
          <t>X2 ile aynı varsayıldı</t>
        </is>
      </c>
    </row>
    <row r="83" ht="26.4" customHeight="1">
      <c r="A83" s="5" t="inlineStr">
        <is>
          <t>Tare Houses Hotel</t>
        </is>
      </c>
      <c r="B83" s="5" t="inlineStr">
        <is>
          <t>X1</t>
        </is>
      </c>
      <c r="C83" s="7" t="n">
        <v>18</v>
      </c>
      <c r="D83">
        <f>IFERROR(INDEX('Kontrol Adımları'!$D:$D,MATCH(1,INDEX(('Kontrol Adımları'!$A$1:$A$400=B83)*('Kontrol Adımları'!$B$1:$B$400=C83),0),0)),"")</f>
        <v/>
      </c>
      <c r="E83" s="5" t="inlineStr">
        <is>
          <t>trivet</t>
        </is>
      </c>
      <c r="F83">
        <f>IFERROR(INDEX('Kalem Kataloğu'!$C$1:$C$1000,MATCH(1,INDEX(('Kalem Kataloğu'!$A$1:$A$1000=A83)*('Kalem Kataloğu'!$B$1:$B$1000=E83),0),0)),"?")</f>
        <v/>
      </c>
      <c r="G83">
        <f>IFERROR(INDEX('Kalem Kataloğu'!$D$1:$D$1000,MATCH(1,INDEX(('Kalem Kataloğu'!$A$1:$A$1000=A83)*('Kalem Kataloğu'!$B$1:$B$1000=E83),0),0)),"?")</f>
        <v/>
      </c>
      <c r="H83" s="7" t="n">
        <v>2</v>
      </c>
      <c r="I83" s="7" t="inlineStr">
        <is>
          <t>Hayır</t>
        </is>
      </c>
      <c r="J83" s="5" t="inlineStr">
        <is>
          <t>Drive foto (20.10.2026)</t>
        </is>
      </c>
      <c r="K83" s="5" t="inlineStr">
        <is>
          <t>X2 ile aynı varsayıldı</t>
        </is>
      </c>
    </row>
    <row r="84" ht="26.4" customHeight="1">
      <c r="A84" s="5" t="inlineStr">
        <is>
          <t>Tare Houses Hotel</t>
        </is>
      </c>
      <c r="B84" s="5" t="inlineStr">
        <is>
          <t>X2</t>
        </is>
      </c>
      <c r="C84" s="7" t="n">
        <v>9</v>
      </c>
      <c r="D84">
        <f>IFERROR(INDEX('Kontrol Adımları'!$D:$D,MATCH(1,INDEX(('Kontrol Adımları'!$A$1:$A$400=B84)*('Kontrol Adımları'!$B$1:$B$400=C84),0),0)),"")</f>
        <v/>
      </c>
      <c r="E84" s="5" t="inlineStr">
        <is>
          <t>coffee_cup</t>
        </is>
      </c>
      <c r="F84">
        <f>IFERROR(INDEX('Kalem Kataloğu'!$C$1:$C$1000,MATCH(1,INDEX(('Kalem Kataloğu'!$A$1:$A$1000=A84)*('Kalem Kataloğu'!$B$1:$B$1000=E84),0),0)),"?")</f>
        <v/>
      </c>
      <c r="G84">
        <f>IFERROR(INDEX('Kalem Kataloğu'!$D$1:$D$1000,MATCH(1,INDEX(('Kalem Kataloğu'!$A$1:$A$1000=A84)*('Kalem Kataloğu'!$B$1:$B$1000=E84),0),0)),"?")</f>
        <v/>
      </c>
      <c r="H84" s="7" t="n">
        <v>2</v>
      </c>
      <c r="I84" s="7" t="inlineStr">
        <is>
          <t>Evet</t>
        </is>
      </c>
      <c r="J84" s="5" t="inlineStr">
        <is>
          <t>Drive foto (20.10.2026)</t>
        </is>
      </c>
      <c r="K84" s="5" t="n"/>
    </row>
    <row r="85" ht="52.8" customHeight="1">
      <c r="A85" s="5" t="inlineStr">
        <is>
          <t>Tare Houses Hotel</t>
        </is>
      </c>
      <c r="B85" s="5" t="inlineStr">
        <is>
          <t>X2</t>
        </is>
      </c>
      <c r="C85" s="7" t="n">
        <v>9</v>
      </c>
      <c r="D85">
        <f>IFERROR(INDEX('Kontrol Adımları'!$D:$D,MATCH(1,INDEX(('Kontrol Adımları'!$A$1:$A$400=B85)*('Kontrol Adımları'!$B$1:$B$400=C85),0),0)),"")</f>
        <v/>
      </c>
      <c r="E85" s="5" t="inlineStr">
        <is>
          <t>lokum_bowl</t>
        </is>
      </c>
      <c r="F85">
        <f>IFERROR(INDEX('Kalem Kataloğu'!$C$1:$C$1000,MATCH(1,INDEX(('Kalem Kataloğu'!$A$1:$A$1000=A85)*('Kalem Kataloğu'!$B$1:$B$1000=E85),0),0)),"?")</f>
        <v/>
      </c>
      <c r="G85">
        <f>IFERROR(INDEX('Kalem Kataloğu'!$D$1:$D$1000,MATCH(1,INDEX(('Kalem Kataloğu'!$A$1:$A$1000=A85)*('Kalem Kataloğu'!$B$1:$B$1000=E85),0),0)),"?")</f>
        <v/>
      </c>
      <c r="H85" s="7" t="n">
        <v>1</v>
      </c>
      <c r="I85" s="7" t="inlineStr">
        <is>
          <t>Evet</t>
        </is>
      </c>
      <c r="J85" s="5" t="inlineStr">
        <is>
          <t>Drive foto (20.10.2026)</t>
        </is>
      </c>
      <c r="K85" s="5" t="n"/>
    </row>
    <row r="86" ht="26.4" customHeight="1">
      <c r="A86" s="5" t="inlineStr">
        <is>
          <t>Tare Houses Hotel</t>
        </is>
      </c>
      <c r="B86" s="5" t="inlineStr">
        <is>
          <t>X2</t>
        </is>
      </c>
      <c r="C86" s="7" t="n">
        <v>12</v>
      </c>
      <c r="D86">
        <f>IFERROR(INDEX('Kontrol Adımları'!$D:$D,MATCH(1,INDEX(('Kontrol Adımları'!$A$1:$A$400=B86)*('Kontrol Adımları'!$B$1:$B$400=C86),0),0)),"")</f>
        <v/>
      </c>
      <c r="E86" s="5" t="inlineStr">
        <is>
          <t>sponge_caddy</t>
        </is>
      </c>
      <c r="F86">
        <f>IFERROR(INDEX('Kalem Kataloğu'!$C$1:$C$1000,MATCH(1,INDEX(('Kalem Kataloğu'!$A$1:$A$1000=A86)*('Kalem Kataloğu'!$B$1:$B$1000=E86),0),0)),"?")</f>
        <v/>
      </c>
      <c r="G86">
        <f>IFERROR(INDEX('Kalem Kataloğu'!$D$1:$D$1000,MATCH(1,INDEX(('Kalem Kataloğu'!$A$1:$A$1000=A86)*('Kalem Kataloğu'!$B$1:$B$1000=E86),0),0)),"?")</f>
        <v/>
      </c>
      <c r="H86" s="7" t="n">
        <v>1</v>
      </c>
      <c r="I86" s="7" t="inlineStr">
        <is>
          <t>Evet</t>
        </is>
      </c>
      <c r="J86" s="5" t="inlineStr">
        <is>
          <t>Drive foto (20.10.2026)</t>
        </is>
      </c>
      <c r="K86" s="5" t="n"/>
    </row>
    <row r="87" ht="26.4" customHeight="1">
      <c r="A87" s="5" t="inlineStr">
        <is>
          <t>Tare Houses Hotel</t>
        </is>
      </c>
      <c r="B87" s="5" t="inlineStr">
        <is>
          <t>X2</t>
        </is>
      </c>
      <c r="C87" s="7" t="n">
        <v>12</v>
      </c>
      <c r="D87">
        <f>IFERROR(INDEX('Kontrol Adımları'!$D:$D,MATCH(1,INDEX(('Kontrol Adımları'!$A$1:$A$400=B87)*('Kontrol Adımları'!$B$1:$B$400=C87),0),0)),"")</f>
        <v/>
      </c>
      <c r="E87" s="5" t="inlineStr">
        <is>
          <t>dish_rack</t>
        </is>
      </c>
      <c r="F87">
        <f>IFERROR(INDEX('Kalem Kataloğu'!$C$1:$C$1000,MATCH(1,INDEX(('Kalem Kataloğu'!$A$1:$A$1000=A87)*('Kalem Kataloğu'!$B$1:$B$1000=E87),0),0)),"?")</f>
        <v/>
      </c>
      <c r="G87">
        <f>IFERROR(INDEX('Kalem Kataloğu'!$D$1:$D$1000,MATCH(1,INDEX(('Kalem Kataloğu'!$A$1:$A$1000=A87)*('Kalem Kataloğu'!$B$1:$B$1000=E87),0),0)),"?")</f>
        <v/>
      </c>
      <c r="H87" s="7" t="n">
        <v>1</v>
      </c>
      <c r="I87" s="7" t="inlineStr">
        <is>
          <t>Evet</t>
        </is>
      </c>
      <c r="J87" s="5" t="inlineStr">
        <is>
          <t>Drive foto (20.10.2026)</t>
        </is>
      </c>
      <c r="K87" s="5" t="n"/>
    </row>
    <row r="88" ht="66" customHeight="1">
      <c r="A88" s="5" t="inlineStr">
        <is>
          <t>Tare Houses Hotel</t>
        </is>
      </c>
      <c r="B88" s="5" t="inlineStr">
        <is>
          <t>X2</t>
        </is>
      </c>
      <c r="C88" s="7" t="n">
        <v>12</v>
      </c>
      <c r="D88">
        <f>IFERROR(INDEX('Kontrol Adımları'!$D:$D,MATCH(1,INDEX(('Kontrol Adımları'!$A$1:$A$400=B88)*('Kontrol Adımları'!$B$1:$B$400=C88),0),0)),"")</f>
        <v/>
      </c>
      <c r="E88" s="5" t="inlineStr">
        <is>
          <t>salt_pepper_set</t>
        </is>
      </c>
      <c r="F88">
        <f>IFERROR(INDEX('Kalem Kataloğu'!$C$1:$C$1000,MATCH(1,INDEX(('Kalem Kataloğu'!$A$1:$A$1000=A88)*('Kalem Kataloğu'!$B$1:$B$1000=E88),0),0)),"?")</f>
        <v/>
      </c>
      <c r="G88">
        <f>IFERROR(INDEX('Kalem Kataloğu'!$D$1:$D$1000,MATCH(1,INDEX(('Kalem Kataloğu'!$A$1:$A$1000=A88)*('Kalem Kataloğu'!$B$1:$B$1000=E88),0),0)),"?")</f>
        <v/>
      </c>
      <c r="H88" s="7" t="n">
        <v>1</v>
      </c>
      <c r="I88" s="7" t="inlineStr">
        <is>
          <t>Evet</t>
        </is>
      </c>
      <c r="J88" s="5" t="inlineStr">
        <is>
          <t>Drive foto (20.10.2026)</t>
        </is>
      </c>
      <c r="K88" s="5" t="n"/>
    </row>
    <row r="89" ht="26.4" customHeight="1">
      <c r="A89" s="5" t="inlineStr">
        <is>
          <t>Tare Houses Hotel</t>
        </is>
      </c>
      <c r="B89" s="5" t="inlineStr">
        <is>
          <t>X2</t>
        </is>
      </c>
      <c r="C89" s="7" t="n">
        <v>12</v>
      </c>
      <c r="D89">
        <f>IFERROR(INDEX('Kontrol Adımları'!$D:$D,MATCH(1,INDEX(('Kontrol Adımları'!$A$1:$A$400=B89)*('Kontrol Adımları'!$B$1:$B$400=C89),0),0)),"")</f>
        <v/>
      </c>
      <c r="E89" s="5" t="inlineStr">
        <is>
          <t>oil_bottle</t>
        </is>
      </c>
      <c r="F89">
        <f>IFERROR(INDEX('Kalem Kataloğu'!$C$1:$C$1000,MATCH(1,INDEX(('Kalem Kataloğu'!$A$1:$A$1000=A89)*('Kalem Kataloğu'!$B$1:$B$1000=E89),0),0)),"?")</f>
        <v/>
      </c>
      <c r="G89">
        <f>IFERROR(INDEX('Kalem Kataloğu'!$D$1:$D$1000,MATCH(1,INDEX(('Kalem Kataloğu'!$A$1:$A$1000=A89)*('Kalem Kataloğu'!$B$1:$B$1000=E89),0),0)),"?")</f>
        <v/>
      </c>
      <c r="H89" s="7" t="n">
        <v>1</v>
      </c>
      <c r="I89" s="7" t="inlineStr">
        <is>
          <t>Evet</t>
        </is>
      </c>
      <c r="J89" s="5" t="inlineStr">
        <is>
          <t>Drive foto (20.10.2026)</t>
        </is>
      </c>
      <c r="K89" s="5" t="n"/>
    </row>
    <row r="90" ht="66" customHeight="1">
      <c r="A90" s="5" t="inlineStr">
        <is>
          <t>Tare Houses Hotel</t>
        </is>
      </c>
      <c r="B90" s="5" t="inlineStr">
        <is>
          <t>X2</t>
        </is>
      </c>
      <c r="C90" s="7" t="n">
        <v>13</v>
      </c>
      <c r="D90">
        <f>IFERROR(INDEX('Kontrol Adımları'!$D:$D,MATCH(1,INDEX(('Kontrol Adımları'!$A$1:$A$400=B90)*('Kontrol Adımları'!$B$1:$B$400=C90),0),0)),"")</f>
        <v/>
      </c>
      <c r="E90" s="5" t="inlineStr">
        <is>
          <t>cutlery_tray</t>
        </is>
      </c>
      <c r="F90">
        <f>IFERROR(INDEX('Kalem Kataloğu'!$C$1:$C$1000,MATCH(1,INDEX(('Kalem Kataloğu'!$A$1:$A$1000=A90)*('Kalem Kataloğu'!$B$1:$B$1000=E90),0),0)),"?")</f>
        <v/>
      </c>
      <c r="G90">
        <f>IFERROR(INDEX('Kalem Kataloğu'!$D$1:$D$1000,MATCH(1,INDEX(('Kalem Kataloğu'!$A$1:$A$1000=A90)*('Kalem Kataloğu'!$B$1:$B$1000=E90),0),0)),"?")</f>
        <v/>
      </c>
      <c r="H90" s="7" t="n">
        <v>1</v>
      </c>
      <c r="I90" s="7" t="inlineStr">
        <is>
          <t>Evet</t>
        </is>
      </c>
      <c r="J90" s="5" t="inlineStr">
        <is>
          <t>Drive foto (20.10.2026)</t>
        </is>
      </c>
      <c r="K90" s="5" t="n"/>
    </row>
    <row r="91" ht="26.4" customHeight="1">
      <c r="A91" s="5" t="inlineStr">
        <is>
          <t>Tare Houses Hotel</t>
        </is>
      </c>
      <c r="B91" s="5" t="inlineStr">
        <is>
          <t>X2</t>
        </is>
      </c>
      <c r="C91" s="7" t="n">
        <v>13</v>
      </c>
      <c r="D91">
        <f>IFERROR(INDEX('Kontrol Adımları'!$D:$D,MATCH(1,INDEX(('Kontrol Adımları'!$A$1:$A$400=B91)*('Kontrol Adımları'!$B$1:$B$400=C91),0),0)),"")</f>
        <v/>
      </c>
      <c r="E91" s="5" t="inlineStr">
        <is>
          <t>fork</t>
        </is>
      </c>
      <c r="F91">
        <f>IFERROR(INDEX('Kalem Kataloğu'!$C$1:$C$1000,MATCH(1,INDEX(('Kalem Kataloğu'!$A$1:$A$1000=A91)*('Kalem Kataloğu'!$B$1:$B$1000=E91),0),0)),"?")</f>
        <v/>
      </c>
      <c r="G91">
        <f>IFERROR(INDEX('Kalem Kataloğu'!$D$1:$D$1000,MATCH(1,INDEX(('Kalem Kataloğu'!$A$1:$A$1000=A91)*('Kalem Kataloğu'!$B$1:$B$1000=E91),0),0)),"?")</f>
        <v/>
      </c>
      <c r="H91" s="7" t="n">
        <v>6</v>
      </c>
      <c r="I91" s="7" t="inlineStr">
        <is>
          <t>Hayır</t>
        </is>
      </c>
      <c r="J91" s="5" t="inlineStr">
        <is>
          <t>Drive foto (20.10.2026)</t>
        </is>
      </c>
      <c r="K91" s="5" t="inlineStr">
        <is>
          <t>Fotoğraftan sayıldı; odada say</t>
        </is>
      </c>
    </row>
    <row r="92" ht="66" customHeight="1">
      <c r="A92" s="5" t="inlineStr">
        <is>
          <t>Tare Houses Hotel</t>
        </is>
      </c>
      <c r="B92" s="5" t="inlineStr">
        <is>
          <t>X2</t>
        </is>
      </c>
      <c r="C92" s="7" t="n">
        <v>13</v>
      </c>
      <c r="D92">
        <f>IFERROR(INDEX('Kontrol Adımları'!$D:$D,MATCH(1,INDEX(('Kontrol Adımları'!$A$1:$A$400=B92)*('Kontrol Adımları'!$B$1:$B$400=C92),0),0)),"")</f>
        <v/>
      </c>
      <c r="E92" s="5" t="inlineStr">
        <is>
          <t>spoon</t>
        </is>
      </c>
      <c r="F92">
        <f>IFERROR(INDEX('Kalem Kataloğu'!$C$1:$C$1000,MATCH(1,INDEX(('Kalem Kataloğu'!$A$1:$A$1000=A92)*('Kalem Kataloğu'!$B$1:$B$1000=E92),0),0)),"?")</f>
        <v/>
      </c>
      <c r="G92">
        <f>IFERROR(INDEX('Kalem Kataloğu'!$D$1:$D$1000,MATCH(1,INDEX(('Kalem Kataloğu'!$A$1:$A$1000=A92)*('Kalem Kataloğu'!$B$1:$B$1000=E92),0),0)),"?")</f>
        <v/>
      </c>
      <c r="H92" s="7" t="n">
        <v>6</v>
      </c>
      <c r="I92" s="7" t="inlineStr">
        <is>
          <t>Hayır</t>
        </is>
      </c>
      <c r="J92" s="5" t="inlineStr">
        <is>
          <t>Drive foto (20.10.2026)</t>
        </is>
      </c>
      <c r="K92" s="5" t="inlineStr">
        <is>
          <t>Fotoğraftan sayıldı; odada say</t>
        </is>
      </c>
    </row>
    <row r="93" ht="26.4" customHeight="1">
      <c r="A93" s="5" t="inlineStr">
        <is>
          <t>Tare Houses Hotel</t>
        </is>
      </c>
      <c r="B93" s="5" t="inlineStr">
        <is>
          <t>X2</t>
        </is>
      </c>
      <c r="C93" s="7" t="n">
        <v>13</v>
      </c>
      <c r="D93">
        <f>IFERROR(INDEX('Kontrol Adımları'!$D:$D,MATCH(1,INDEX(('Kontrol Adımları'!$A$1:$A$400=B93)*('Kontrol Adımları'!$B$1:$B$400=C93),0),0)),"")</f>
        <v/>
      </c>
      <c r="E93" s="5" t="inlineStr">
        <is>
          <t>knife</t>
        </is>
      </c>
      <c r="F93">
        <f>IFERROR(INDEX('Kalem Kataloğu'!$C$1:$C$1000,MATCH(1,INDEX(('Kalem Kataloğu'!$A$1:$A$1000=A93)*('Kalem Kataloğu'!$B$1:$B$1000=E93),0),0)),"?")</f>
        <v/>
      </c>
      <c r="G93">
        <f>IFERROR(INDEX('Kalem Kataloğu'!$D$1:$D$1000,MATCH(1,INDEX(('Kalem Kataloğu'!$A$1:$A$1000=A93)*('Kalem Kataloğu'!$B$1:$B$1000=E93),0),0)),"?")</f>
        <v/>
      </c>
      <c r="H93" s="7" t="n">
        <v>4</v>
      </c>
      <c r="I93" s="7" t="inlineStr">
        <is>
          <t>Hayır</t>
        </is>
      </c>
      <c r="J93" s="5" t="inlineStr">
        <is>
          <t>Drive foto (20.10.2026)</t>
        </is>
      </c>
      <c r="K93" s="5" t="inlineStr">
        <is>
          <t>Fotoğrafta 4; set 6 olabilir</t>
        </is>
      </c>
    </row>
    <row r="94" ht="26.4" customHeight="1">
      <c r="A94" s="5" t="inlineStr">
        <is>
          <t>Tare Houses Hotel</t>
        </is>
      </c>
      <c r="B94" s="5" t="inlineStr">
        <is>
          <t>X2</t>
        </is>
      </c>
      <c r="C94" s="7" t="n">
        <v>13</v>
      </c>
      <c r="D94">
        <f>IFERROR(INDEX('Kontrol Adımları'!$D:$D,MATCH(1,INDEX(('Kontrol Adımları'!$A$1:$A$400=B94)*('Kontrol Adımları'!$B$1:$B$400=C94),0),0)),"")</f>
        <v/>
      </c>
      <c r="E94" s="5" t="inlineStr">
        <is>
          <t>teaspoon</t>
        </is>
      </c>
      <c r="F94">
        <f>IFERROR(INDEX('Kalem Kataloğu'!$C$1:$C$1000,MATCH(1,INDEX(('Kalem Kataloğu'!$A$1:$A$1000=A94)*('Kalem Kataloğu'!$B$1:$B$1000=E94),0),0)),"?")</f>
        <v/>
      </c>
      <c r="G94">
        <f>IFERROR(INDEX('Kalem Kataloğu'!$D$1:$D$1000,MATCH(1,INDEX(('Kalem Kataloğu'!$A$1:$A$1000=A94)*('Kalem Kataloğu'!$B$1:$B$1000=E94),0),0)),"?")</f>
        <v/>
      </c>
      <c r="H94" s="7" t="n">
        <v>3</v>
      </c>
      <c r="I94" s="7" t="inlineStr">
        <is>
          <t>Hayır</t>
        </is>
      </c>
      <c r="J94" s="5" t="inlineStr">
        <is>
          <t>Drive foto (20.10.2026)</t>
        </is>
      </c>
      <c r="K94" s="5" t="inlineStr">
        <is>
          <t>Fotoğrafta 3</t>
        </is>
      </c>
    </row>
    <row r="95" ht="66" customHeight="1">
      <c r="A95" s="5" t="inlineStr">
        <is>
          <t>Tare Houses Hotel</t>
        </is>
      </c>
      <c r="B95" s="5" t="inlineStr">
        <is>
          <t>X2</t>
        </is>
      </c>
      <c r="C95" s="7" t="n">
        <v>13</v>
      </c>
      <c r="D95">
        <f>IFERROR(INDEX('Kontrol Adımları'!$D:$D,MATCH(1,INDEX(('Kontrol Adımları'!$A$1:$A$400=B95)*('Kontrol Adımları'!$B$1:$B$400=C95),0),0)),"")</f>
        <v/>
      </c>
      <c r="E95" s="5" t="inlineStr">
        <is>
          <t>corkscrew</t>
        </is>
      </c>
      <c r="F95">
        <f>IFERROR(INDEX('Kalem Kataloğu'!$C$1:$C$1000,MATCH(1,INDEX(('Kalem Kataloğu'!$A$1:$A$1000=A95)*('Kalem Kataloğu'!$B$1:$B$1000=E95),0),0)),"?")</f>
        <v/>
      </c>
      <c r="G95">
        <f>IFERROR(INDEX('Kalem Kataloğu'!$D$1:$D$1000,MATCH(1,INDEX(('Kalem Kataloğu'!$A$1:$A$1000=A95)*('Kalem Kataloğu'!$B$1:$B$1000=E95),0),0)),"?")</f>
        <v/>
      </c>
      <c r="H95" s="7" t="n">
        <v>1</v>
      </c>
      <c r="I95" s="7" t="inlineStr">
        <is>
          <t>Evet</t>
        </is>
      </c>
      <c r="J95" s="5" t="inlineStr">
        <is>
          <t>Drive foto (20.10.2026)</t>
        </is>
      </c>
      <c r="K95" s="5" t="n"/>
    </row>
    <row r="96" ht="26.4" customHeight="1">
      <c r="A96" s="5" t="inlineStr">
        <is>
          <t>Tare Houses Hotel</t>
        </is>
      </c>
      <c r="B96" s="5" t="inlineStr">
        <is>
          <t>X2</t>
        </is>
      </c>
      <c r="C96" s="7" t="n">
        <v>14</v>
      </c>
      <c r="D96">
        <f>IFERROR(INDEX('Kontrol Adımları'!$D:$D,MATCH(1,INDEX(('Kontrol Adımları'!$A$1:$A$400=B96)*('Kontrol Adımları'!$B$1:$B$400=C96),0),0)),"")</f>
        <v/>
      </c>
      <c r="E96" s="5" t="inlineStr">
        <is>
          <t>silicone_ladle</t>
        </is>
      </c>
      <c r="F96">
        <f>IFERROR(INDEX('Kalem Kataloğu'!$C$1:$C$1000,MATCH(1,INDEX(('Kalem Kataloğu'!$A$1:$A$1000=A96)*('Kalem Kataloğu'!$B$1:$B$1000=E96),0),0)),"?")</f>
        <v/>
      </c>
      <c r="G96">
        <f>IFERROR(INDEX('Kalem Kataloğu'!$D$1:$D$1000,MATCH(1,INDEX(('Kalem Kataloğu'!$A$1:$A$1000=A96)*('Kalem Kataloğu'!$B$1:$B$1000=E96),0),0)),"?")</f>
        <v/>
      </c>
      <c r="H96" s="7" t="n">
        <v>1</v>
      </c>
      <c r="I96" s="7" t="inlineStr">
        <is>
          <t>Evet</t>
        </is>
      </c>
      <c r="J96" s="5" t="inlineStr">
        <is>
          <t>Drive foto (20.10.2026)</t>
        </is>
      </c>
      <c r="K96" s="5" t="n"/>
    </row>
    <row r="97" ht="26.4" customHeight="1">
      <c r="A97" s="5" t="inlineStr">
        <is>
          <t>Tare Houses Hotel</t>
        </is>
      </c>
      <c r="B97" s="5" t="inlineStr">
        <is>
          <t>X2</t>
        </is>
      </c>
      <c r="C97" s="7" t="n">
        <v>14</v>
      </c>
      <c r="D97">
        <f>IFERROR(INDEX('Kontrol Adımları'!$D:$D,MATCH(1,INDEX(('Kontrol Adımları'!$A$1:$A$400=B97)*('Kontrol Adımları'!$B$1:$B$400=C97),0),0)),"")</f>
        <v/>
      </c>
      <c r="E97" s="5" t="inlineStr">
        <is>
          <t>silicone_slotted</t>
        </is>
      </c>
      <c r="F97">
        <f>IFERROR(INDEX('Kalem Kataloğu'!$C$1:$C$1000,MATCH(1,INDEX(('Kalem Kataloğu'!$A$1:$A$1000=A97)*('Kalem Kataloğu'!$B$1:$B$1000=E97),0),0)),"?")</f>
        <v/>
      </c>
      <c r="G97">
        <f>IFERROR(INDEX('Kalem Kataloğu'!$D$1:$D$1000,MATCH(1,INDEX(('Kalem Kataloğu'!$A$1:$A$1000=A97)*('Kalem Kataloğu'!$B$1:$B$1000=E97),0),0)),"?")</f>
        <v/>
      </c>
      <c r="H97" s="7" t="n">
        <v>1</v>
      </c>
      <c r="I97" s="7" t="inlineStr">
        <is>
          <t>Evet</t>
        </is>
      </c>
      <c r="J97" s="5" t="inlineStr">
        <is>
          <t>Drive foto (20.10.2026)</t>
        </is>
      </c>
      <c r="K97" s="5" t="n"/>
    </row>
    <row r="98" ht="52.8" customHeight="1">
      <c r="A98" s="5" t="inlineStr">
        <is>
          <t>Tare Houses Hotel</t>
        </is>
      </c>
      <c r="B98" s="5" t="inlineStr">
        <is>
          <t>X2</t>
        </is>
      </c>
      <c r="C98" s="7" t="n">
        <v>14</v>
      </c>
      <c r="D98">
        <f>IFERROR(INDEX('Kontrol Adımları'!$D:$D,MATCH(1,INDEX(('Kontrol Adımları'!$A$1:$A$400=B98)*('Kontrol Adımları'!$B$1:$B$400=C98),0),0)),"")</f>
        <v/>
      </c>
      <c r="E98" s="5" t="inlineStr">
        <is>
          <t>silicone_spoon</t>
        </is>
      </c>
      <c r="F98">
        <f>IFERROR(INDEX('Kalem Kataloğu'!$C$1:$C$1000,MATCH(1,INDEX(('Kalem Kataloğu'!$A$1:$A$1000=A98)*('Kalem Kataloğu'!$B$1:$B$1000=E98),0),0)),"?")</f>
        <v/>
      </c>
      <c r="G98">
        <f>IFERROR(INDEX('Kalem Kataloğu'!$D$1:$D$1000,MATCH(1,INDEX(('Kalem Kataloğu'!$A$1:$A$1000=A98)*('Kalem Kataloğu'!$B$1:$B$1000=E98),0),0)),"?")</f>
        <v/>
      </c>
      <c r="H98" s="7" t="n">
        <v>1</v>
      </c>
      <c r="I98" s="7" t="inlineStr">
        <is>
          <t>Evet</t>
        </is>
      </c>
      <c r="J98" s="5" t="inlineStr">
        <is>
          <t>Drive foto (20.10.2026)</t>
        </is>
      </c>
      <c r="K98" s="5" t="n"/>
    </row>
    <row r="99" ht="52.8" customHeight="1">
      <c r="A99" s="5" t="inlineStr">
        <is>
          <t>Tare Houses Hotel</t>
        </is>
      </c>
      <c r="B99" s="5" t="inlineStr">
        <is>
          <t>X2</t>
        </is>
      </c>
      <c r="C99" s="7" t="n">
        <v>14</v>
      </c>
      <c r="D99">
        <f>IFERROR(INDEX('Kontrol Adımları'!$D:$D,MATCH(1,INDEX(('Kontrol Adımları'!$A$1:$A$400=B99)*('Kontrol Adımları'!$B$1:$B$400=C99),0),0)),"")</f>
        <v/>
      </c>
      <c r="E99" s="5" t="inlineStr">
        <is>
          <t>silicone_spatula</t>
        </is>
      </c>
      <c r="F99">
        <f>IFERROR(INDEX('Kalem Kataloğu'!$C$1:$C$1000,MATCH(1,INDEX(('Kalem Kataloğu'!$A$1:$A$1000=A99)*('Kalem Kataloğu'!$B$1:$B$1000=E99),0),0)),"?")</f>
        <v/>
      </c>
      <c r="G99">
        <f>IFERROR(INDEX('Kalem Kataloğu'!$D$1:$D$1000,MATCH(1,INDEX(('Kalem Kataloğu'!$A$1:$A$1000=A99)*('Kalem Kataloğu'!$B$1:$B$1000=E99),0),0)),"?")</f>
        <v/>
      </c>
      <c r="H99" s="7" t="n">
        <v>1</v>
      </c>
      <c r="I99" s="7" t="inlineStr">
        <is>
          <t>Evet</t>
        </is>
      </c>
      <c r="J99" s="5" t="inlineStr">
        <is>
          <t>Drive foto (20.10.2026)</t>
        </is>
      </c>
      <c r="K99" s="5" t="n"/>
    </row>
    <row r="100" ht="66" customHeight="1">
      <c r="A100" s="5" t="inlineStr">
        <is>
          <t>Tare Houses Hotel</t>
        </is>
      </c>
      <c r="B100" s="5" t="inlineStr">
        <is>
          <t>X2</t>
        </is>
      </c>
      <c r="C100" s="7" t="n">
        <v>15</v>
      </c>
      <c r="D100">
        <f>IFERROR(INDEX('Kontrol Adımları'!$D:$D,MATCH(1,INDEX(('Kontrol Adımları'!$A$1:$A$400=B100)*('Kontrol Adımları'!$B$1:$B$400=C100),0),0)),"")</f>
        <v/>
      </c>
      <c r="E100" s="5" t="inlineStr">
        <is>
          <t>knife_set</t>
        </is>
      </c>
      <c r="F100">
        <f>IFERROR(INDEX('Kalem Kataloğu'!$C$1:$C$1000,MATCH(1,INDEX(('Kalem Kataloğu'!$A$1:$A$1000=A100)*('Kalem Kataloğu'!$B$1:$B$1000=E100),0),0)),"?")</f>
        <v/>
      </c>
      <c r="G100">
        <f>IFERROR(INDEX('Kalem Kataloğu'!$D$1:$D$1000,MATCH(1,INDEX(('Kalem Kataloğu'!$A$1:$A$1000=A100)*('Kalem Kataloğu'!$B$1:$B$1000=E100),0),0)),"?")</f>
        <v/>
      </c>
      <c r="H100" s="7" t="n">
        <v>1</v>
      </c>
      <c r="I100" s="7" t="inlineStr">
        <is>
          <t>Evet</t>
        </is>
      </c>
      <c r="J100" s="5" t="inlineStr">
        <is>
          <t>Drive foto (20.10.2026)</t>
        </is>
      </c>
      <c r="K100" s="5" t="n"/>
    </row>
    <row r="101" ht="66" customHeight="1">
      <c r="A101" s="5" t="inlineStr">
        <is>
          <t>Tare Houses Hotel</t>
        </is>
      </c>
      <c r="B101" s="5" t="inlineStr">
        <is>
          <t>X2</t>
        </is>
      </c>
      <c r="C101" s="7" t="n">
        <v>15</v>
      </c>
      <c r="D101">
        <f>IFERROR(INDEX('Kontrol Adımları'!$D:$D,MATCH(1,INDEX(('Kontrol Adımları'!$A$1:$A$400=B101)*('Kontrol Adımları'!$B$1:$B$400=C101),0),0)),"")</f>
        <v/>
      </c>
      <c r="E101" s="5" t="inlineStr">
        <is>
          <t>cutting_board</t>
        </is>
      </c>
      <c r="F101">
        <f>IFERROR(INDEX('Kalem Kataloğu'!$C$1:$C$1000,MATCH(1,INDEX(('Kalem Kataloğu'!$A$1:$A$1000=A101)*('Kalem Kataloğu'!$B$1:$B$1000=E101),0),0)),"?")</f>
        <v/>
      </c>
      <c r="G101">
        <f>IFERROR(INDEX('Kalem Kataloğu'!$D$1:$D$1000,MATCH(1,INDEX(('Kalem Kataloğu'!$A$1:$A$1000=A101)*('Kalem Kataloğu'!$B$1:$B$1000=E101),0),0)),"?")</f>
        <v/>
      </c>
      <c r="H101" s="7" t="n">
        <v>1</v>
      </c>
      <c r="I101" s="7" t="inlineStr">
        <is>
          <t>Hayır</t>
        </is>
      </c>
      <c r="J101" s="5" t="inlineStr">
        <is>
          <t>Drive foto (20.10.2026)</t>
        </is>
      </c>
      <c r="K101" s="5" t="inlineStr">
        <is>
          <t>Fotoğrafta görünmüyor; kutunun altında olabilir</t>
        </is>
      </c>
    </row>
    <row r="102" ht="26.4" customHeight="1">
      <c r="A102" s="5" t="inlineStr">
        <is>
          <t>Tare Houses Hotel</t>
        </is>
      </c>
      <c r="B102" s="5" t="inlineStr">
        <is>
          <t>X2</t>
        </is>
      </c>
      <c r="C102" s="7" t="n">
        <v>16</v>
      </c>
      <c r="D102">
        <f>IFERROR(INDEX('Kontrol Adımları'!$D:$D,MATCH(1,INDEX(('Kontrol Adımları'!$A$1:$A$400=B102)*('Kontrol Adımları'!$B$1:$B$400=C102),0),0)),"")</f>
        <v/>
      </c>
      <c r="E102" s="5" t="inlineStr">
        <is>
          <t>bowl</t>
        </is>
      </c>
      <c r="F102">
        <f>IFERROR(INDEX('Kalem Kataloğu'!$C$1:$C$1000,MATCH(1,INDEX(('Kalem Kataloğu'!$A$1:$A$1000=A102)*('Kalem Kataloğu'!$B$1:$B$1000=E102),0),0)),"?")</f>
        <v/>
      </c>
      <c r="G102">
        <f>IFERROR(INDEX('Kalem Kataloğu'!$D$1:$D$1000,MATCH(1,INDEX(('Kalem Kataloğu'!$A$1:$A$1000=A102)*('Kalem Kataloğu'!$B$1:$B$1000=E102),0),0)),"?")</f>
        <v/>
      </c>
      <c r="H102" s="7" t="n">
        <v>6</v>
      </c>
      <c r="I102" s="7" t="inlineStr">
        <is>
          <t>Hayır</t>
        </is>
      </c>
      <c r="J102" s="5" t="inlineStr">
        <is>
          <t>Drive foto (20.10.2026)</t>
        </is>
      </c>
      <c r="K102" s="5" t="inlineStr">
        <is>
          <t>Fotoğrafta 6; teyit et</t>
        </is>
      </c>
    </row>
    <row r="103" ht="26.4" customHeight="1">
      <c r="A103" s="5" t="inlineStr">
        <is>
          <t>Tare Houses Hotel</t>
        </is>
      </c>
      <c r="B103" s="5" t="inlineStr">
        <is>
          <t>X2</t>
        </is>
      </c>
      <c r="C103" s="7" t="n">
        <v>16</v>
      </c>
      <c r="D103">
        <f>IFERROR(INDEX('Kontrol Adımları'!$D:$D,MATCH(1,INDEX(('Kontrol Adımları'!$A$1:$A$400=B103)*('Kontrol Adımları'!$B$1:$B$400=C103),0),0)),"")</f>
        <v/>
      </c>
      <c r="E103" s="5" t="inlineStr">
        <is>
          <t>side_plate</t>
        </is>
      </c>
      <c r="F103">
        <f>IFERROR(INDEX('Kalem Kataloğu'!$C$1:$C$1000,MATCH(1,INDEX(('Kalem Kataloğu'!$A$1:$A$1000=A103)*('Kalem Kataloğu'!$B$1:$B$1000=E103),0),0)),"?")</f>
        <v/>
      </c>
      <c r="G103">
        <f>IFERROR(INDEX('Kalem Kataloğu'!$D$1:$D$1000,MATCH(1,INDEX(('Kalem Kataloğu'!$A$1:$A$1000=A103)*('Kalem Kataloğu'!$B$1:$B$1000=E103),0),0)),"?")</f>
        <v/>
      </c>
      <c r="H103" s="7" t="n">
        <v>4</v>
      </c>
      <c r="I103" s="7" t="inlineStr">
        <is>
          <t>Evet</t>
        </is>
      </c>
      <c r="J103" s="5" t="inlineStr">
        <is>
          <t>Drive foto (20.10.2026)</t>
        </is>
      </c>
      <c r="K103" s="5" t="n"/>
    </row>
    <row r="104" ht="26.4" customHeight="1">
      <c r="A104" s="5" t="inlineStr">
        <is>
          <t>Tare Houses Hotel</t>
        </is>
      </c>
      <c r="B104" s="5" t="inlineStr">
        <is>
          <t>X2</t>
        </is>
      </c>
      <c r="C104" s="7" t="n">
        <v>16</v>
      </c>
      <c r="D104">
        <f>IFERROR(INDEX('Kontrol Adımları'!$D:$D,MATCH(1,INDEX(('Kontrol Adımları'!$A$1:$A$400=B104)*('Kontrol Adımları'!$B$1:$B$400=C104),0),0)),"")</f>
        <v/>
      </c>
      <c r="E104" s="5" t="inlineStr">
        <is>
          <t>flat_plate_green</t>
        </is>
      </c>
      <c r="F104">
        <f>IFERROR(INDEX('Kalem Kataloğu'!$C$1:$C$1000,MATCH(1,INDEX(('Kalem Kataloğu'!$A$1:$A$1000=A104)*('Kalem Kataloğu'!$B$1:$B$1000=E104),0),0)),"?")</f>
        <v/>
      </c>
      <c r="G104">
        <f>IFERROR(INDEX('Kalem Kataloğu'!$D$1:$D$1000,MATCH(1,INDEX(('Kalem Kataloğu'!$A$1:$A$1000=A104)*('Kalem Kataloğu'!$B$1:$B$1000=E104),0),0)),"?")</f>
        <v/>
      </c>
      <c r="H104" s="7" t="n">
        <v>4</v>
      </c>
      <c r="I104" s="7" t="inlineStr">
        <is>
          <t>Hayır</t>
        </is>
      </c>
      <c r="J104" s="5" t="inlineStr">
        <is>
          <t>Drive foto (20.10.2026)</t>
        </is>
      </c>
      <c r="K104" s="5" t="inlineStr">
        <is>
          <t>Fotoğrafta 4-5 görünüyor</t>
        </is>
      </c>
    </row>
    <row r="105" ht="26.4" customHeight="1">
      <c r="A105" s="5" t="inlineStr">
        <is>
          <t>Tare Houses Hotel</t>
        </is>
      </c>
      <c r="B105" s="5" t="inlineStr">
        <is>
          <t>X2</t>
        </is>
      </c>
      <c r="C105" s="7" t="n">
        <v>16</v>
      </c>
      <c r="D105">
        <f>IFERROR(INDEX('Kontrol Adımları'!$D:$D,MATCH(1,INDEX(('Kontrol Adımları'!$A$1:$A$400=B105)*('Kontrol Adımları'!$B$1:$B$400=C105),0),0)),"")</f>
        <v/>
      </c>
      <c r="E105" s="5" t="inlineStr">
        <is>
          <t>dinner_plate</t>
        </is>
      </c>
      <c r="F105">
        <f>IFERROR(INDEX('Kalem Kataloğu'!$C$1:$C$1000,MATCH(1,INDEX(('Kalem Kataloğu'!$A$1:$A$1000=A105)*('Kalem Kataloğu'!$B$1:$B$1000=E105),0),0)),"?")</f>
        <v/>
      </c>
      <c r="G105">
        <f>IFERROR(INDEX('Kalem Kataloğu'!$D$1:$D$1000,MATCH(1,INDEX(('Kalem Kataloğu'!$A$1:$A$1000=A105)*('Kalem Kataloğu'!$B$1:$B$1000=E105),0),0)),"?")</f>
        <v/>
      </c>
      <c r="H105" s="7" t="n">
        <v>4</v>
      </c>
      <c r="I105" s="7" t="inlineStr">
        <is>
          <t>Evet</t>
        </is>
      </c>
      <c r="J105" s="5" t="inlineStr">
        <is>
          <t>Drive foto (20.10.2026)</t>
        </is>
      </c>
      <c r="K105" s="5" t="n"/>
    </row>
    <row r="106" ht="26.4" customHeight="1">
      <c r="A106" s="5" t="inlineStr">
        <is>
          <t>Tare Houses Hotel</t>
        </is>
      </c>
      <c r="B106" s="5" t="inlineStr">
        <is>
          <t>X2</t>
        </is>
      </c>
      <c r="C106" s="7" t="n">
        <v>17</v>
      </c>
      <c r="D106">
        <f>IFERROR(INDEX('Kontrol Adımları'!$D:$D,MATCH(1,INDEX(('Kontrol Adımları'!$A$1:$A$400=B106)*('Kontrol Adımları'!$B$1:$B$400=C106),0),0)),"")</f>
        <v/>
      </c>
      <c r="E106" s="5" t="inlineStr">
        <is>
          <t>mug</t>
        </is>
      </c>
      <c r="F106">
        <f>IFERROR(INDEX('Kalem Kataloğu'!$C$1:$C$1000,MATCH(1,INDEX(('Kalem Kataloğu'!$A$1:$A$1000=A106)*('Kalem Kataloğu'!$B$1:$B$1000=E106),0),0)),"?")</f>
        <v/>
      </c>
      <c r="G106">
        <f>IFERROR(INDEX('Kalem Kataloğu'!$D$1:$D$1000,MATCH(1,INDEX(('Kalem Kataloğu'!$A$1:$A$1000=A106)*('Kalem Kataloğu'!$B$1:$B$1000=E106),0),0)),"?")</f>
        <v/>
      </c>
      <c r="H106" s="7" t="n">
        <v>2</v>
      </c>
      <c r="I106" s="7" t="inlineStr">
        <is>
          <t>Hayır</t>
        </is>
      </c>
      <c r="J106" s="5" t="inlineStr">
        <is>
          <t>Drive foto (20.10.2026)</t>
        </is>
      </c>
      <c r="K106" s="5" t="inlineStr">
        <is>
          <t>Fotoğrafta 2</t>
        </is>
      </c>
    </row>
    <row r="107" ht="26.4" customHeight="1">
      <c r="A107" s="5" t="inlineStr">
        <is>
          <t>Tare Houses Hotel</t>
        </is>
      </c>
      <c r="B107" s="5" t="inlineStr">
        <is>
          <t>X2</t>
        </is>
      </c>
      <c r="C107" s="7" t="n">
        <v>17</v>
      </c>
      <c r="D107">
        <f>IFERROR(INDEX('Kontrol Adımları'!$D:$D,MATCH(1,INDEX(('Kontrol Adımları'!$A$1:$A$400=B107)*('Kontrol Adımları'!$B$1:$B$400=C107),0),0)),"")</f>
        <v/>
      </c>
      <c r="E107" s="5" t="inlineStr">
        <is>
          <t>espresso_cup</t>
        </is>
      </c>
      <c r="F107">
        <f>IFERROR(INDEX('Kalem Kataloğu'!$C$1:$C$1000,MATCH(1,INDEX(('Kalem Kataloğu'!$A$1:$A$1000=A107)*('Kalem Kataloğu'!$B$1:$B$1000=E107),0),0)),"?")</f>
        <v/>
      </c>
      <c r="G107">
        <f>IFERROR(INDEX('Kalem Kataloğu'!$D$1:$D$1000,MATCH(1,INDEX(('Kalem Kataloğu'!$A$1:$A$1000=A107)*('Kalem Kataloğu'!$B$1:$B$1000=E107),0),0)),"?")</f>
        <v/>
      </c>
      <c r="H107" s="7" t="n">
        <v>3</v>
      </c>
      <c r="I107" s="7" t="inlineStr">
        <is>
          <t>Hayır</t>
        </is>
      </c>
      <c r="J107" s="5" t="inlineStr">
        <is>
          <t>Drive foto (20.10.2026)</t>
        </is>
      </c>
      <c r="K107" s="5" t="inlineStr">
        <is>
          <t>Fotoğrafta 3</t>
        </is>
      </c>
    </row>
    <row r="108" ht="26.4" customHeight="1">
      <c r="A108" s="5" t="inlineStr">
        <is>
          <t>Tare Houses Hotel</t>
        </is>
      </c>
      <c r="B108" s="5" t="inlineStr">
        <is>
          <t>X2</t>
        </is>
      </c>
      <c r="C108" s="7" t="n">
        <v>17</v>
      </c>
      <c r="D108">
        <f>IFERROR(INDEX('Kontrol Adımları'!$D:$D,MATCH(1,INDEX(('Kontrol Adımları'!$A$1:$A$400=B108)*('Kontrol Adımları'!$B$1:$B$400=C108),0),0)),"")</f>
        <v/>
      </c>
      <c r="E108" s="5" t="inlineStr">
        <is>
          <t>saucer</t>
        </is>
      </c>
      <c r="F108">
        <f>IFERROR(INDEX('Kalem Kataloğu'!$C$1:$C$1000,MATCH(1,INDEX(('Kalem Kataloğu'!$A$1:$A$1000=A108)*('Kalem Kataloğu'!$B$1:$B$1000=E108),0),0)),"?")</f>
        <v/>
      </c>
      <c r="G108">
        <f>IFERROR(INDEX('Kalem Kataloğu'!$D$1:$D$1000,MATCH(1,INDEX(('Kalem Kataloğu'!$A$1:$A$1000=A108)*('Kalem Kataloğu'!$B$1:$B$1000=E108),0),0)),"?")</f>
        <v/>
      </c>
      <c r="H108" s="7" t="n">
        <v>12</v>
      </c>
      <c r="I108" s="7" t="inlineStr">
        <is>
          <t>Hayır</t>
        </is>
      </c>
      <c r="J108" s="5" t="inlineStr">
        <is>
          <t>Drive foto (20.10.2026)</t>
        </is>
      </c>
      <c r="K108" s="5" t="inlineStr">
        <is>
          <t>7 + 5 iki yığın; odada say</t>
        </is>
      </c>
    </row>
    <row r="109" ht="52.8" customHeight="1">
      <c r="A109" s="5" t="inlineStr">
        <is>
          <t>Tare Houses Hotel</t>
        </is>
      </c>
      <c r="B109" s="5" t="inlineStr">
        <is>
          <t>X2</t>
        </is>
      </c>
      <c r="C109" s="7" t="n">
        <v>17</v>
      </c>
      <c r="D109">
        <f>IFERROR(INDEX('Kontrol Adımları'!$D:$D,MATCH(1,INDEX(('Kontrol Adımları'!$A$1:$A$400=B109)*('Kontrol Adımları'!$B$1:$B$400=C109),0),0)),"")</f>
        <v/>
      </c>
      <c r="E109" s="5" t="inlineStr">
        <is>
          <t>water_glass</t>
        </is>
      </c>
      <c r="F109">
        <f>IFERROR(INDEX('Kalem Kataloğu'!$C$1:$C$1000,MATCH(1,INDEX(('Kalem Kataloğu'!$A$1:$A$1000=A109)*('Kalem Kataloğu'!$B$1:$B$1000=E109),0),0)),"?")</f>
        <v/>
      </c>
      <c r="G109">
        <f>IFERROR(INDEX('Kalem Kataloğu'!$D$1:$D$1000,MATCH(1,INDEX(('Kalem Kataloğu'!$A$1:$A$1000=A109)*('Kalem Kataloğu'!$B$1:$B$1000=E109),0),0)),"?")</f>
        <v/>
      </c>
      <c r="H109" s="7" t="n">
        <v>7</v>
      </c>
      <c r="I109" s="7" t="inlineStr">
        <is>
          <t>Hayır</t>
        </is>
      </c>
      <c r="J109" s="5" t="inlineStr">
        <is>
          <t>Drive foto (20.10.2026)</t>
        </is>
      </c>
      <c r="K109" s="5" t="inlineStr">
        <is>
          <t>Fotoğrafta 7</t>
        </is>
      </c>
    </row>
    <row r="110" ht="26.4" customHeight="1">
      <c r="A110" s="5" t="inlineStr">
        <is>
          <t>Tare Houses Hotel</t>
        </is>
      </c>
      <c r="B110" s="5" t="inlineStr">
        <is>
          <t>X2</t>
        </is>
      </c>
      <c r="C110" s="7" t="n">
        <v>17</v>
      </c>
      <c r="D110">
        <f>IFERROR(INDEX('Kontrol Adımları'!$D:$D,MATCH(1,INDEX(('Kontrol Adımları'!$A$1:$A$400=B110)*('Kontrol Adımları'!$B$1:$B$400=C110),0),0)),"")</f>
        <v/>
      </c>
      <c r="E110" s="5" t="inlineStr">
        <is>
          <t>short_glass</t>
        </is>
      </c>
      <c r="F110">
        <f>IFERROR(INDEX('Kalem Kataloğu'!$C$1:$C$1000,MATCH(1,INDEX(('Kalem Kataloğu'!$A$1:$A$1000=A110)*('Kalem Kataloğu'!$B$1:$B$1000=E110),0),0)),"?")</f>
        <v/>
      </c>
      <c r="G110">
        <f>IFERROR(INDEX('Kalem Kataloğu'!$D$1:$D$1000,MATCH(1,INDEX(('Kalem Kataloğu'!$A$1:$A$1000=A110)*('Kalem Kataloğu'!$B$1:$B$1000=E110),0),0)),"?")</f>
        <v/>
      </c>
      <c r="H110" s="7" t="n">
        <v>4</v>
      </c>
      <c r="I110" s="7" t="inlineStr">
        <is>
          <t>Hayır</t>
        </is>
      </c>
      <c r="J110" s="5" t="inlineStr">
        <is>
          <t>Drive foto (20.10.2026)</t>
        </is>
      </c>
      <c r="K110" s="5" t="inlineStr">
        <is>
          <t>Fotoğrafta 4</t>
        </is>
      </c>
    </row>
    <row r="111" ht="79.2" customHeight="1">
      <c r="A111" s="5" t="inlineStr">
        <is>
          <t>Tare Houses Hotel</t>
        </is>
      </c>
      <c r="B111" s="5" t="inlineStr">
        <is>
          <t>X2</t>
        </is>
      </c>
      <c r="C111" s="7" t="n">
        <v>17</v>
      </c>
      <c r="D111">
        <f>IFERROR(INDEX('Kontrol Adımları'!$D:$D,MATCH(1,INDEX(('Kontrol Adımları'!$A$1:$A$400=B111)*('Kontrol Adımları'!$B$1:$B$400=C111),0),0)),"")</f>
        <v/>
      </c>
      <c r="E111" s="5" t="inlineStr">
        <is>
          <t>stemless_glass</t>
        </is>
      </c>
      <c r="F111">
        <f>IFERROR(INDEX('Kalem Kataloğu'!$C$1:$C$1000,MATCH(1,INDEX(('Kalem Kataloğu'!$A$1:$A$1000=A111)*('Kalem Kataloğu'!$B$1:$B$1000=E111),0),0)),"?")</f>
        <v/>
      </c>
      <c r="G111">
        <f>IFERROR(INDEX('Kalem Kataloğu'!$D$1:$D$1000,MATCH(1,INDEX(('Kalem Kataloğu'!$A$1:$A$1000=A111)*('Kalem Kataloğu'!$B$1:$B$1000=E111),0),0)),"?")</f>
        <v/>
      </c>
      <c r="H111" s="7" t="n">
        <v>2</v>
      </c>
      <c r="I111" s="7" t="inlineStr">
        <is>
          <t>Hayır</t>
        </is>
      </c>
      <c r="J111" s="5" t="inlineStr">
        <is>
          <t>Drive foto (20.10.2026)</t>
        </is>
      </c>
      <c r="K111" s="5" t="inlineStr">
        <is>
          <t>Fotoğrafta 2</t>
        </is>
      </c>
    </row>
    <row r="112" ht="26.4" customHeight="1">
      <c r="A112" s="5" t="inlineStr">
        <is>
          <t>Tare Houses Hotel</t>
        </is>
      </c>
      <c r="B112" s="5" t="inlineStr">
        <is>
          <t>X2</t>
        </is>
      </c>
      <c r="C112" s="7" t="n">
        <v>17</v>
      </c>
      <c r="D112">
        <f>IFERROR(INDEX('Kontrol Adımları'!$D:$D,MATCH(1,INDEX(('Kontrol Adımları'!$A$1:$A$400=B112)*('Kontrol Adımları'!$B$1:$B$400=C112),0),0)),"")</f>
        <v/>
      </c>
      <c r="E112" s="5" t="inlineStr">
        <is>
          <t>wine_glass</t>
        </is>
      </c>
      <c r="F112">
        <f>IFERROR(INDEX('Kalem Kataloğu'!$C$1:$C$1000,MATCH(1,INDEX(('Kalem Kataloğu'!$A$1:$A$1000=A112)*('Kalem Kataloğu'!$B$1:$B$1000=E112),0),0)),"?")</f>
        <v/>
      </c>
      <c r="G112">
        <f>IFERROR(INDEX('Kalem Kataloğu'!$D$1:$D$1000,MATCH(1,INDEX(('Kalem Kataloğu'!$A$1:$A$1000=A112)*('Kalem Kataloğu'!$B$1:$B$1000=E112),0),0)),"?")</f>
        <v/>
      </c>
      <c r="H112" s="7" t="n">
        <v>1</v>
      </c>
      <c r="I112" s="7" t="inlineStr">
        <is>
          <t>Hayır</t>
        </is>
      </c>
      <c r="J112" s="5" t="inlineStr">
        <is>
          <t>Drive foto (20.10.2026)</t>
        </is>
      </c>
      <c r="K112" s="5" t="inlineStr">
        <is>
          <t>Fotoğrafta 1; set 2 olabilir</t>
        </is>
      </c>
    </row>
    <row r="113" ht="26.4" customHeight="1">
      <c r="A113" s="5" t="inlineStr">
        <is>
          <t>Tare Houses Hotel</t>
        </is>
      </c>
      <c r="B113" s="5" t="inlineStr">
        <is>
          <t>X2</t>
        </is>
      </c>
      <c r="C113" s="7" t="n">
        <v>17</v>
      </c>
      <c r="D113">
        <f>IFERROR(INDEX('Kontrol Adımları'!$D:$D,MATCH(1,INDEX(('Kontrol Adımları'!$A$1:$A$400=B113)*('Kontrol Adımları'!$B$1:$B$400=C113),0),0)),"")</f>
        <v/>
      </c>
      <c r="E113" s="5" t="inlineStr">
        <is>
          <t>sauce_bowl</t>
        </is>
      </c>
      <c r="F113">
        <f>IFERROR(INDEX('Kalem Kataloğu'!$C$1:$C$1000,MATCH(1,INDEX(('Kalem Kataloğu'!$A$1:$A$1000=A113)*('Kalem Kataloğu'!$B$1:$B$1000=E113),0),0)),"?")</f>
        <v/>
      </c>
      <c r="G113">
        <f>IFERROR(INDEX('Kalem Kataloğu'!$D$1:$D$1000,MATCH(1,INDEX(('Kalem Kataloğu'!$A$1:$A$1000=A113)*('Kalem Kataloğu'!$B$1:$B$1000=E113),0),0)),"?")</f>
        <v/>
      </c>
      <c r="H113" s="7" t="n">
        <v>5</v>
      </c>
      <c r="I113" s="7" t="inlineStr">
        <is>
          <t>Hayır</t>
        </is>
      </c>
      <c r="J113" s="5" t="inlineStr">
        <is>
          <t>Drive foto (20.10.2026)</t>
        </is>
      </c>
      <c r="K113" s="5" t="inlineStr">
        <is>
          <t>Fotoğrafta 5</t>
        </is>
      </c>
    </row>
    <row r="114" ht="26.4" customHeight="1">
      <c r="A114" s="5" t="inlineStr">
        <is>
          <t>Tare Houses Hotel</t>
        </is>
      </c>
      <c r="B114" s="5" t="inlineStr">
        <is>
          <t>X2</t>
        </is>
      </c>
      <c r="C114" s="7" t="n">
        <v>18</v>
      </c>
      <c r="D114">
        <f>IFERROR(INDEX('Kontrol Adımları'!$D:$D,MATCH(1,INDEX(('Kontrol Adımları'!$A$1:$A$400=B114)*('Kontrol Adımları'!$B$1:$B$400=C114),0),0)),"")</f>
        <v/>
      </c>
      <c r="E114" s="5" t="inlineStr">
        <is>
          <t>pot</t>
        </is>
      </c>
      <c r="F114">
        <f>IFERROR(INDEX('Kalem Kataloğu'!$C$1:$C$1000,MATCH(1,INDEX(('Kalem Kataloğu'!$A$1:$A$1000=A114)*('Kalem Kataloğu'!$B$1:$B$1000=E114),0),0)),"?")</f>
        <v/>
      </c>
      <c r="G114">
        <f>IFERROR(INDEX('Kalem Kataloğu'!$D$1:$D$1000,MATCH(1,INDEX(('Kalem Kataloğu'!$A$1:$A$1000=A114)*('Kalem Kataloğu'!$B$1:$B$1000=E114),0),0)),"?")</f>
        <v/>
      </c>
      <c r="H114" s="7" t="n">
        <v>2</v>
      </c>
      <c r="I114" s="7" t="inlineStr">
        <is>
          <t>Evet</t>
        </is>
      </c>
      <c r="J114" s="5" t="inlineStr">
        <is>
          <t>Drive foto (20.10.2026)</t>
        </is>
      </c>
      <c r="K114" s="5" t="n"/>
    </row>
    <row r="115" ht="26.4" customHeight="1">
      <c r="A115" s="5" t="inlineStr">
        <is>
          <t>Tare Houses Hotel</t>
        </is>
      </c>
      <c r="B115" s="5" t="inlineStr">
        <is>
          <t>X2</t>
        </is>
      </c>
      <c r="C115" s="7" t="n">
        <v>18</v>
      </c>
      <c r="D115">
        <f>IFERROR(INDEX('Kontrol Adımları'!$D:$D,MATCH(1,INDEX(('Kontrol Adımları'!$A$1:$A$400=B115)*('Kontrol Adımları'!$B$1:$B$400=C115),0),0)),"")</f>
        <v/>
      </c>
      <c r="E115" s="5" t="inlineStr">
        <is>
          <t>saucepan</t>
        </is>
      </c>
      <c r="F115">
        <f>IFERROR(INDEX('Kalem Kataloğu'!$C$1:$C$1000,MATCH(1,INDEX(('Kalem Kataloğu'!$A$1:$A$1000=A115)*('Kalem Kataloğu'!$B$1:$B$1000=E115),0),0)),"?")</f>
        <v/>
      </c>
      <c r="G115">
        <f>IFERROR(INDEX('Kalem Kataloğu'!$D$1:$D$1000,MATCH(1,INDEX(('Kalem Kataloğu'!$A$1:$A$1000=A115)*('Kalem Kataloğu'!$B$1:$B$1000=E115),0),0)),"?")</f>
        <v/>
      </c>
      <c r="H115" s="7" t="n">
        <v>1</v>
      </c>
      <c r="I115" s="7" t="inlineStr">
        <is>
          <t>Evet</t>
        </is>
      </c>
      <c r="J115" s="5" t="inlineStr">
        <is>
          <t>Drive foto (20.10.2026)</t>
        </is>
      </c>
      <c r="K115" s="5" t="n"/>
    </row>
    <row r="116" ht="26.4" customHeight="1">
      <c r="A116" s="5" t="inlineStr">
        <is>
          <t>Tare Houses Hotel</t>
        </is>
      </c>
      <c r="B116" s="5" t="inlineStr">
        <is>
          <t>X2</t>
        </is>
      </c>
      <c r="C116" s="7" t="n">
        <v>18</v>
      </c>
      <c r="D116">
        <f>IFERROR(INDEX('Kontrol Adımları'!$D:$D,MATCH(1,INDEX(('Kontrol Adımları'!$A$1:$A$400=B116)*('Kontrol Adımları'!$B$1:$B$400=C116),0),0)),"")</f>
        <v/>
      </c>
      <c r="E116" s="5" t="inlineStr">
        <is>
          <t>frying_pan</t>
        </is>
      </c>
      <c r="F116">
        <f>IFERROR(INDEX('Kalem Kataloğu'!$C$1:$C$1000,MATCH(1,INDEX(('Kalem Kataloğu'!$A$1:$A$1000=A116)*('Kalem Kataloğu'!$B$1:$B$1000=E116),0),0)),"?")</f>
        <v/>
      </c>
      <c r="G116">
        <f>IFERROR(INDEX('Kalem Kataloğu'!$D$1:$D$1000,MATCH(1,INDEX(('Kalem Kataloğu'!$A$1:$A$1000=A116)*('Kalem Kataloğu'!$B$1:$B$1000=E116),0),0)),"?")</f>
        <v/>
      </c>
      <c r="H116" s="7" t="n">
        <v>1</v>
      </c>
      <c r="I116" s="7" t="inlineStr">
        <is>
          <t>Evet</t>
        </is>
      </c>
      <c r="J116" s="5" t="inlineStr">
        <is>
          <t>Drive foto (20.10.2026)</t>
        </is>
      </c>
      <c r="K116" s="5" t="n"/>
    </row>
    <row r="117" ht="26.4" customHeight="1">
      <c r="A117" s="5" t="inlineStr">
        <is>
          <t>Tare Houses Hotel</t>
        </is>
      </c>
      <c r="B117" s="5" t="inlineStr">
        <is>
          <t>X2</t>
        </is>
      </c>
      <c r="C117" s="7" t="n">
        <v>18</v>
      </c>
      <c r="D117">
        <f>IFERROR(INDEX('Kontrol Adımları'!$D:$D,MATCH(1,INDEX(('Kontrol Adımları'!$A$1:$A$400=B117)*('Kontrol Adımları'!$B$1:$B$400=C117),0),0)),"")</f>
        <v/>
      </c>
      <c r="E117" s="5" t="inlineStr">
        <is>
          <t>trivet</t>
        </is>
      </c>
      <c r="F117">
        <f>IFERROR(INDEX('Kalem Kataloğu'!$C$1:$C$1000,MATCH(1,INDEX(('Kalem Kataloğu'!$A$1:$A$1000=A117)*('Kalem Kataloğu'!$B$1:$B$1000=E117),0),0)),"?")</f>
        <v/>
      </c>
      <c r="G117">
        <f>IFERROR(INDEX('Kalem Kataloğu'!$D$1:$D$1000,MATCH(1,INDEX(('Kalem Kataloğu'!$A$1:$A$1000=A117)*('Kalem Kataloğu'!$B$1:$B$1000=E117),0),0)),"?")</f>
        <v/>
      </c>
      <c r="H117" s="7" t="n">
        <v>2</v>
      </c>
      <c r="I117" s="7" t="inlineStr">
        <is>
          <t>Evet</t>
        </is>
      </c>
      <c r="J117" s="5" t="inlineStr">
        <is>
          <t>Drive foto (20.10.2026)</t>
        </is>
      </c>
      <c r="K117" s="5" t="n"/>
    </row>
    <row r="118" ht="26.4" customHeight="1">
      <c r="A118" s="5" t="inlineStr">
        <is>
          <t>Tare Houses Hotel</t>
        </is>
      </c>
      <c r="B118" s="5" t="inlineStr">
        <is>
          <t>X3</t>
        </is>
      </c>
      <c r="C118" s="7" t="n">
        <v>6</v>
      </c>
      <c r="D118">
        <f>IFERROR(INDEX('Kontrol Adımları'!$D:$D,MATCH(1,INDEX(('Kontrol Adımları'!$A$1:$A$400=B118)*('Kontrol Adımları'!$B$1:$B$400=C118),0),0)),"")</f>
        <v/>
      </c>
      <c r="E118" s="5" t="inlineStr">
        <is>
          <t>dish_rack</t>
        </is>
      </c>
      <c r="F118">
        <f>IFERROR(INDEX('Kalem Kataloğu'!$C$1:$C$1000,MATCH(1,INDEX(('Kalem Kataloğu'!$A$1:$A$1000=A118)*('Kalem Kataloğu'!$B$1:$B$1000=E118),0),0)),"?")</f>
        <v/>
      </c>
      <c r="G118">
        <f>IFERROR(INDEX('Kalem Kataloğu'!$D$1:$D$1000,MATCH(1,INDEX(('Kalem Kataloğu'!$A$1:$A$1000=A118)*('Kalem Kataloğu'!$B$1:$B$1000=E118),0),0)),"?")</f>
        <v/>
      </c>
      <c r="H118" s="7" t="n">
        <v>1</v>
      </c>
      <c r="I118" s="7" t="inlineStr">
        <is>
          <t>Evet</t>
        </is>
      </c>
      <c r="J118" s="5" t="inlineStr">
        <is>
          <t>Drive foto (20.10.2026)</t>
        </is>
      </c>
      <c r="K118" s="5" t="n"/>
    </row>
    <row r="119" ht="26.4" customHeight="1">
      <c r="A119" s="5" t="inlineStr">
        <is>
          <t>Tare Houses Hotel</t>
        </is>
      </c>
      <c r="B119" s="5" t="inlineStr">
        <is>
          <t>X3</t>
        </is>
      </c>
      <c r="C119" s="7" t="n">
        <v>6</v>
      </c>
      <c r="D119">
        <f>IFERROR(INDEX('Kontrol Adımları'!$D:$D,MATCH(1,INDEX(('Kontrol Adımları'!$A$1:$A$400=B119)*('Kontrol Adımları'!$B$1:$B$400=C119),0),0)),"")</f>
        <v/>
      </c>
      <c r="E119" s="5" t="inlineStr">
        <is>
          <t>sponge_caddy</t>
        </is>
      </c>
      <c r="F119">
        <f>IFERROR(INDEX('Kalem Kataloğu'!$C$1:$C$1000,MATCH(1,INDEX(('Kalem Kataloğu'!$A$1:$A$1000=A119)*('Kalem Kataloğu'!$B$1:$B$1000=E119),0),0)),"?")</f>
        <v/>
      </c>
      <c r="G119">
        <f>IFERROR(INDEX('Kalem Kataloğu'!$D$1:$D$1000,MATCH(1,INDEX(('Kalem Kataloğu'!$A$1:$A$1000=A119)*('Kalem Kataloğu'!$B$1:$B$1000=E119),0),0)),"?")</f>
        <v/>
      </c>
      <c r="H119" s="7" t="n">
        <v>1</v>
      </c>
      <c r="I119" s="7" t="inlineStr">
        <is>
          <t>Evet</t>
        </is>
      </c>
      <c r="J119" s="5" t="inlineStr">
        <is>
          <t>Drive foto (20.10.2026)</t>
        </is>
      </c>
      <c r="K119" s="5" t="n"/>
    </row>
    <row r="120" ht="26.4" customHeight="1">
      <c r="A120" s="5" t="inlineStr">
        <is>
          <t>Tare Houses Hotel</t>
        </is>
      </c>
      <c r="B120" s="5" t="inlineStr">
        <is>
          <t>X3</t>
        </is>
      </c>
      <c r="C120" s="7" t="n">
        <v>6</v>
      </c>
      <c r="D120">
        <f>IFERROR(INDEX('Kontrol Adımları'!$D:$D,MATCH(1,INDEX(('Kontrol Adımları'!$A$1:$A$400=B120)*('Kontrol Adımları'!$B$1:$B$400=C120),0),0)),"")</f>
        <v/>
      </c>
      <c r="E120" s="5" t="inlineStr">
        <is>
          <t>oil_bottle</t>
        </is>
      </c>
      <c r="F120">
        <f>IFERROR(INDEX('Kalem Kataloğu'!$C$1:$C$1000,MATCH(1,INDEX(('Kalem Kataloğu'!$A$1:$A$1000=A120)*('Kalem Kataloğu'!$B$1:$B$1000=E120),0),0)),"?")</f>
        <v/>
      </c>
      <c r="G120">
        <f>IFERROR(INDEX('Kalem Kataloğu'!$D$1:$D$1000,MATCH(1,INDEX(('Kalem Kataloğu'!$A$1:$A$1000=A120)*('Kalem Kataloğu'!$B$1:$B$1000=E120),0),0)),"?")</f>
        <v/>
      </c>
      <c r="H120" s="7" t="n">
        <v>1</v>
      </c>
      <c r="I120" s="7" t="inlineStr">
        <is>
          <t>Evet</t>
        </is>
      </c>
      <c r="J120" s="5" t="inlineStr">
        <is>
          <t>Drive foto (20.10.2026)</t>
        </is>
      </c>
      <c r="K120" s="5" t="n"/>
    </row>
    <row r="121" ht="26.4" customHeight="1">
      <c r="A121" s="5" t="inlineStr">
        <is>
          <t>Tare Houses Hotel</t>
        </is>
      </c>
      <c r="B121" s="5" t="inlineStr">
        <is>
          <t>X3</t>
        </is>
      </c>
      <c r="C121" s="7" t="n">
        <v>6</v>
      </c>
      <c r="D121">
        <f>IFERROR(INDEX('Kontrol Adımları'!$D:$D,MATCH(1,INDEX(('Kontrol Adımları'!$A$1:$A$400=B121)*('Kontrol Adımları'!$B$1:$B$400=C121),0),0)),"")</f>
        <v/>
      </c>
      <c r="E121" s="5" t="inlineStr">
        <is>
          <t>salt_pepper_set</t>
        </is>
      </c>
      <c r="F121">
        <f>IFERROR(INDEX('Kalem Kataloğu'!$C$1:$C$1000,MATCH(1,INDEX(('Kalem Kataloğu'!$A$1:$A$1000=A121)*('Kalem Kataloğu'!$B$1:$B$1000=E121),0),0)),"?")</f>
        <v/>
      </c>
      <c r="G121">
        <f>IFERROR(INDEX('Kalem Kataloğu'!$D$1:$D$1000,MATCH(1,INDEX(('Kalem Kataloğu'!$A$1:$A$1000=A121)*('Kalem Kataloğu'!$B$1:$B$1000=E121),0),0)),"?")</f>
        <v/>
      </c>
      <c r="H121" s="7" t="n">
        <v>1</v>
      </c>
      <c r="I121" s="7" t="inlineStr">
        <is>
          <t>Evet</t>
        </is>
      </c>
      <c r="J121" s="5" t="inlineStr">
        <is>
          <t>Drive foto (20.10.2026)</t>
        </is>
      </c>
      <c r="K121" s="5" t="n"/>
    </row>
    <row r="122" ht="26.4" customHeight="1">
      <c r="A122" s="5" t="inlineStr">
        <is>
          <t>Tare Houses Hotel</t>
        </is>
      </c>
      <c r="B122" s="5" t="inlineStr">
        <is>
          <t>X3</t>
        </is>
      </c>
      <c r="C122" s="7" t="n">
        <v>7</v>
      </c>
      <c r="D122">
        <f>IFERROR(INDEX('Kontrol Adımları'!$D:$D,MATCH(1,INDEX(('Kontrol Adımları'!$A$1:$A$400=B122)*('Kontrol Adımları'!$B$1:$B$400=C122),0),0)),"")</f>
        <v/>
      </c>
      <c r="E122" s="5" t="inlineStr">
        <is>
          <t>fork</t>
        </is>
      </c>
      <c r="F122">
        <f>IFERROR(INDEX('Kalem Kataloğu'!$C$1:$C$1000,MATCH(1,INDEX(('Kalem Kataloğu'!$A$1:$A$1000=A122)*('Kalem Kataloğu'!$B$1:$B$1000=E122),0),0)),"?")</f>
        <v/>
      </c>
      <c r="G122">
        <f>IFERROR(INDEX('Kalem Kataloğu'!$D$1:$D$1000,MATCH(1,INDEX(('Kalem Kataloğu'!$A$1:$A$1000=A122)*('Kalem Kataloğu'!$B$1:$B$1000=E122),0),0)),"?")</f>
        <v/>
      </c>
      <c r="H122" s="7" t="n">
        <v>6</v>
      </c>
      <c r="I122" s="7" t="inlineStr">
        <is>
          <t>Hayır</t>
        </is>
      </c>
      <c r="J122" s="5" t="inlineStr">
        <is>
          <t>Drive foto (20.10.2026)</t>
        </is>
      </c>
      <c r="K122" s="5" t="n"/>
    </row>
    <row r="123" ht="26.4" customHeight="1">
      <c r="A123" s="5" t="inlineStr">
        <is>
          <t>Tare Houses Hotel</t>
        </is>
      </c>
      <c r="B123" s="5" t="inlineStr">
        <is>
          <t>X3</t>
        </is>
      </c>
      <c r="C123" s="7" t="n">
        <v>7</v>
      </c>
      <c r="D123">
        <f>IFERROR(INDEX('Kontrol Adımları'!$D:$D,MATCH(1,INDEX(('Kontrol Adımları'!$A$1:$A$400=B123)*('Kontrol Adımları'!$B$1:$B$400=C123),0),0)),"")</f>
        <v/>
      </c>
      <c r="E123" s="5" t="inlineStr">
        <is>
          <t>spoon</t>
        </is>
      </c>
      <c r="F123">
        <f>IFERROR(INDEX('Kalem Kataloğu'!$C$1:$C$1000,MATCH(1,INDEX(('Kalem Kataloğu'!$A$1:$A$1000=A123)*('Kalem Kataloğu'!$B$1:$B$1000=E123),0),0)),"?")</f>
        <v/>
      </c>
      <c r="G123">
        <f>IFERROR(INDEX('Kalem Kataloğu'!$D$1:$D$1000,MATCH(1,INDEX(('Kalem Kataloğu'!$A$1:$A$1000=A123)*('Kalem Kataloğu'!$B$1:$B$1000=E123),0),0)),"?")</f>
        <v/>
      </c>
      <c r="H123" s="7" t="n">
        <v>6</v>
      </c>
      <c r="I123" s="7" t="inlineStr">
        <is>
          <t>Hayır</t>
        </is>
      </c>
      <c r="J123" s="5" t="inlineStr">
        <is>
          <t>Drive foto (20.10.2026)</t>
        </is>
      </c>
      <c r="K123" s="5" t="n"/>
    </row>
    <row r="124" ht="26.4" customHeight="1">
      <c r="A124" s="5" t="inlineStr">
        <is>
          <t>Tare Houses Hotel</t>
        </is>
      </c>
      <c r="B124" s="5" t="inlineStr">
        <is>
          <t>X3</t>
        </is>
      </c>
      <c r="C124" s="7" t="n">
        <v>7</v>
      </c>
      <c r="D124">
        <f>IFERROR(INDEX('Kontrol Adımları'!$D:$D,MATCH(1,INDEX(('Kontrol Adımları'!$A$1:$A$400=B124)*('Kontrol Adımları'!$B$1:$B$400=C124),0),0)),"")</f>
        <v/>
      </c>
      <c r="E124" s="5" t="inlineStr">
        <is>
          <t>knife</t>
        </is>
      </c>
      <c r="F124">
        <f>IFERROR(INDEX('Kalem Kataloğu'!$C$1:$C$1000,MATCH(1,INDEX(('Kalem Kataloğu'!$A$1:$A$1000=A124)*('Kalem Kataloğu'!$B$1:$B$1000=E124),0),0)),"?")</f>
        <v/>
      </c>
      <c r="G124">
        <f>IFERROR(INDEX('Kalem Kataloğu'!$D$1:$D$1000,MATCH(1,INDEX(('Kalem Kataloğu'!$A$1:$A$1000=A124)*('Kalem Kataloğu'!$B$1:$B$1000=E124),0),0)),"?")</f>
        <v/>
      </c>
      <c r="H124" s="7" t="n">
        <v>6</v>
      </c>
      <c r="I124" s="7" t="inlineStr">
        <is>
          <t>Hayır</t>
        </is>
      </c>
      <c r="J124" s="5" t="inlineStr">
        <is>
          <t>Drive foto (20.10.2026)</t>
        </is>
      </c>
      <c r="K124" s="5" t="n"/>
    </row>
    <row r="125" ht="26.4" customHeight="1">
      <c r="A125" s="5" t="inlineStr">
        <is>
          <t>Tare Houses Hotel</t>
        </is>
      </c>
      <c r="B125" s="5" t="inlineStr">
        <is>
          <t>X3</t>
        </is>
      </c>
      <c r="C125" s="7" t="n">
        <v>7</v>
      </c>
      <c r="D125">
        <f>IFERROR(INDEX('Kontrol Adımları'!$D:$D,MATCH(1,INDEX(('Kontrol Adımları'!$A$1:$A$400=B125)*('Kontrol Adımları'!$B$1:$B$400=C125),0),0)),"")</f>
        <v/>
      </c>
      <c r="E125" s="5" t="inlineStr">
        <is>
          <t>teaspoon</t>
        </is>
      </c>
      <c r="F125">
        <f>IFERROR(INDEX('Kalem Kataloğu'!$C$1:$C$1000,MATCH(1,INDEX(('Kalem Kataloğu'!$A$1:$A$1000=A125)*('Kalem Kataloğu'!$B$1:$B$1000=E125),0),0)),"?")</f>
        <v/>
      </c>
      <c r="G125">
        <f>IFERROR(INDEX('Kalem Kataloğu'!$D$1:$D$1000,MATCH(1,INDEX(('Kalem Kataloğu'!$A$1:$A$1000=A125)*('Kalem Kataloğu'!$B$1:$B$1000=E125),0),0)),"?")</f>
        <v/>
      </c>
      <c r="H125" s="7" t="n">
        <v>5</v>
      </c>
      <c r="I125" s="7" t="inlineStr">
        <is>
          <t>Hayır</t>
        </is>
      </c>
      <c r="J125" s="5" t="inlineStr">
        <is>
          <t>Drive foto (20.10.2026)</t>
        </is>
      </c>
      <c r="K125" s="5" t="n"/>
    </row>
    <row r="126" ht="26.4" customHeight="1">
      <c r="A126" s="5" t="inlineStr">
        <is>
          <t>Tare Houses Hotel</t>
        </is>
      </c>
      <c r="B126" s="5" t="inlineStr">
        <is>
          <t>X3</t>
        </is>
      </c>
      <c r="C126" s="7" t="n">
        <v>7</v>
      </c>
      <c r="D126">
        <f>IFERROR(INDEX('Kontrol Adımları'!$D:$D,MATCH(1,INDEX(('Kontrol Adımları'!$A$1:$A$400=B126)*('Kontrol Adımları'!$B$1:$B$400=C126),0),0)),"")</f>
        <v/>
      </c>
      <c r="E126" s="5" t="inlineStr">
        <is>
          <t>corkscrew</t>
        </is>
      </c>
      <c r="F126">
        <f>IFERROR(INDEX('Kalem Kataloğu'!$C$1:$C$1000,MATCH(1,INDEX(('Kalem Kataloğu'!$A$1:$A$1000=A126)*('Kalem Kataloğu'!$B$1:$B$1000=E126),0),0)),"?")</f>
        <v/>
      </c>
      <c r="G126">
        <f>IFERROR(INDEX('Kalem Kataloğu'!$D$1:$D$1000,MATCH(1,INDEX(('Kalem Kataloğu'!$A$1:$A$1000=A126)*('Kalem Kataloğu'!$B$1:$B$1000=E126),0),0)),"?")</f>
        <v/>
      </c>
      <c r="H126" s="7" t="n">
        <v>1</v>
      </c>
      <c r="I126" s="7" t="inlineStr">
        <is>
          <t>Evet</t>
        </is>
      </c>
      <c r="J126" s="5" t="inlineStr">
        <is>
          <t>Drive foto (20.10.2026)</t>
        </is>
      </c>
      <c r="K126" s="5" t="n"/>
    </row>
    <row r="127" ht="26.4" customHeight="1">
      <c r="A127" s="5" t="inlineStr">
        <is>
          <t>Tare Houses Hotel</t>
        </is>
      </c>
      <c r="B127" s="5" t="inlineStr">
        <is>
          <t>X3</t>
        </is>
      </c>
      <c r="C127" s="7" t="n">
        <v>8</v>
      </c>
      <c r="D127">
        <f>IFERROR(INDEX('Kontrol Adımları'!$D:$D,MATCH(1,INDEX(('Kontrol Adımları'!$A$1:$A$400=B127)*('Kontrol Adımları'!$B$1:$B$400=C127),0),0)),"")</f>
        <v/>
      </c>
      <c r="E127" s="5" t="inlineStr">
        <is>
          <t>silicone_spoon</t>
        </is>
      </c>
      <c r="F127">
        <f>IFERROR(INDEX('Kalem Kataloğu'!$C$1:$C$1000,MATCH(1,INDEX(('Kalem Kataloğu'!$A$1:$A$1000=A127)*('Kalem Kataloğu'!$B$1:$B$1000=E127),0),0)),"?")</f>
        <v/>
      </c>
      <c r="G127">
        <f>IFERROR(INDEX('Kalem Kataloğu'!$D$1:$D$1000,MATCH(1,INDEX(('Kalem Kataloğu'!$A$1:$A$1000=A127)*('Kalem Kataloğu'!$B$1:$B$1000=E127),0),0)),"?")</f>
        <v/>
      </c>
      <c r="H127" s="7" t="n">
        <v>3</v>
      </c>
      <c r="I127" s="7" t="inlineStr">
        <is>
          <t>Evet</t>
        </is>
      </c>
      <c r="J127" s="5" t="inlineStr">
        <is>
          <t>Drive foto (20.10.2026)</t>
        </is>
      </c>
      <c r="K127" s="5" t="n"/>
    </row>
    <row r="128" ht="26.4" customHeight="1">
      <c r="A128" s="5" t="inlineStr">
        <is>
          <t>Tare Houses Hotel</t>
        </is>
      </c>
      <c r="B128" s="5" t="inlineStr">
        <is>
          <t>X3</t>
        </is>
      </c>
      <c r="C128" s="7" t="n">
        <v>8</v>
      </c>
      <c r="D128">
        <f>IFERROR(INDEX('Kontrol Adımları'!$D:$D,MATCH(1,INDEX(('Kontrol Adımları'!$A$1:$A$400=B128)*('Kontrol Adımları'!$B$1:$B$400=C128),0),0)),"")</f>
        <v/>
      </c>
      <c r="E128" s="5" t="inlineStr">
        <is>
          <t>silicone_slotted</t>
        </is>
      </c>
      <c r="F128">
        <f>IFERROR(INDEX('Kalem Kataloğu'!$C$1:$C$1000,MATCH(1,INDEX(('Kalem Kataloğu'!$A$1:$A$1000=A128)*('Kalem Kataloğu'!$B$1:$B$1000=E128),0),0)),"?")</f>
        <v/>
      </c>
      <c r="G128">
        <f>IFERROR(INDEX('Kalem Kataloğu'!$D$1:$D$1000,MATCH(1,INDEX(('Kalem Kataloğu'!$A$1:$A$1000=A128)*('Kalem Kataloğu'!$B$1:$B$1000=E128),0),0)),"?")</f>
        <v/>
      </c>
      <c r="H128" s="7" t="n">
        <v>1</v>
      </c>
      <c r="I128" s="7" t="inlineStr">
        <is>
          <t>Evet</t>
        </is>
      </c>
      <c r="J128" s="5" t="inlineStr">
        <is>
          <t>Drive foto (20.10.2026)</t>
        </is>
      </c>
      <c r="K128" s="5" t="n"/>
    </row>
    <row r="129" ht="26.4" customHeight="1">
      <c r="A129" s="5" t="inlineStr">
        <is>
          <t>Tare Houses Hotel</t>
        </is>
      </c>
      <c r="B129" s="5" t="inlineStr">
        <is>
          <t>X3</t>
        </is>
      </c>
      <c r="C129" s="7" t="n">
        <v>9</v>
      </c>
      <c r="D129">
        <f>IFERROR(INDEX('Kontrol Adımları'!$D:$D,MATCH(1,INDEX(('Kontrol Adımları'!$A$1:$A$400=B129)*('Kontrol Adımları'!$B$1:$B$400=C129),0),0)),"")</f>
        <v/>
      </c>
      <c r="E129" s="5" t="inlineStr">
        <is>
          <t>knife_set</t>
        </is>
      </c>
      <c r="F129">
        <f>IFERROR(INDEX('Kalem Kataloğu'!$C$1:$C$1000,MATCH(1,INDEX(('Kalem Kataloğu'!$A$1:$A$1000=A129)*('Kalem Kataloğu'!$B$1:$B$1000=E129),0),0)),"?")</f>
        <v/>
      </c>
      <c r="G129">
        <f>IFERROR(INDEX('Kalem Kataloğu'!$D$1:$D$1000,MATCH(1,INDEX(('Kalem Kataloğu'!$A$1:$A$1000=A129)*('Kalem Kataloğu'!$B$1:$B$1000=E129),0),0)),"?")</f>
        <v/>
      </c>
      <c r="H129" s="7" t="n">
        <v>1</v>
      </c>
      <c r="I129" s="7" t="inlineStr">
        <is>
          <t>Evet</t>
        </is>
      </c>
      <c r="J129" s="5" t="inlineStr">
        <is>
          <t>Drive foto (20.10.2026)</t>
        </is>
      </c>
      <c r="K129" s="5" t="n"/>
    </row>
    <row r="130" ht="26.4" customHeight="1">
      <c r="A130" s="5" t="inlineStr">
        <is>
          <t>Tare Houses Hotel</t>
        </is>
      </c>
      <c r="B130" s="5" t="inlineStr">
        <is>
          <t>X3</t>
        </is>
      </c>
      <c r="C130" s="7" t="n">
        <v>9</v>
      </c>
      <c r="D130">
        <f>IFERROR(INDEX('Kontrol Adımları'!$D:$D,MATCH(1,INDEX(('Kontrol Adımları'!$A$1:$A$400=B130)*('Kontrol Adımları'!$B$1:$B$400=C130),0),0)),"")</f>
        <v/>
      </c>
      <c r="E130" s="5" t="inlineStr">
        <is>
          <t>cutting_board</t>
        </is>
      </c>
      <c r="F130">
        <f>IFERROR(INDEX('Kalem Kataloğu'!$C$1:$C$1000,MATCH(1,INDEX(('Kalem Kataloğu'!$A$1:$A$1000=A130)*('Kalem Kataloğu'!$B$1:$B$1000=E130),0),0)),"?")</f>
        <v/>
      </c>
      <c r="G130">
        <f>IFERROR(INDEX('Kalem Kataloğu'!$D$1:$D$1000,MATCH(1,INDEX(('Kalem Kataloğu'!$A$1:$A$1000=A130)*('Kalem Kataloğu'!$B$1:$B$1000=E130),0),0)),"?")</f>
        <v/>
      </c>
      <c r="H130" s="7" t="n">
        <v>1</v>
      </c>
      <c r="I130" s="7" t="inlineStr">
        <is>
          <t>Evet</t>
        </is>
      </c>
      <c r="J130" s="5" t="inlineStr">
        <is>
          <t>Drive foto (20.10.2026)</t>
        </is>
      </c>
      <c r="K130" s="5" t="n"/>
    </row>
    <row r="131" ht="26.4" customHeight="1">
      <c r="A131" s="5" t="inlineStr">
        <is>
          <t>Tare Houses Hotel</t>
        </is>
      </c>
      <c r="B131" s="5" t="inlineStr">
        <is>
          <t>X3</t>
        </is>
      </c>
      <c r="C131" s="7" t="n">
        <v>10</v>
      </c>
      <c r="D131">
        <f>IFERROR(INDEX('Kontrol Adımları'!$D:$D,MATCH(1,INDEX(('Kontrol Adımları'!$A$1:$A$400=B131)*('Kontrol Adımları'!$B$1:$B$400=C131),0),0)),"")</f>
        <v/>
      </c>
      <c r="E131" s="5" t="inlineStr">
        <is>
          <t>wine_glass</t>
        </is>
      </c>
      <c r="F131">
        <f>IFERROR(INDEX('Kalem Kataloğu'!$C$1:$C$1000,MATCH(1,INDEX(('Kalem Kataloğu'!$A$1:$A$1000=A131)*('Kalem Kataloğu'!$B$1:$B$1000=E131),0),0)),"?")</f>
        <v/>
      </c>
      <c r="G131">
        <f>IFERROR(INDEX('Kalem Kataloğu'!$D$1:$D$1000,MATCH(1,INDEX(('Kalem Kataloğu'!$A$1:$A$1000=A131)*('Kalem Kataloğu'!$B$1:$B$1000=E131),0),0)),"?")</f>
        <v/>
      </c>
      <c r="H131" s="7" t="n">
        <v>2</v>
      </c>
      <c r="I131" s="7" t="inlineStr">
        <is>
          <t>Evet</t>
        </is>
      </c>
      <c r="J131" s="5" t="inlineStr">
        <is>
          <t>Drive foto (20.10.2026)</t>
        </is>
      </c>
      <c r="K131" s="5" t="n"/>
    </row>
    <row r="132" ht="26.4" customHeight="1">
      <c r="A132" s="5" t="inlineStr">
        <is>
          <t>Tare Houses Hotel</t>
        </is>
      </c>
      <c r="B132" s="5" t="inlineStr">
        <is>
          <t>X3</t>
        </is>
      </c>
      <c r="C132" s="7" t="n">
        <v>10</v>
      </c>
      <c r="D132">
        <f>IFERROR(INDEX('Kontrol Adımları'!$D:$D,MATCH(1,INDEX(('Kontrol Adımları'!$A$1:$A$400=B132)*('Kontrol Adımları'!$B$1:$B$400=C132),0),0)),"")</f>
        <v/>
      </c>
      <c r="E132" s="5" t="inlineStr">
        <is>
          <t>water_glass</t>
        </is>
      </c>
      <c r="F132">
        <f>IFERROR(INDEX('Kalem Kataloğu'!$C$1:$C$1000,MATCH(1,INDEX(('Kalem Kataloğu'!$A$1:$A$1000=A132)*('Kalem Kataloğu'!$B$1:$B$1000=E132),0),0)),"?")</f>
        <v/>
      </c>
      <c r="G132">
        <f>IFERROR(INDEX('Kalem Kataloğu'!$D$1:$D$1000,MATCH(1,INDEX(('Kalem Kataloğu'!$A$1:$A$1000=A132)*('Kalem Kataloğu'!$B$1:$B$1000=E132),0),0)),"?")</f>
        <v/>
      </c>
      <c r="H132" s="7" t="n">
        <v>4</v>
      </c>
      <c r="I132" s="7" t="inlineStr">
        <is>
          <t>Hayır</t>
        </is>
      </c>
      <c r="J132" s="5" t="inlineStr">
        <is>
          <t>Drive foto (20.10.2026)</t>
        </is>
      </c>
      <c r="K132" s="5" t="n"/>
    </row>
    <row r="133" ht="26.4" customHeight="1">
      <c r="A133" s="5" t="inlineStr">
        <is>
          <t>Tare Houses Hotel</t>
        </is>
      </c>
      <c r="B133" s="5" t="inlineStr">
        <is>
          <t>X3</t>
        </is>
      </c>
      <c r="C133" s="7" t="n">
        <v>10</v>
      </c>
      <c r="D133">
        <f>IFERROR(INDEX('Kontrol Adımları'!$D:$D,MATCH(1,INDEX(('Kontrol Adımları'!$A$1:$A$400=B133)*('Kontrol Adımları'!$B$1:$B$400=C133),0),0)),"")</f>
        <v/>
      </c>
      <c r="E133" s="5" t="inlineStr">
        <is>
          <t>mug</t>
        </is>
      </c>
      <c r="F133">
        <f>IFERROR(INDEX('Kalem Kataloğu'!$C$1:$C$1000,MATCH(1,INDEX(('Kalem Kataloğu'!$A$1:$A$1000=A133)*('Kalem Kataloğu'!$B$1:$B$1000=E133),0),0)),"?")</f>
        <v/>
      </c>
      <c r="G133">
        <f>IFERROR(INDEX('Kalem Kataloğu'!$D$1:$D$1000,MATCH(1,INDEX(('Kalem Kataloğu'!$A$1:$A$1000=A133)*('Kalem Kataloğu'!$B$1:$B$1000=E133),0),0)),"?")</f>
        <v/>
      </c>
      <c r="H133" s="7" t="n">
        <v>2</v>
      </c>
      <c r="I133" s="7" t="inlineStr">
        <is>
          <t>Evet</t>
        </is>
      </c>
      <c r="J133" s="5" t="inlineStr">
        <is>
          <t>Drive foto (20.10.2026)</t>
        </is>
      </c>
      <c r="K133" s="5" t="n"/>
    </row>
    <row r="134" ht="26.4" customHeight="1">
      <c r="A134" s="5" t="inlineStr">
        <is>
          <t>Tare Houses Hotel</t>
        </is>
      </c>
      <c r="B134" s="5" t="inlineStr">
        <is>
          <t>X3</t>
        </is>
      </c>
      <c r="C134" s="7" t="n">
        <v>10</v>
      </c>
      <c r="D134">
        <f>IFERROR(INDEX('Kontrol Adımları'!$D:$D,MATCH(1,INDEX(('Kontrol Adımları'!$A$1:$A$400=B134)*('Kontrol Adımları'!$B$1:$B$400=C134),0),0)),"")</f>
        <v/>
      </c>
      <c r="E134" s="5" t="inlineStr">
        <is>
          <t>small_plate_green</t>
        </is>
      </c>
      <c r="F134">
        <f>IFERROR(INDEX('Kalem Kataloğu'!$C$1:$C$1000,MATCH(1,INDEX(('Kalem Kataloğu'!$A$1:$A$1000=A134)*('Kalem Kataloğu'!$B$1:$B$1000=E134),0),0)),"?")</f>
        <v/>
      </c>
      <c r="G134">
        <f>IFERROR(INDEX('Kalem Kataloğu'!$D$1:$D$1000,MATCH(1,INDEX(('Kalem Kataloğu'!$A$1:$A$1000=A134)*('Kalem Kataloğu'!$B$1:$B$1000=E134),0),0)),"?")</f>
        <v/>
      </c>
      <c r="H134" s="7" t="n">
        <v>4</v>
      </c>
      <c r="I134" s="7" t="inlineStr">
        <is>
          <t>Hayır</t>
        </is>
      </c>
      <c r="J134" s="5" t="inlineStr">
        <is>
          <t>Drive foto (20.10.2026)</t>
        </is>
      </c>
      <c r="K134" s="5" t="n"/>
    </row>
    <row r="135" ht="26.4" customHeight="1">
      <c r="A135" s="5" t="inlineStr">
        <is>
          <t>Tare Houses Hotel</t>
        </is>
      </c>
      <c r="B135" s="5" t="inlineStr">
        <is>
          <t>X3</t>
        </is>
      </c>
      <c r="C135" s="7" t="n">
        <v>10</v>
      </c>
      <c r="D135">
        <f>IFERROR(INDEX('Kontrol Adımları'!$D:$D,MATCH(1,INDEX(('Kontrol Adımları'!$A$1:$A$400=B135)*('Kontrol Adımları'!$B$1:$B$400=C135),0),0)),"")</f>
        <v/>
      </c>
      <c r="E135" s="5" t="inlineStr">
        <is>
          <t>wooden_bowl</t>
        </is>
      </c>
      <c r="F135">
        <f>IFERROR(INDEX('Kalem Kataloğu'!$C$1:$C$1000,MATCH(1,INDEX(('Kalem Kataloğu'!$A$1:$A$1000=A135)*('Kalem Kataloğu'!$B$1:$B$1000=E135),0),0)),"?")</f>
        <v/>
      </c>
      <c r="G135">
        <f>IFERROR(INDEX('Kalem Kataloğu'!$D$1:$D$1000,MATCH(1,INDEX(('Kalem Kataloğu'!$A$1:$A$1000=A135)*('Kalem Kataloğu'!$B$1:$B$1000=E135),0),0)),"?")</f>
        <v/>
      </c>
      <c r="H135" s="7" t="n">
        <v>1</v>
      </c>
      <c r="I135" s="7" t="inlineStr">
        <is>
          <t>Evet</t>
        </is>
      </c>
      <c r="J135" s="5" t="inlineStr">
        <is>
          <t>Drive foto (20.10.2026)</t>
        </is>
      </c>
      <c r="K135" s="5" t="n"/>
    </row>
    <row r="136">
      <c r="A136" s="5" t="inlineStr">
        <is>
          <t>Tare Houses Hotel</t>
        </is>
      </c>
      <c r="B136" s="5" t="inlineStr">
        <is>
          <t>X3</t>
        </is>
      </c>
      <c r="C136" s="7" t="n">
        <v>10</v>
      </c>
      <c r="D136">
        <f>IFERROR(INDEX('Kontrol Adımları'!$D:$D,MATCH(1,INDEX(('Kontrol Adımları'!$A$1:$A$400=B136)*('Kontrol Adımları'!$B$1:$B$400=C136),0),0)),"")</f>
        <v/>
      </c>
      <c r="E136" s="5" t="inlineStr">
        <is>
          <t>sauce_bowl</t>
        </is>
      </c>
      <c r="F136">
        <f>IFERROR(INDEX('Kalem Kataloğu'!$C$1:$C$1000,MATCH(1,INDEX(('Kalem Kataloğu'!$A$1:$A$1000=A136)*('Kalem Kataloğu'!$B$1:$B$1000=E136),0),0)),"?")</f>
        <v/>
      </c>
      <c r="G136">
        <f>IFERROR(INDEX('Kalem Kataloğu'!$D$1:$D$1000,MATCH(1,INDEX(('Kalem Kataloğu'!$A$1:$A$1000=A136)*('Kalem Kataloğu'!$B$1:$B$1000=E136),0),0)),"?")</f>
        <v/>
      </c>
      <c r="H136" s="7" t="n">
        <v>4</v>
      </c>
      <c r="I136" s="7" t="inlineStr">
        <is>
          <t>Evet</t>
        </is>
      </c>
      <c r="J136" s="5" t="inlineStr">
        <is>
          <t>Drive foto (20.10.2026)</t>
        </is>
      </c>
      <c r="K136" s="5" t="n"/>
    </row>
    <row r="137">
      <c r="A137" s="5" t="inlineStr">
        <is>
          <t>Tare Houses Hotel</t>
        </is>
      </c>
      <c r="B137" s="5" t="inlineStr">
        <is>
          <t>X3</t>
        </is>
      </c>
      <c r="C137" s="7" t="n">
        <v>11</v>
      </c>
      <c r="D137">
        <f>IFERROR(INDEX('Kontrol Adımları'!$D:$D,MATCH(1,INDEX(('Kontrol Adımları'!$A$1:$A$400=B137)*('Kontrol Adımları'!$B$1:$B$400=C137),0),0)),"")</f>
        <v/>
      </c>
      <c r="E137" s="5" t="inlineStr">
        <is>
          <t>frying_pan</t>
        </is>
      </c>
      <c r="F137">
        <f>IFERROR(INDEX('Kalem Kataloğu'!$C$1:$C$1000,MATCH(1,INDEX(('Kalem Kataloğu'!$A$1:$A$1000=A137)*('Kalem Kataloğu'!$B$1:$B$1000=E137),0),0)),"?")</f>
        <v/>
      </c>
      <c r="G137">
        <f>IFERROR(INDEX('Kalem Kataloğu'!$D$1:$D$1000,MATCH(1,INDEX(('Kalem Kataloğu'!$A$1:$A$1000=A137)*('Kalem Kataloğu'!$B$1:$B$1000=E137),0),0)),"?")</f>
        <v/>
      </c>
      <c r="H137" s="7" t="n">
        <v>1</v>
      </c>
      <c r="I137" s="7" t="inlineStr">
        <is>
          <t>Evet</t>
        </is>
      </c>
      <c r="J137" s="5" t="inlineStr">
        <is>
          <t>Drive foto (20.10.2026)</t>
        </is>
      </c>
      <c r="K137" s="5" t="n"/>
    </row>
    <row r="138">
      <c r="A138" s="5" t="inlineStr">
        <is>
          <t>Tare Houses Hotel</t>
        </is>
      </c>
      <c r="B138" s="5" t="inlineStr">
        <is>
          <t>X3</t>
        </is>
      </c>
      <c r="C138" s="7" t="n">
        <v>11</v>
      </c>
      <c r="D138">
        <f>IFERROR(INDEX('Kontrol Adımları'!$D:$D,MATCH(1,INDEX(('Kontrol Adımları'!$A$1:$A$400=B138)*('Kontrol Adımları'!$B$1:$B$400=C138),0),0)),"")</f>
        <v/>
      </c>
      <c r="E138" s="5" t="inlineStr">
        <is>
          <t>saucepan</t>
        </is>
      </c>
      <c r="F138">
        <f>IFERROR(INDEX('Kalem Kataloğu'!$C$1:$C$1000,MATCH(1,INDEX(('Kalem Kataloğu'!$A$1:$A$1000=A138)*('Kalem Kataloğu'!$B$1:$B$1000=E138),0),0)),"?")</f>
        <v/>
      </c>
      <c r="G138">
        <f>IFERROR(INDEX('Kalem Kataloğu'!$D$1:$D$1000,MATCH(1,INDEX(('Kalem Kataloğu'!$A$1:$A$1000=A138)*('Kalem Kataloğu'!$B$1:$B$1000=E138),0),0)),"?")</f>
        <v/>
      </c>
      <c r="H138" s="7" t="n">
        <v>1</v>
      </c>
      <c r="I138" s="7" t="inlineStr">
        <is>
          <t>Evet</t>
        </is>
      </c>
      <c r="J138" s="5" t="inlineStr">
        <is>
          <t>Drive foto (20.10.2026)</t>
        </is>
      </c>
      <c r="K138" s="5" t="n"/>
    </row>
    <row r="139">
      <c r="A139" s="5" t="inlineStr">
        <is>
          <t>Tare Houses Hotel</t>
        </is>
      </c>
      <c r="B139" s="5" t="inlineStr">
        <is>
          <t>X3</t>
        </is>
      </c>
      <c r="C139" s="7" t="n">
        <v>11</v>
      </c>
      <c r="D139">
        <f>IFERROR(INDEX('Kontrol Adımları'!$D:$D,MATCH(1,INDEX(('Kontrol Adımları'!$A$1:$A$400=B139)*('Kontrol Adımları'!$B$1:$B$400=C139),0),0)),"")</f>
        <v/>
      </c>
      <c r="E139" s="5" t="inlineStr">
        <is>
          <t>pot</t>
        </is>
      </c>
      <c r="F139">
        <f>IFERROR(INDEX('Kalem Kataloğu'!$C$1:$C$1000,MATCH(1,INDEX(('Kalem Kataloğu'!$A$1:$A$1000=A139)*('Kalem Kataloğu'!$B$1:$B$1000=E139),0),0)),"?")</f>
        <v/>
      </c>
      <c r="G139">
        <f>IFERROR(INDEX('Kalem Kataloğu'!$D$1:$D$1000,MATCH(1,INDEX(('Kalem Kataloğu'!$A$1:$A$1000=A139)*('Kalem Kataloğu'!$B$1:$B$1000=E139),0),0)),"?")</f>
        <v/>
      </c>
      <c r="H139" s="7" t="n">
        <v>2</v>
      </c>
      <c r="I139" s="7" t="inlineStr">
        <is>
          <t>Evet</t>
        </is>
      </c>
      <c r="J139" s="5" t="inlineStr">
        <is>
          <t>Drive foto (20.10.2026)</t>
        </is>
      </c>
      <c r="K139" s="5" t="n"/>
    </row>
    <row r="140">
      <c r="A140" s="5" t="inlineStr">
        <is>
          <t>Tare Houses Hotel</t>
        </is>
      </c>
      <c r="B140" s="5" t="inlineStr">
        <is>
          <t>X3</t>
        </is>
      </c>
      <c r="C140" s="7" t="n">
        <v>11</v>
      </c>
      <c r="D140">
        <f>IFERROR(INDEX('Kontrol Adımları'!$D:$D,MATCH(1,INDEX(('Kontrol Adımları'!$A$1:$A$400=B140)*('Kontrol Adımları'!$B$1:$B$400=C140),0),0)),"")</f>
        <v/>
      </c>
      <c r="E140" s="5" t="inlineStr">
        <is>
          <t>trivet</t>
        </is>
      </c>
      <c r="F140">
        <f>IFERROR(INDEX('Kalem Kataloğu'!$C$1:$C$1000,MATCH(1,INDEX(('Kalem Kataloğu'!$A$1:$A$1000=A140)*('Kalem Kataloğu'!$B$1:$B$1000=E140),0),0)),"?")</f>
        <v/>
      </c>
      <c r="G140">
        <f>IFERROR(INDEX('Kalem Kataloğu'!$D$1:$D$1000,MATCH(1,INDEX(('Kalem Kataloğu'!$A$1:$A$1000=A140)*('Kalem Kataloğu'!$B$1:$B$1000=E140),0),0)),"?")</f>
        <v/>
      </c>
      <c r="H140" s="7" t="n">
        <v>1</v>
      </c>
      <c r="I140" s="7" t="inlineStr">
        <is>
          <t>Evet</t>
        </is>
      </c>
      <c r="J140" s="5" t="inlineStr">
        <is>
          <t>Drive foto (20.10.2026)</t>
        </is>
      </c>
      <c r="K140" s="5" t="n"/>
    </row>
    <row r="141">
      <c r="A141" s="5" t="inlineStr">
        <is>
          <t>Tare Houses Hotel</t>
        </is>
      </c>
      <c r="B141" s="5" t="inlineStr">
        <is>
          <t>X3</t>
        </is>
      </c>
      <c r="C141" s="7" t="n">
        <v>12</v>
      </c>
      <c r="D141">
        <f>IFERROR(INDEX('Kontrol Adımları'!$D:$D,MATCH(1,INDEX(('Kontrol Adımları'!$A$1:$A$400=B141)*('Kontrol Adımları'!$B$1:$B$400=C141),0),0)),"")</f>
        <v/>
      </c>
      <c r="E141" s="5" t="inlineStr">
        <is>
          <t>dinner_plate</t>
        </is>
      </c>
      <c r="F141">
        <f>IFERROR(INDEX('Kalem Kataloğu'!$C$1:$C$1000,MATCH(1,INDEX(('Kalem Kataloğu'!$A$1:$A$1000=A141)*('Kalem Kataloğu'!$B$1:$B$1000=E141),0),0)),"?")</f>
        <v/>
      </c>
      <c r="G141">
        <f>IFERROR(INDEX('Kalem Kataloğu'!$D$1:$D$1000,MATCH(1,INDEX(('Kalem Kataloğu'!$A$1:$A$1000=A141)*('Kalem Kataloğu'!$B$1:$B$1000=E141),0),0)),"?")</f>
        <v/>
      </c>
      <c r="H141" s="7" t="n">
        <v>4</v>
      </c>
      <c r="I141" s="7" t="inlineStr">
        <is>
          <t>Evet</t>
        </is>
      </c>
      <c r="J141" s="5" t="inlineStr">
        <is>
          <t>Drive foto (20.10.2026)</t>
        </is>
      </c>
      <c r="K141" s="5" t="n"/>
    </row>
    <row r="142">
      <c r="A142" s="5" t="inlineStr">
        <is>
          <t>Tare Houses Hotel</t>
        </is>
      </c>
      <c r="B142" s="5" t="inlineStr">
        <is>
          <t>X3</t>
        </is>
      </c>
      <c r="C142" s="7" t="n">
        <v>12</v>
      </c>
      <c r="D142">
        <f>IFERROR(INDEX('Kontrol Adımları'!$D:$D,MATCH(1,INDEX(('Kontrol Adımları'!$A$1:$A$400=B142)*('Kontrol Adımları'!$B$1:$B$400=C142),0),0)),"")</f>
        <v/>
      </c>
      <c r="E142" s="5" t="inlineStr">
        <is>
          <t>side_plate</t>
        </is>
      </c>
      <c r="F142">
        <f>IFERROR(INDEX('Kalem Kataloğu'!$C$1:$C$1000,MATCH(1,INDEX(('Kalem Kataloğu'!$A$1:$A$1000=A142)*('Kalem Kataloğu'!$B$1:$B$1000=E142),0),0)),"?")</f>
        <v/>
      </c>
      <c r="G142">
        <f>IFERROR(INDEX('Kalem Kataloğu'!$D$1:$D$1000,MATCH(1,INDEX(('Kalem Kataloğu'!$A$1:$A$1000=A142)*('Kalem Kataloğu'!$B$1:$B$1000=E142),0),0)),"?")</f>
        <v/>
      </c>
      <c r="H142" s="7" t="n">
        <v>4</v>
      </c>
      <c r="I142" s="7" t="inlineStr">
        <is>
          <t>Evet</t>
        </is>
      </c>
      <c r="J142" s="5" t="inlineStr">
        <is>
          <t>Drive foto (20.10.2026)</t>
        </is>
      </c>
      <c r="K142" s="5" t="n"/>
    </row>
    <row r="143">
      <c r="A143" s="5" t="inlineStr">
        <is>
          <t>Tare Houses Hotel</t>
        </is>
      </c>
      <c r="B143" s="5" t="inlineStr">
        <is>
          <t>X3</t>
        </is>
      </c>
      <c r="C143" s="7" t="n">
        <v>12</v>
      </c>
      <c r="D143">
        <f>IFERROR(INDEX('Kontrol Adımları'!$D:$D,MATCH(1,INDEX(('Kontrol Adımları'!$A$1:$A$400=B143)*('Kontrol Adımları'!$B$1:$B$400=C143),0),0)),"")</f>
        <v/>
      </c>
      <c r="E143" s="5" t="inlineStr">
        <is>
          <t>deep_plate</t>
        </is>
      </c>
      <c r="F143">
        <f>IFERROR(INDEX('Kalem Kataloğu'!$C$1:$C$1000,MATCH(1,INDEX(('Kalem Kataloğu'!$A$1:$A$1000=A143)*('Kalem Kataloğu'!$B$1:$B$1000=E143),0),0)),"?")</f>
        <v/>
      </c>
      <c r="G143">
        <f>IFERROR(INDEX('Kalem Kataloğu'!$D$1:$D$1000,MATCH(1,INDEX(('Kalem Kataloğu'!$A$1:$A$1000=A143)*('Kalem Kataloğu'!$B$1:$B$1000=E143),0),0)),"?")</f>
        <v/>
      </c>
      <c r="H143" s="7" t="n">
        <v>4</v>
      </c>
      <c r="I143" s="7" t="inlineStr">
        <is>
          <t>Evet</t>
        </is>
      </c>
      <c r="J143" s="5" t="inlineStr">
        <is>
          <t>Drive foto (20.10.2026)</t>
        </is>
      </c>
      <c r="K143" s="5" t="n"/>
    </row>
    <row r="144">
      <c r="A144" s="5" t="inlineStr">
        <is>
          <t>Tare Houses Hotel</t>
        </is>
      </c>
      <c r="B144" s="5" t="inlineStr">
        <is>
          <t>X3</t>
        </is>
      </c>
      <c r="C144" s="7" t="n">
        <v>12</v>
      </c>
      <c r="D144">
        <f>IFERROR(INDEX('Kontrol Adımları'!$D:$D,MATCH(1,INDEX(('Kontrol Adımları'!$A$1:$A$400=B144)*('Kontrol Adımları'!$B$1:$B$400=C144),0),0)),"")</f>
        <v/>
      </c>
      <c r="E144" s="5" t="inlineStr">
        <is>
          <t>bowl</t>
        </is>
      </c>
      <c r="F144">
        <f>IFERROR(INDEX('Kalem Kataloğu'!$C$1:$C$1000,MATCH(1,INDEX(('Kalem Kataloğu'!$A$1:$A$1000=A144)*('Kalem Kataloğu'!$B$1:$B$1000=E144),0),0)),"?")</f>
        <v/>
      </c>
      <c r="G144">
        <f>IFERROR(INDEX('Kalem Kataloğu'!$D$1:$D$1000,MATCH(1,INDEX(('Kalem Kataloğu'!$A$1:$A$1000=A144)*('Kalem Kataloğu'!$B$1:$B$1000=E144),0),0)),"?")</f>
        <v/>
      </c>
      <c r="H144" s="7" t="n">
        <v>4</v>
      </c>
      <c r="I144" s="7" t="inlineStr">
        <is>
          <t>Hayır</t>
        </is>
      </c>
      <c r="J144" s="5" t="inlineStr">
        <is>
          <t>Drive foto (20.10.2026)</t>
        </is>
      </c>
      <c r="K144" s="5" t="inlineStr">
        <is>
          <t>Fotoğrafta 4-5 görünüyor; sayılıp sabitlenecek</t>
        </is>
      </c>
    </row>
  </sheetData>
  <autoFilter ref="A1:K135"/>
  <dataValidations count="1">
    <dataValidation sqref="I2:I1000" showDropDown="0" showInputMessage="0" showErrorMessage="0" allowBlank="1" type="list">
      <formula1>"Evet,Hayır"</formula1>
    </dataValidation>
  </dataValidations>
  <pageMargins left="0.75" right="0.75" top="1" bottom="1" header="0.5" footer="0.5"/>
  <headerFooter>
    <oddHeader/>
    <oddFooter>&amp;C&amp;"Aptos"&amp;6 &amp;K626469_x000d_# General</oddFooter>
    <evenHeader/>
    <evenFooter/>
    <firstHeader/>
    <firstFooter/>
  </headerFooter>
  <extLst>
    <ext xmlns:x14="http://schemas.microsoft.com/office/spreadsheetml/2009/9/main" uri="{CCE6A557-97BC-4b89-ADB6-D9C93CAAB3DF}">
      <x14:dataValidations xmlns:xm="http://schemas.microsoft.com/office/excel/2006/main" count="2">
        <x14:dataValidation type="list" allowBlank="1">
          <x14:formula1>
            <xm:f>Oteller!$A$2:$A$30</xm:f>
          </x14:formula1>
          <xm:sqref>A2:A1000</xm:sqref>
        </x14:dataValidation>
        <x14:dataValidation type="list" allowBlank="1">
          <x14:formula1>
            <xm:f>'Oda Tipleri'!$A$2:$A$40</xm:f>
          </x14:formula1>
          <xm:sqref>B2:B1000</xm:sqref>
        </x14:dataValidation>
      </x14:dataValidations>
    </ext>
  </extLst>
</worksheet>
</file>

<file path=xl/worksheets/sheet10.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4.4"/>
  <cols>
    <col width="20" customWidth="1" min="1" max="1"/>
    <col width="10" customWidth="1" min="2" max="2"/>
    <col width="7" customWidth="1" min="3" max="3"/>
    <col width="16" customWidth="1" min="4" max="4"/>
    <col width="20" customWidth="1" min="5" max="5"/>
    <col width="30" customWidth="1" min="6" max="6"/>
    <col width="10" customWidth="1" min="7" max="7"/>
    <col width="50" customWidth="1" min="8" max="8"/>
  </cols>
  <sheetData>
    <row r="1" ht="30" customHeight="1">
      <c r="A1" s="4" t="inlineStr">
        <is>
          <t>Tesis</t>
        </is>
      </c>
      <c r="B1" s="4" t="inlineStr">
        <is>
          <t>Oda Tipi Kodu</t>
        </is>
      </c>
      <c r="C1" s="4" t="inlineStr">
        <is>
          <t>Adım No</t>
        </is>
      </c>
      <c r="D1" s="4" t="inlineStr">
        <is>
          <t>Yer</t>
        </is>
      </c>
      <c r="E1" s="4" t="inlineStr">
        <is>
          <t>Kalem Kodu</t>
        </is>
      </c>
      <c r="F1" s="4" t="inlineStr">
        <is>
          <t>Ürün</t>
        </is>
      </c>
      <c r="G1" s="4" t="inlineStr">
        <is>
          <t>Standart Adet</t>
        </is>
      </c>
      <c r="H1" s="4" t="inlineStr">
        <is>
          <t>Not</t>
        </is>
      </c>
    </row>
    <row r="2">
      <c r="A2" s="5" t="inlineStr">
        <is>
          <t>Tare Suites Urla</t>
        </is>
      </c>
      <c r="B2" s="5" t="inlineStr">
        <is>
          <t>Tümü</t>
        </is>
      </c>
      <c r="C2" s="5" t="n"/>
      <c r="D2" s="5" t="inlineStr">
        <is>
          <t>Minibar (dolap)</t>
        </is>
      </c>
      <c r="E2" s="7" t="n"/>
      <c r="F2" s="5" t="inlineStr">
        <is>
          <t>İçecek (su vb.)</t>
        </is>
      </c>
      <c r="G2" s="7" t="n"/>
      <c r="H2" s="5" t="inlineStr">
        <is>
          <t>Hiçbir fotoğrafta buzdolabı içi görünmüyor; dolap içi standardı belirlenmeli güven: low (Drive fotoğrafından)</t>
        </is>
      </c>
    </row>
    <row r="3">
      <c r="A3" s="5" t="inlineStr">
        <is>
          <t>Tare Suites Urla</t>
        </is>
      </c>
      <c r="B3" s="5" t="inlineStr">
        <is>
          <t>Tümü</t>
        </is>
      </c>
      <c r="C3" s="5" t="n"/>
      <c r="D3" s="5" t="inlineStr">
        <is>
          <t>İkram tepsisi</t>
        </is>
      </c>
      <c r="E3" s="7" t="n"/>
      <c r="F3" s="5" t="inlineStr">
        <is>
          <t>Nescafé Classic (tek içimlik sachet)</t>
        </is>
      </c>
      <c r="G3" s="5" t="n">
        <v>2</v>
      </c>
      <c r="H3" s="5" t="inlineStr">
        <is>
          <t>güven: high (Drive fotoğrafından)</t>
        </is>
      </c>
    </row>
    <row r="4">
      <c r="A4" s="5" t="inlineStr">
        <is>
          <t>Tare Suites Urla</t>
        </is>
      </c>
      <c r="B4" s="5" t="inlineStr">
        <is>
          <t>Tümü</t>
        </is>
      </c>
      <c r="C4" s="5" t="n"/>
      <c r="D4" s="5" t="inlineStr">
        <is>
          <t>İkram tepsisi</t>
        </is>
      </c>
      <c r="E4" s="7" t="n"/>
      <c r="F4" s="5" t="inlineStr">
        <is>
          <t>Hazır Türk kahvesi sachet (Shazel, şekersiz/sade)</t>
        </is>
      </c>
      <c r="G4" s="5" t="n">
        <v>2</v>
      </c>
      <c r="H4" s="5" t="inlineStr">
        <is>
          <t>Marka yazısı kısmen okunuyor güven: medium (Drive fotoğrafından)</t>
        </is>
      </c>
    </row>
    <row r="5">
      <c r="A5" s="5" t="inlineStr">
        <is>
          <t>Tare Suites Urla</t>
        </is>
      </c>
      <c r="B5" s="5" t="inlineStr">
        <is>
          <t>Tümü</t>
        </is>
      </c>
      <c r="C5" s="5" t="n"/>
      <c r="D5" s="5" t="inlineStr">
        <is>
          <t>İkram tepsisi</t>
        </is>
      </c>
      <c r="E5" s="7" t="n"/>
      <c r="F5" s="5" t="inlineStr">
        <is>
          <t>Lokum (bambu kasede)</t>
        </is>
      </c>
      <c r="G5" s="7" t="n"/>
      <c r="H5" s="5" t="inlineStr">
        <is>
          <t>Kasede 2-3 parça; standart adet teyit güven: high (Drive fotoğrafından)</t>
        </is>
      </c>
    </row>
    <row r="6" ht="26.4" customHeight="1">
      <c r="A6" s="5" t="inlineStr">
        <is>
          <t>Tare Suites Urla</t>
        </is>
      </c>
      <c r="B6" s="5" t="inlineStr">
        <is>
          <t>Tümü</t>
        </is>
      </c>
      <c r="C6" s="5" t="n"/>
      <c r="D6" s="5" t="inlineStr">
        <is>
          <t>İkram tepsisi</t>
        </is>
      </c>
      <c r="E6" s="7" t="n"/>
      <c r="F6" s="5" t="inlineStr">
        <is>
          <t>Bambu küçük kase</t>
        </is>
      </c>
      <c r="G6" s="5" t="n">
        <v>1</v>
      </c>
      <c r="H6" s="5" t="inlineStr">
        <is>
          <t>güven: high (Drive fotoğrafından)</t>
        </is>
      </c>
    </row>
    <row r="7" ht="26.4" customHeight="1">
      <c r="A7" s="5" t="inlineStr">
        <is>
          <t>Tare Suites Urla</t>
        </is>
      </c>
      <c r="B7" s="5" t="inlineStr">
        <is>
          <t>Tümü</t>
        </is>
      </c>
      <c r="C7" s="5" t="n"/>
      <c r="D7" s="5" t="inlineStr">
        <is>
          <t>İkram tepsisi</t>
        </is>
      </c>
      <c r="E7" s="7" t="n"/>
      <c r="F7" s="5" t="inlineStr">
        <is>
          <t>Ahşap karıştırıcı çubuk</t>
        </is>
      </c>
      <c r="G7" s="5" t="n">
        <v>2</v>
      </c>
      <c r="H7" s="5" t="inlineStr">
        <is>
          <t>güven: high (Drive fotoğrafından)</t>
        </is>
      </c>
    </row>
    <row r="8" ht="26.4" customHeight="1">
      <c r="A8" s="5" t="inlineStr">
        <is>
          <t>Tare Suites Urla</t>
        </is>
      </c>
      <c r="B8" s="5" t="inlineStr">
        <is>
          <t>Tümü</t>
        </is>
      </c>
      <c r="C8" s="5" t="n"/>
      <c r="D8" s="5" t="inlineStr">
        <is>
          <t>İkram tepsisi</t>
        </is>
      </c>
      <c r="E8" s="7" t="n"/>
      <c r="F8" s="5" t="inlineStr">
        <is>
          <t>Çift cidarlı cam fincan</t>
        </is>
      </c>
      <c r="G8" s="5" t="n">
        <v>2</v>
      </c>
      <c r="H8" s="5" t="inlineStr">
        <is>
          <t>güven: high (Drive fotoğrafından)</t>
        </is>
      </c>
    </row>
    <row r="9" ht="26.4" customHeight="1">
      <c r="A9" s="5" t="inlineStr">
        <is>
          <t>Tare Suites Urla</t>
        </is>
      </c>
      <c r="B9" s="5" t="inlineStr">
        <is>
          <t>Tümü</t>
        </is>
      </c>
      <c r="C9" s="5" t="n"/>
      <c r="D9" s="5" t="inlineStr">
        <is>
          <t>İkram tepsisi</t>
        </is>
      </c>
      <c r="E9" s="7" t="n"/>
      <c r="F9" s="5" t="inlineStr">
        <is>
          <t>Çay poşeti / şeker</t>
        </is>
      </c>
      <c r="G9" s="7" t="n"/>
      <c r="H9" s="5" t="inlineStr">
        <is>
          <t>Fotoğrafta görünmüyor; EDR tepsisinde koyu renk sachetler var, içerik okunamıyor güven: low (Drive fotoğrafından)</t>
        </is>
      </c>
    </row>
    <row r="10">
      <c r="A10" s="5" t="inlineStr">
        <is>
          <t>Tiny Houses</t>
        </is>
      </c>
      <c r="B10" s="5" t="inlineStr">
        <is>
          <t>Tümü</t>
        </is>
      </c>
      <c r="C10" s="5" t="n"/>
      <c r="D10" s="5" t="inlineStr">
        <is>
          <t>Minibar (dolap)</t>
        </is>
      </c>
      <c r="E10" s="7" t="n"/>
      <c r="F10" s="5" t="inlineStr">
        <is>
          <t>Buzdolabı içeceği</t>
        </is>
      </c>
      <c r="G10" s="7" t="n"/>
      <c r="H10" s="5" t="inlineStr">
        <is>
          <t>Görünmüyor güven: low (Drive fotoğrafından)</t>
        </is>
      </c>
    </row>
    <row r="11">
      <c r="A11" s="5" t="inlineStr">
        <is>
          <t>Tiny Houses</t>
        </is>
      </c>
      <c r="B11" s="5" t="inlineStr">
        <is>
          <t>Tümü</t>
        </is>
      </c>
      <c r="C11" s="5" t="n"/>
      <c r="D11" s="5" t="inlineStr">
        <is>
          <t>İkram tepsisi</t>
        </is>
      </c>
      <c r="E11" s="7" t="n"/>
      <c r="F11" s="5" t="inlineStr">
        <is>
          <t>İkram tepsisi</t>
        </is>
      </c>
      <c r="G11" s="7" t="n"/>
      <c r="H11" s="5" t="inlineStr">
        <is>
          <t>Tiny House fotoğraflarında tepsi görünmüyor güven: low (Drive fotoğrafından)</t>
        </is>
      </c>
    </row>
    <row r="12">
      <c r="A12" s="5" t="inlineStr">
        <is>
          <t>Tare Village Urla</t>
        </is>
      </c>
      <c r="B12" s="5" t="inlineStr">
        <is>
          <t>VSS</t>
        </is>
      </c>
      <c r="C12" s="5" t="n"/>
      <c r="D12" s="5" t="inlineStr">
        <is>
          <t>İkram tepsisi</t>
        </is>
      </c>
      <c r="E12" s="7" t="n"/>
      <c r="F12" s="5" t="inlineStr">
        <is>
          <t>Tezgahta ahşap tepsi içinde küçük eşyalar (çay kaşığı/şeker vb. olabilir) — net değil</t>
        </is>
      </c>
      <c r="G12" s="7" t="n"/>
      <c r="H12" s="5" t="inlineStr">
        <is>
          <t>güven: low (Drive fotoğrafından)</t>
        </is>
      </c>
    </row>
    <row r="13" ht="39.6" customHeight="1">
      <c r="A13" s="5" t="inlineStr">
        <is>
          <t>Tare Village Urla</t>
        </is>
      </c>
      <c r="B13" s="5" t="inlineStr">
        <is>
          <t>VTS</t>
        </is>
      </c>
      <c r="C13" s="5" t="n"/>
      <c r="D13" s="5" t="inlineStr">
        <is>
          <t>İkram tepsisi</t>
        </is>
      </c>
      <c r="E13" s="7" t="n"/>
      <c r="F13" s="5" t="inlineStr">
        <is>
          <t>Tezgahta ahşap tepsi üzerinde 2 bakır kap (şekerlik/kahve kabı olabilir)</t>
        </is>
      </c>
      <c r="G13" s="7" t="n"/>
      <c r="H13" s="5" t="inlineStr">
        <is>
          <t>güven: low (Drive fotoğrafından)</t>
        </is>
      </c>
    </row>
    <row r="14"/>
    <row r="15" ht="26.4" customHeight="1">
      <c r="A15" s="8" t="inlineStr">
        <is>
          <t>Hiçbir ürün ücretli değildir. Dolaptaki içecekler ve masadaki tepsideki ikramlar oda standardıdır; eksikse HK tamamlar.</t>
        </is>
      </c>
    </row>
    <row r="16" ht="39.6" customHeight="1">
      <c r="A16" s="5" t="inlineStr">
        <is>
          <t>Tare Houses Hotel</t>
        </is>
      </c>
      <c r="B16" s="5" t="inlineStr">
        <is>
          <t>X1</t>
        </is>
      </c>
      <c r="C16" s="5" t="n">
        <v>9</v>
      </c>
      <c r="D16" s="5" t="inlineStr">
        <is>
          <t>İkram tepsisi</t>
        </is>
      </c>
      <c r="E16" s="7" t="inlineStr">
        <is>
          <t>turkish_coffee</t>
        </is>
      </c>
      <c r="F16" s="5" t="inlineStr">
        <is>
          <t>Hazır Türk kahvesi</t>
        </is>
      </c>
      <c r="G16" s="7" t="n">
        <v>2</v>
      </c>
      <c r="H16" s="5" t="n"/>
    </row>
    <row r="17" ht="39.6" customHeight="1">
      <c r="A17" s="5" t="inlineStr">
        <is>
          <t>Tare Houses Hotel</t>
        </is>
      </c>
      <c r="B17" s="5" t="inlineStr">
        <is>
          <t>X1</t>
        </is>
      </c>
      <c r="C17" s="5" t="n">
        <v>9</v>
      </c>
      <c r="D17" s="5" t="inlineStr">
        <is>
          <t>İkram tepsisi</t>
        </is>
      </c>
      <c r="E17" s="7" t="inlineStr">
        <is>
          <t>tea</t>
        </is>
      </c>
      <c r="F17" s="5" t="inlineStr">
        <is>
          <t>Yeşil çay (poşet)</t>
        </is>
      </c>
      <c r="G17" s="7" t="n">
        <v>2</v>
      </c>
      <c r="H17" s="5" t="n"/>
    </row>
    <row r="18">
      <c r="A18" s="5" t="inlineStr">
        <is>
          <t>Tare Houses Hotel</t>
        </is>
      </c>
      <c r="B18" s="5" t="inlineStr">
        <is>
          <t>X1</t>
        </is>
      </c>
      <c r="C18" s="5" t="n">
        <v>9</v>
      </c>
      <c r="D18" s="5" t="inlineStr">
        <is>
          <t>İkram tepsisi</t>
        </is>
      </c>
      <c r="E18" s="7" t="inlineStr">
        <is>
          <t>coffee</t>
        </is>
      </c>
      <c r="F18" s="5" t="inlineStr">
        <is>
          <t>Nescafe Classic (stick)</t>
        </is>
      </c>
      <c r="G18" s="7" t="n">
        <v>2</v>
      </c>
      <c r="H18" s="5" t="n"/>
    </row>
    <row r="19">
      <c r="A19" s="5" t="inlineStr">
        <is>
          <t>Tare Houses Hotel</t>
        </is>
      </c>
      <c r="B19" s="5" t="inlineStr">
        <is>
          <t>X1</t>
        </is>
      </c>
      <c r="C19" s="5" t="n">
        <v>9</v>
      </c>
      <c r="D19" s="5" t="inlineStr">
        <is>
          <t>İkram tepsisi</t>
        </is>
      </c>
      <c r="E19" s="7" t="inlineStr">
        <is>
          <t>creamer</t>
        </is>
      </c>
      <c r="F19" s="5" t="inlineStr">
        <is>
          <t>Kahve kreması (stick)</t>
        </is>
      </c>
      <c r="G19" s="7" t="n">
        <v>2</v>
      </c>
      <c r="H19" s="5" t="n"/>
    </row>
    <row r="20">
      <c r="A20" s="5" t="inlineStr">
        <is>
          <t>Tare Houses Hotel</t>
        </is>
      </c>
      <c r="B20" s="5" t="inlineStr">
        <is>
          <t>X1</t>
        </is>
      </c>
      <c r="C20" s="5" t="n">
        <v>9</v>
      </c>
      <c r="D20" s="5" t="inlineStr">
        <is>
          <t>İkram tepsisi</t>
        </is>
      </c>
      <c r="E20" s="7" t="inlineStr">
        <is>
          <t>sugar</t>
        </is>
      </c>
      <c r="F20" s="5" t="inlineStr">
        <is>
          <t>Toz şeker (stick)</t>
        </is>
      </c>
      <c r="G20" s="7" t="n">
        <v>2</v>
      </c>
      <c r="H20" s="5" t="n"/>
    </row>
    <row r="21">
      <c r="A21" s="5" t="inlineStr">
        <is>
          <t>Tare Houses Hotel</t>
        </is>
      </c>
      <c r="B21" s="5" t="inlineStr">
        <is>
          <t>X2</t>
        </is>
      </c>
      <c r="C21" s="5" t="n">
        <v>19</v>
      </c>
      <c r="D21" s="5" t="inlineStr">
        <is>
          <t>Mini buzdolabı</t>
        </is>
      </c>
      <c r="E21" s="7" t="inlineStr">
        <is>
          <t>water</t>
        </is>
      </c>
      <c r="F21" s="5" t="inlineStr">
        <is>
          <t>Su (şişe)</t>
        </is>
      </c>
      <c r="G21" s="7" t="n">
        <v>4</v>
      </c>
      <c r="H21" s="5" t="inlineStr">
        <is>
          <t>Kapak rafında 1 mavi + 3 küçük şişe görünüyor; standart adedi teyit et</t>
        </is>
      </c>
    </row>
    <row r="22">
      <c r="A22" s="5" t="inlineStr">
        <is>
          <t>Tare Houses Hotel</t>
        </is>
      </c>
      <c r="B22" s="5" t="inlineStr">
        <is>
          <t>X2</t>
        </is>
      </c>
      <c r="C22" s="5" t="n">
        <v>9</v>
      </c>
      <c r="D22" s="5" t="inlineStr">
        <is>
          <t>İkram tepsisi</t>
        </is>
      </c>
      <c r="E22" s="7" t="inlineStr">
        <is>
          <t>turkish_coffee</t>
        </is>
      </c>
      <c r="F22" s="5" t="inlineStr">
        <is>
          <t>Hazır Türk kahvesi</t>
        </is>
      </c>
      <c r="G22" s="7" t="n">
        <v>2</v>
      </c>
      <c r="H22" s="5" t="n"/>
    </row>
    <row r="23">
      <c r="A23" s="5" t="inlineStr">
        <is>
          <t>Tare Houses Hotel</t>
        </is>
      </c>
      <c r="B23" s="5" t="inlineStr">
        <is>
          <t>X2</t>
        </is>
      </c>
      <c r="C23" s="5" t="n">
        <v>9</v>
      </c>
      <c r="D23" s="5" t="inlineStr">
        <is>
          <t>İkram tepsisi</t>
        </is>
      </c>
      <c r="E23" s="7" t="inlineStr">
        <is>
          <t>tea</t>
        </is>
      </c>
      <c r="F23" s="5" t="inlineStr">
        <is>
          <t>Yeşil çay (poşet)</t>
        </is>
      </c>
      <c r="G23" s="7" t="n">
        <v>2</v>
      </c>
      <c r="H23" s="5" t="n"/>
    </row>
    <row r="24">
      <c r="A24" s="5" t="inlineStr">
        <is>
          <t>Tare Houses Hotel</t>
        </is>
      </c>
      <c r="B24" s="5" t="inlineStr">
        <is>
          <t>X2</t>
        </is>
      </c>
      <c r="C24" s="5" t="n">
        <v>9</v>
      </c>
      <c r="D24" s="5" t="inlineStr">
        <is>
          <t>İkram tepsisi</t>
        </is>
      </c>
      <c r="E24" s="7" t="inlineStr">
        <is>
          <t>coffee</t>
        </is>
      </c>
      <c r="F24" s="5" t="inlineStr">
        <is>
          <t>Nescafe Classic (stick)</t>
        </is>
      </c>
      <c r="G24" s="7" t="n">
        <v>2</v>
      </c>
      <c r="H24" s="5" t="n"/>
    </row>
    <row r="25">
      <c r="A25" s="5" t="inlineStr">
        <is>
          <t>Tare Houses Hotel</t>
        </is>
      </c>
      <c r="B25" s="5" t="inlineStr">
        <is>
          <t>X2</t>
        </is>
      </c>
      <c r="C25" s="5" t="n">
        <v>9</v>
      </c>
      <c r="D25" s="5" t="inlineStr">
        <is>
          <t>İkram tepsisi</t>
        </is>
      </c>
      <c r="E25" s="7" t="inlineStr">
        <is>
          <t>creamer</t>
        </is>
      </c>
      <c r="F25" s="5" t="inlineStr">
        <is>
          <t>Kahve kreması (stick)</t>
        </is>
      </c>
      <c r="G25" s="7" t="n">
        <v>2</v>
      </c>
      <c r="H25" s="5" t="n"/>
    </row>
    <row r="26">
      <c r="A26" s="5" t="inlineStr">
        <is>
          <t>Tare Houses Hotel</t>
        </is>
      </c>
      <c r="B26" s="5" t="inlineStr">
        <is>
          <t>X2</t>
        </is>
      </c>
      <c r="C26" s="5" t="n">
        <v>9</v>
      </c>
      <c r="D26" s="5" t="inlineStr">
        <is>
          <t>İkram tepsisi</t>
        </is>
      </c>
      <c r="E26" s="7" t="inlineStr">
        <is>
          <t>sugar</t>
        </is>
      </c>
      <c r="F26" s="5" t="inlineStr">
        <is>
          <t>Toz şeker (stick)</t>
        </is>
      </c>
      <c r="G26" s="7" t="n">
        <v>2</v>
      </c>
      <c r="H26" s="5" t="n"/>
    </row>
    <row r="27">
      <c r="A27" s="5" t="inlineStr">
        <is>
          <t>Tare Houses Hotel</t>
        </is>
      </c>
      <c r="B27" s="5" t="inlineStr">
        <is>
          <t>X3</t>
        </is>
      </c>
      <c r="C27" s="5" t="n">
        <v>13</v>
      </c>
      <c r="D27" s="5" t="inlineStr">
        <is>
          <t>Mini buzdolabı</t>
        </is>
      </c>
      <c r="E27" s="7" t="inlineStr">
        <is>
          <t>water</t>
        </is>
      </c>
      <c r="F27" s="5" t="inlineStr">
        <is>
          <t>Su (şişe)</t>
        </is>
      </c>
      <c r="G27" s="7" t="n">
        <v>3</v>
      </c>
      <c r="H27" s="5" t="inlineStr">
        <is>
          <t>Kapak rafında; marka ve adet teyit edilecek</t>
        </is>
      </c>
    </row>
    <row r="28">
      <c r="A28" s="5" t="inlineStr">
        <is>
          <t>Tare Houses Hotel</t>
        </is>
      </c>
      <c r="B28" s="5" t="inlineStr">
        <is>
          <t>X3</t>
        </is>
      </c>
      <c r="C28" s="5" t="n">
        <v>16</v>
      </c>
      <c r="D28" s="5" t="inlineStr">
        <is>
          <t>İkram tepsisi</t>
        </is>
      </c>
      <c r="E28" s="7" t="inlineStr">
        <is>
          <t>tea</t>
        </is>
      </c>
      <c r="F28" s="5" t="inlineStr">
        <is>
          <t>Çay (poşet)</t>
        </is>
      </c>
      <c r="G28" s="7" t="n"/>
      <c r="H28" s="5" t="inlineStr">
        <is>
          <t>Ücretsiz. Tepside 2 fincan + altlık görünüyor; çeşit ve adet teyit edilecek.</t>
        </is>
      </c>
    </row>
    <row r="29">
      <c r="A29" s="5" t="inlineStr">
        <is>
          <t>Tare Houses Hotel</t>
        </is>
      </c>
      <c r="B29" s="5" t="inlineStr">
        <is>
          <t>X3</t>
        </is>
      </c>
      <c r="C29" s="5" t="n">
        <v>16</v>
      </c>
      <c r="D29" s="5" t="inlineStr">
        <is>
          <t>İkram tepsisi</t>
        </is>
      </c>
      <c r="E29" s="7" t="inlineStr">
        <is>
          <t>coffee</t>
        </is>
      </c>
      <c r="F29" s="5" t="inlineStr">
        <is>
          <t>Kahve (stick/kapsül)</t>
        </is>
      </c>
      <c r="G29" s="7" t="n"/>
      <c r="H29" s="5" t="inlineStr">
        <is>
          <t>Ücretsiz. Tepside 2 fincan + altlık görünüyor; çeşit ve adet teyit edilecek.</t>
        </is>
      </c>
    </row>
    <row r="30">
      <c r="A30" s="5" t="inlineStr">
        <is>
          <t>Tare Houses Hotel</t>
        </is>
      </c>
      <c r="B30" s="5" t="inlineStr">
        <is>
          <t>X3</t>
        </is>
      </c>
      <c r="C30" s="5" t="n">
        <v>16</v>
      </c>
      <c r="D30" s="5" t="inlineStr">
        <is>
          <t>İkram tepsisi</t>
        </is>
      </c>
      <c r="E30" s="7" t="inlineStr">
        <is>
          <t>sugar</t>
        </is>
      </c>
      <c r="F30" s="5" t="inlineStr">
        <is>
          <t>Şeker (stick)</t>
        </is>
      </c>
      <c r="G30" s="7" t="n"/>
      <c r="H30" s="5" t="inlineStr">
        <is>
          <t>Ücretsiz. Tepside 2 fincan + altlık görünüyor; çeşit ve adet teyit edilecek.</t>
        </is>
      </c>
    </row>
  </sheetData>
  <dataValidations count="1">
    <dataValidation sqref="D2:D300" showDropDown="0" showInputMessage="0" showErrorMessage="0" allowBlank="1" type="list">
      <formula1>"Minibar (dolap),İkram tepsisi,Banyo amenity"</formula1>
    </dataValidation>
  </dataValidations>
  <pageMargins left="0.75" right="0.75" top="1" bottom="1" header="0.5" footer="0.5"/>
  <headerFooter>
    <oddHeader/>
    <oddFooter>&amp;C&amp;"Aptos"&amp;6 &amp;K626469_x000d_# General</oddFooter>
    <evenHeader/>
    <evenFooter/>
    <firstHeader/>
    <firstFooter/>
  </headerFooter>
  <extLst>
    <ext xmlns:x14="http://schemas.microsoft.com/office/spreadsheetml/2009/9/main" uri="{CCE6A557-97BC-4b89-ADB6-D9C93CAAB3DF}">
      <x14:dataValidations xmlns:xm="http://schemas.microsoft.com/office/excel/2006/main" count="1">
        <x14:dataValidation type="list" allowBlank="1">
          <x14:formula1>
            <xm:f>'Oda Tipleri'!$A$2:$A$40</xm:f>
          </x14:formula1>
          <xm:sqref>B2:B300</xm:sqref>
        </x14:dataValidation>
      </x14:dataValidations>
    </ext>
  </extLst>
</worksheet>
</file>

<file path=xl/worksheets/sheet11.xml><?xml version="1.0" encoding="utf-8"?>
<worksheet xmlns="http://schemas.openxmlformats.org/spreadsheetml/2006/main">
  <sheetPr>
    <outlinePr summaryBelow="1" summaryRight="1"/>
    <pageSetUpPr/>
  </sheetPr>
  <dimension ref="A1:D21"/>
  <sheetViews>
    <sheetView tabSelected="1" workbookViewId="0">
      <pane ySplit="1" topLeftCell="A2" activePane="bottomLeft" state="frozen"/>
      <selection pane="bottomLeft" activeCell="B2" sqref="B2"/>
    </sheetView>
  </sheetViews>
  <sheetFormatPr baseColWidth="8" defaultRowHeight="14.4"/>
  <cols>
    <col width="18" customWidth="1" min="1" max="1"/>
    <col width="75" customWidth="1" min="2" max="2"/>
    <col width="50" customWidth="1" min="3" max="3"/>
    <col width="9" customWidth="1" min="4" max="4"/>
  </cols>
  <sheetData>
    <row r="1" ht="30" customHeight="1">
      <c r="A1" s="4" t="inlineStr">
        <is>
          <t>Sayfa</t>
        </is>
      </c>
      <c r="B1" s="4" t="inlineStr">
        <is>
          <t>Ne eksik</t>
        </is>
      </c>
      <c r="C1" s="4" t="inlineStr">
        <is>
          <t>Kim / nasıl</t>
        </is>
      </c>
      <c r="D1" s="4" t="inlineStr">
        <is>
          <t>Öncelik</t>
        </is>
      </c>
    </row>
    <row r="2" ht="26.4" customHeight="1">
      <c r="A2" s="6" t="inlineStr">
        <is>
          <t>Oda Tipleri</t>
        </is>
      </c>
      <c r="B2" s="6" t="inlineStr">
        <is>
          <t>X1 = Deluxe Suite, X2 = Deluxe Triple Room, X4 = Exclusive Suite eşlemesi Özellikler.xlsx sütun sırasından yapıldı (X3 = Deluxe Double ile tutarlı). Teyit et.</t>
        </is>
      </c>
      <c r="C2" s="6" t="inlineStr">
        <is>
          <t>Gökçer</t>
        </is>
      </c>
      <c r="D2" s="6" t="inlineStr">
        <is>
          <t>Yüksek</t>
        </is>
      </c>
    </row>
    <row r="3" ht="26.4" customHeight="1">
      <c r="A3" s="6" t="inlineStr">
        <is>
          <t>Oda Tipleri</t>
        </is>
      </c>
      <c r="B3" s="6" t="inlineStr">
        <is>
          <t>Maks. kişi (tüm tipler); min/max temizlik süreleri (X3 dışında); hangi tiplerde max süre takibi açılacak</t>
        </is>
      </c>
      <c r="C3" s="6" t="inlineStr">
        <is>
          <t>Süpervizörlerle belirle</t>
        </is>
      </c>
      <c r="D3" s="6" t="inlineStr">
        <is>
          <t>Orta</t>
        </is>
      </c>
    </row>
    <row r="4" ht="26.4" customHeight="1">
      <c r="A4" s="6" t="inlineStr">
        <is>
          <t>Oda Tipleri / Özellikler</t>
        </is>
      </c>
      <c r="B4" s="6" t="inlineStr">
        <is>
          <t>Village tipleri (VGS, VBS, VSS, VTS) Özellikler.xlsx'te yok: m², yatak, mutfak, banyo, özellikler</t>
        </is>
      </c>
      <c r="C4" s="6" t="inlineStr">
        <is>
          <t>HotelRunner / Airbnb ilanından</t>
        </is>
      </c>
      <c r="D4" s="6" t="inlineStr">
        <is>
          <t>Orta</t>
        </is>
      </c>
    </row>
    <row r="5" ht="39.6" customHeight="1">
      <c r="A5" s="6" t="inlineStr">
        <is>
          <t>Oda Özellikleri</t>
        </is>
      </c>
      <c r="B5" s="6" t="inlineStr">
        <is>
          <t>Fotoğraflarla çelişki: Urla Suites tiplerinde 'Buzdolabı' yok yazıyor ama tüm tiplerde masa altı mini buzdolabı + kettle + ikram tepsisi var; Tiny House'ta 'Ocak' yok yazıyor ama tek gözlü ocak görünüyor</t>
        </is>
      </c>
      <c r="C5" s="6" t="inlineStr">
        <is>
          <t>Gökçer</t>
        </is>
      </c>
      <c r="D5" s="6" t="inlineStr">
        <is>
          <t>Düşük</t>
        </is>
      </c>
    </row>
    <row r="6" ht="39.6" customHeight="1">
      <c r="A6" s="6" t="inlineStr">
        <is>
          <t>Envanter</t>
        </is>
      </c>
      <c r="B6" s="6" t="inlineStr">
        <is>
          <t>Tare Houses X3: Drive fotoğrafında 4 şarap kadehi, 3 kupa ve 3-4 ince belli çay bardağı var; videoda 2 kadeh, 2 kupa, çay bardağı yok. Silikon set fotoğrafta 4 farklı parça (kepçe, servis kaşığı, spatula, delikli kepçe). Odada say</t>
        </is>
      </c>
      <c r="C6" s="6" t="inlineStr">
        <is>
          <t>HK süpervizörü</t>
        </is>
      </c>
      <c r="D6" s="6" t="inlineStr">
        <is>
          <t>Orta</t>
        </is>
      </c>
    </row>
    <row r="7" ht="26.4" customHeight="1">
      <c r="A7" s="6" t="inlineStr">
        <is>
          <t>Envanter</t>
        </is>
      </c>
      <c r="B7" s="6" t="inlineStr">
        <is>
          <t>Tiny House'lar birbirinin aynı değil (bazılarında alt katta çift kişilik yatak var, bahçe sandalyeleri farklı). Tek tip mi kalsın, iki tipe mi bölünsün?</t>
        </is>
      </c>
      <c r="C7" s="6" t="inlineStr">
        <is>
          <t>Gökçer</t>
        </is>
      </c>
      <c r="D7" s="6" t="inlineStr">
        <is>
          <t>Orta</t>
        </is>
      </c>
    </row>
    <row r="8" ht="26.4" customHeight="1">
      <c r="A8" s="6" t="inlineStr">
        <is>
          <t>Envanter</t>
        </is>
      </c>
      <c r="B8" s="6" t="inlineStr">
        <is>
          <t>Drive fotoğrafları tanıtım çekimi (Tare Houses Temmuz 2024): dolap/çekmece içleri, havlular, tencere-tava çoğu yerde görünmüyor; bu satırlar boş veya varsayım</t>
        </is>
      </c>
      <c r="C8" s="6" t="inlineStr">
        <is>
          <t>Bilgi</t>
        </is>
      </c>
      <c r="D8" s="6" t="inlineStr">
        <is>
          <t>—</t>
        </is>
      </c>
    </row>
    <row r="9" ht="26.4" customHeight="1">
      <c r="A9" s="6" t="inlineStr">
        <is>
          <t>Oda Özellikleri</t>
        </is>
      </c>
      <c r="B9" s="6" t="inlineStr">
        <is>
          <t>X3 (Deluxe Double) için 'Oturma Alanı' ve 'Çalışma Masası' yok görünüyor, ama 18.10 videosunda masa + 2 koltuk var. Özellikler.xlsx düzeltilmeli mi?</t>
        </is>
      </c>
      <c r="C9" s="6" t="inlineStr">
        <is>
          <t>Gökçer</t>
        </is>
      </c>
      <c r="D9" s="6" t="inlineStr">
        <is>
          <t>Düşük</t>
        </is>
      </c>
    </row>
    <row r="10" ht="26.4" customHeight="1">
      <c r="A10" s="6" t="inlineStr">
        <is>
          <t>Kontrol Adımları</t>
        </is>
      </c>
      <c r="B10" s="6" t="inlineStr">
        <is>
          <t>X3 dışındaki 17 tip için çekim adımları</t>
        </is>
      </c>
      <c r="C10" s="6" t="inlineStr">
        <is>
          <t>Drive'a gelecek video/fotoğraflardan; X3 şablonu kopyalanıp düzenlenecek</t>
        </is>
      </c>
      <c r="D10" s="6" t="inlineStr">
        <is>
          <t>Yüksek</t>
        </is>
      </c>
    </row>
    <row r="11">
      <c r="A11" s="6" t="inlineStr">
        <is>
          <t>Envanter</t>
        </is>
      </c>
      <c r="B11" s="6" t="inlineStr">
        <is>
          <t>Tüm 'Doğrulandı mı = Hayır' satırları odada elle sayılmalı</t>
        </is>
      </c>
      <c r="C11" s="6" t="inlineStr">
        <is>
          <t>HK süpervizörü</t>
        </is>
      </c>
      <c r="D11" s="6" t="inlineStr">
        <is>
          <t>Yüksek</t>
        </is>
      </c>
    </row>
    <row r="12" ht="26.4" customHeight="1">
      <c r="A12" s="6" t="inlineStr">
        <is>
          <t>Envanter</t>
        </is>
      </c>
      <c r="B12" s="6" t="inlineStr">
        <is>
          <t>Tare Suites Beşiktaş: Drive fotoğrafları 19–30 MB olduğu için indirilemedi (araç sınırı 10 MB). 2000 px civarı küçültülmüş kopyalar yüklenirse envanter çıkarılır</t>
        </is>
      </c>
      <c r="C12" s="6" t="inlineStr">
        <is>
          <t>Gökçer: küçültülmüş kopya yükle</t>
        </is>
      </c>
      <c r="D12" s="6" t="inlineStr">
        <is>
          <t>Orta</t>
        </is>
      </c>
    </row>
    <row r="13">
      <c r="A13" s="6" t="inlineStr">
        <is>
          <t>Envanter</t>
        </is>
      </c>
      <c r="B13" s="6" t="inlineStr">
        <is>
          <t>PH (501) için Drive'da klasör yok</t>
        </is>
      </c>
      <c r="C13" s="6" t="inlineStr">
        <is>
          <t>Foto/video çekilecek</t>
        </is>
      </c>
      <c r="D13" s="6" t="inlineStr">
        <is>
          <t>Orta</t>
        </is>
      </c>
    </row>
    <row r="14" ht="26.4" customHeight="1">
      <c r="A14" s="6" t="inlineStr">
        <is>
          <t>Minibar ve İkram</t>
        </is>
      </c>
      <c r="B14" s="6" t="inlineStr">
        <is>
          <t>X3 dolap içecekleri ve ikram tepsisi: ürün, marka, adet. 18.10 videosu bu oturumda yoktu; videodaki tepsi detayları burada değil</t>
        </is>
      </c>
      <c r="C14" s="6" t="inlineStr">
        <is>
          <t>Video Drive'a yüklenince detaylandırılacak</t>
        </is>
      </c>
      <c r="D14" s="6" t="inlineStr">
        <is>
          <t>Orta</t>
        </is>
      </c>
    </row>
    <row r="15" ht="26.4" customHeight="1">
      <c r="A15" s="6" t="inlineStr">
        <is>
          <t>Kalem Kataloğu</t>
        </is>
      </c>
      <c r="B15" s="6" t="inlineStr">
        <is>
          <t>Foto Durumu = Çekilecek olan kalemler: admin panelinden fotoğraf yüklenecek (veya beyaz zemin önünde tek tek çekilip data/item_photos'a eklenecek)</t>
        </is>
      </c>
      <c r="C15" s="6" t="inlineStr">
        <is>
          <t>HK süpervizörü</t>
        </is>
      </c>
      <c r="D15" s="6" t="inlineStr">
        <is>
          <t>Orta</t>
        </is>
      </c>
    </row>
    <row r="16">
      <c r="A16" s="6" t="inlineStr">
        <is>
          <t>Oteller</t>
        </is>
      </c>
      <c r="B16" s="6" t="inlineStr">
        <is>
          <t>PMS adları HotelRunner'daki adlarla birebir mi (Faz 3 entegrasyonu)</t>
        </is>
      </c>
      <c r="C16" s="6" t="inlineStr">
        <is>
          <t>HotelRunner panelinden kontrol</t>
        </is>
      </c>
      <c r="D16" s="6" t="inlineStr">
        <is>
          <t>Düşük</t>
        </is>
      </c>
    </row>
    <row r="17" ht="92.40000000000001" customHeight="1">
      <c r="A17" s="6" t="inlineStr">
        <is>
          <t>Envanter (gözlem)</t>
        </is>
      </c>
      <c r="B17" s="6" t="inlineStr">
        <is>
          <t>Tare Suites Beşiktaş: Envanter çıkarılamadı: 3 klasördeki 57 fotoğrafın 54'ü 19–30 MB (Drive aracının indirme limiti 10 MB, reddedildi). 9,26 MB olan tek dosya (20250710-tare2208.jpg, 3 klasörde aynı) indirilirken Drive MCP bağlantısı mesaj boyutu nedeniyle koptu. Resize.zip 105 MB, atlandı. Çözüm: fotoğrafların küçültülmüş (&lt;5 MB, ör. 2000 px) kopyalarını Drive'a yüklemek veya sohbete eklemek. Klasörler: 101 ÖZET (BGS) 20 foto, 201-301 ÖZET (BSAB) 17 foto, 202-302 ÖZET (BSA) 20 foto; hepsi 10.07.2025 profesyonel çekim.</t>
        </is>
      </c>
      <c r="C17" s="6" t="inlineStr">
        <is>
          <t>Bilgi</t>
        </is>
      </c>
      <c r="D17" s="6" t="inlineStr">
        <is>
          <t>—</t>
        </is>
      </c>
    </row>
    <row r="18" ht="105.6" customHeight="1">
      <c r="A18" s="6" t="inlineStr">
        <is>
          <t>Envanter (gözlem)</t>
        </is>
      </c>
      <c r="B18" s="6" t="inlineStr">
        <is>
          <t>Tare Suites Urla: Kaynak: Drive "Tare Suites Urla/Meral &lt;oda&gt;" klasörleri (Mayıs 2025 çekimi). Örneklenen odalar: EDR=102,202; DSSW=201; EXSB=203; DS=304; DFS=303. İç Mekan klasörü = lobi/ortak alan fotoğrafları (Lobi.jpeg, image000xx) + 270MB WeTransfer zip; oda envanteri değil, atlandı. Fotoğraflar tanıtım çekimi; mutfak çekmeceleri/dolap içleri hiç çekilmemiş, bu yüzden tabak-çatal-bardak sayısı yok. Özellik dosyası Urla Suites için "Mutfak/Buzdolabı: -" diyor ama tüm tiplerde masa altı mini buzdolabı + kettle + ikram tepsisi var. Banyo standardı tüm tiplerde aynı: köşe duş kabini, asma klozet, lavabo dolabı, krom havlu rafı. Tablolar ve yastık sayıları tipe göre değişiyor.</t>
        </is>
      </c>
      <c r="C18" s="6" t="inlineStr">
        <is>
          <t>Bilgi</t>
        </is>
      </c>
      <c r="D18" s="6" t="inlineStr">
        <is>
          <t>—</t>
        </is>
      </c>
    </row>
    <row r="19" ht="211.2" customHeight="1">
      <c r="A19" s="6" t="inlineStr">
        <is>
          <t>Envanter (gözlem)</t>
        </is>
      </c>
      <c r="B19" s="6" t="inlineStr">
        <is>
          <t>Tare Houses Hotel: {'genel': "Tüm TH odaları aynı malzeme dilini paylaşıyor: ahşap platform yatak, rattan önlü komodin, bukle berjer, siyah banyo armatürleri, traverten lavabo, LED ayna, 3'lü dispenser, Xiaomi kettle, Beko 2 gözlü ocak, siyah asma çöp + bulaşıklık. Mutfak seti (hardal/gri seramik, silikon 4'lü, Kiyomi bıçak seti) tüm tiplerde ortak olabilir.", 'X1': '401 Deluxe Suite: ayrı yatak odası (kemerli geçiş) + oturma alanı. Oturma alanında gri kanepe, cam sehpa, lambader, halı, çalışma masası + berjer, açık raflı mutfak. 2 tablo, muhtemelen 2 TV. Ek kontrol adımı önerisi: "Oturma alanı (kanepe, sehpa, halı)" ve "Çalışma masası".', 'X2': '402 Deluxe Triple: tek hacim, uzun oda. King yatak + gri kanepe (3. kişi), yuvarlak masa + 2 berjer, cam sehpa, lambader, halı, kapı yanında konsol masa. Ek adım önerisi: kanepe açılıyorsa "Kanepe/ek yatak düzeni".', 'X3': "403 Deluxe Double: Excel'deki 17 adımlı akışla uyumlu. 2024 fotoğrafı ile 2026 videosu arasındaki farklar: şarap kadehi 4→2, fincan 3→2, çay bardağı (videoda yok). Bu kalemler elle sayılmalı.", 'X4': '404 Exclusive Suite: köşe oda, geniş pencereler, yuvarlak yatak + kavisli ahşap başlık (üzerinde 2 küre masa lambası), sarkıt avize, yuvarlak hasır halı, yuvarlak masa + 2 berjer. Komodin yok. Ek adım önerisi: "Yatak başlığı tablası ve lambalar", geniş perde/tül alanı için ayrı çekim.'}</t>
        </is>
      </c>
      <c r="C19" s="6" t="inlineStr">
        <is>
          <t>Bilgi</t>
        </is>
      </c>
      <c r="D19" s="6" t="inlineStr">
        <is>
          <t>—</t>
        </is>
      </c>
    </row>
    <row r="20" ht="92.40000000000001" customHeight="1">
      <c r="A20" s="6" t="inlineStr">
        <is>
          <t>Envanter (gözlem)</t>
        </is>
      </c>
      <c r="B20" s="6" t="inlineStr">
        <is>
          <t>Tiny Houses: Kaynak: Drive "Tare Suites Urla/Meral Tiny House 1-2/Jpeg" (Haziran 2025, 14 foto örneklendi). "Tiny House 3-4" klasörü yalnız HEIC/JPEG alt klasörleri içeriyor, örneklenmedi; 1-2 ile aynı tip varsayıldı. Ünite: alt kat oturma (kanepe, sehpa, TV, klima), mini mutfak (tek göz ocak, evye), banyo (sürgülü duş, lavabo dolabı, ışıklı ayna), merdivenli asma kat yatak; bazı ünitelerde alt katta ayrıca çift kişilik yatak var. Dışarıda ahşap deck, bahçe masası/sandalyeler, ortak şemsiyeler. Mutfak dolapları içi çekilmemiş — tabak/çatal sayısı yok.</t>
        </is>
      </c>
      <c r="C20" s="6" t="inlineStr">
        <is>
          <t>Bilgi</t>
        </is>
      </c>
      <c r="D20" s="6" t="inlineStr">
        <is>
          <t>—</t>
        </is>
      </c>
    </row>
    <row r="21" ht="105.6" customHeight="1">
      <c r="A21" s="6" t="inlineStr">
        <is>
          <t>Envanter (gözlem)</t>
        </is>
      </c>
      <c r="B21" s="6" t="inlineStr">
        <is>
          <t>Tare Village Urla: 57 fotoğraftan 33'ü incelendi (6-7 MB'lık birkaç dosya Drive bağlantısından indirilemedi). Fotoğraflar Ağustos 2026 tanıtım çekimi: oda düzeni, mobilya, banyo ve tezgah üstü net; dolap/çekmece içleri, tabak-bardak-çatal sayıları ve minibar içeriği yok. Mutfak malzemesi adetleri odada elle sayılmalı. Tüm odalarda ortak set: taş çanak lavabo, yuvarlak ayna, hasır sepet, jüt paspas, saç kurutma, yeşil kadife kanepe, ahşap orta sehpa, 2 yastık + beyaz waffle pike. VBS ve VTS'de balkon/teras oturma grubu var. VGS (Garden Suite) en büyük birim: köşe koltuk, yemek masası, tam boy buzdolabı. TTLock yok (key-box).</t>
        </is>
      </c>
      <c r="C21" s="6" t="inlineStr">
        <is>
          <t>Bilgi</t>
        </is>
      </c>
      <c r="D21" s="6" t="inlineStr">
        <is>
          <t>—</t>
        </is>
      </c>
    </row>
  </sheetData>
  <pageMargins left="0.75" right="0.75" top="1" bottom="1" header="0.5" footer="0.5"/>
  <headerFooter>
    <oddHeader/>
    <oddFooter>&amp;C&amp;"Aptos"&amp;6 &amp;K626469_x000d_#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2026-10-18T21:42:31Z</dcterms:created>
  <dcterms:modified xmlns:dcterms="http://purl.org/dc/terms/" xmlns:xsi="http://www.w3.org/2001/XMLSchema-instance" xsi:type="dcterms:W3CDTF">2026-10-20T21:57:07Z</dcterms:modified>
  <cp:lastModifiedBy>Gokcer Cakir</cp:lastModifiedBy>
</cp:coreProperties>
</file>