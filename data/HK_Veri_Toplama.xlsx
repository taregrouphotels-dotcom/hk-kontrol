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34" firstSheet="0" activeTab="10" autoFilterDateGrouping="1"/>
  </bookViews>
  <sheets>
    <sheet xmlns:r="http://schemas.openxmlformats.org/officeDocument/2006/relationships" name="Nasıl Doldurulur" sheetId="1" state="visible" r:id="rId1"/>
    <sheet xmlns:r="http://schemas.openxmlformats.org/officeDocument/2006/relationships" name="Oteller" sheetId="2" state="visible" r:id="rId2"/>
    <sheet xmlns:r="http://schemas.openxmlformats.org/officeDocument/2006/relationships" name="Oda Tipleri" sheetId="3" state="visible" r:id="rId3"/>
    <sheet xmlns:r="http://schemas.openxmlformats.org/officeDocument/2006/relationships" name="Oda Özellikleri" sheetId="4" state="visible" r:id="rId4"/>
    <sheet xmlns:r="http://schemas.openxmlformats.org/officeDocument/2006/relationships" name="Odalar" sheetId="5" state="visible" r:id="rId5"/>
    <sheet xmlns:r="http://schemas.openxmlformats.org/officeDocument/2006/relationships" name="Kontrol Adımları" sheetId="6" state="visible" r:id="rId6"/>
    <sheet xmlns:r="http://schemas.openxmlformats.org/officeDocument/2006/relationships" name="Kalem Kataloğu" sheetId="7" state="visible" r:id="rId7"/>
    <sheet xmlns:r="http://schemas.openxmlformats.org/officeDocument/2006/relationships" name="Envanter - Demirbaş" sheetId="8" state="visible" r:id="rId8"/>
    <sheet xmlns:r="http://schemas.openxmlformats.org/officeDocument/2006/relationships" name="Envanter - Mutfak" sheetId="9" state="visible" r:id="rId9"/>
    <sheet xmlns:r="http://schemas.openxmlformats.org/officeDocument/2006/relationships" name="Minibar ve İkram" sheetId="10" state="visible" r:id="rId10"/>
    <sheet xmlns:r="http://schemas.openxmlformats.org/officeDocument/2006/relationships" name="Eksikler" sheetId="11" state="visible" r:id="rId11"/>
  </sheets>
  <definedNames>
    <definedName name="_xlnm._FilterDatabase" localSheetId="6" hidden="1">'Kalem Kataloğu'!$A$1:$I$193</definedName>
    <definedName name="_xlnm._FilterDatabase" localSheetId="7" hidden="1">'Envanter - Demirbaş'!$A$1:$K$493</definedName>
    <definedName name="_xlnm._FilterDatabase" localSheetId="8" hidden="1">'Envanter - Mutfak'!$A$1:$K$135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FF4F5A2E"/>
      </patternFill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7" fillId="0" borderId="0" pivotButton="0" quotePrefix="0" xfId="0"/>
    <xf numFmtId="49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1" sqref="A11"/>
    </sheetView>
  </sheetViews>
  <sheetFormatPr baseColWidth="8" defaultRowHeight="14.4"/>
  <cols>
    <col width="130" customWidth="1" min="1" max="1"/>
  </cols>
  <sheetData>
    <row r="1" ht="17.4" customHeight="1">
      <c r="A1" s="1" t="inlineStr">
        <is>
          <t>HK Kontrol · Veri Toplama Dosyası (v2 · 19.10.2026)</t>
        </is>
      </c>
    </row>
    <row r="2">
      <c r="A2" s="2" t="inlineStr">
        <is>
          <t>Uygulamaya yüklenecek temel verileri toplar. Personel adları burada yok; admin panelinden eklenir.</t>
        </is>
      </c>
    </row>
    <row r="3">
      <c r="A3" s="2" t="n"/>
    </row>
    <row r="4">
      <c r="A4" s="3" t="inlineStr">
        <is>
          <t>Renkler</t>
        </is>
      </c>
    </row>
    <row r="5">
      <c r="A5" s="2" t="inlineStr">
        <is>
          <t>Mavi yazı: girdiğin veri (değiştirebilirsin).  Siyah yazı: formül, dokunma.  Sarı hücre: eksik bilgi, doldurulması gerekiyor.</t>
        </is>
      </c>
    </row>
    <row r="6">
      <c r="A6" s="2" t="n"/>
    </row>
    <row r="7">
      <c r="A7" s="3" t="inlineStr">
        <is>
          <t>Sayfalar</t>
        </is>
      </c>
    </row>
    <row r="8">
      <c r="A8" s="2" t="inlineStr">
        <is>
          <t>1. Oteller: Her tesis bir satır. Bölge İstanbul veya İzmir (süpervizör yetkisi buna göre). Tiny Houses ayrı birim olarak tanımlı.</t>
        </is>
      </c>
    </row>
    <row r="9" ht="26.4" customHeight="1">
      <c r="A9" s="2" t="inlineStr">
        <is>
          <t>2. Oda Tipleri: Her tip bir satır. Kod tüm tesislerde benzersiz. Temizlik süreleri: min (şüpheli kısa) ve max (süre aşımı) dakika; max takibi "Max Süre Aktif = Evet" olan tiplerde çalışır.</t>
        </is>
      </c>
    </row>
    <row r="10">
      <c r="A10" s="2" t="inlineStr">
        <is>
          <t>3. Oda Özellikleri: Özellik × oda tipi tablosu (Özellikler.xlsx dosyasından). Evet / boş.</t>
        </is>
      </c>
    </row>
    <row r="11">
      <c r="A11" s="2" t="inlineStr">
        <is>
          <t>4. Odalar: Her oda bir satır. Oda tipi kodu açılır listeden.</t>
        </is>
      </c>
    </row>
    <row r="12">
      <c r="A12" s="2" t="inlineStr">
        <is>
          <t>5. Kontrol Adımları: Her oda tipi için çekim sırası. Şu an sadece X3 dolu (17 adım); diğer tipler video/foto gelince eklenecek.</t>
        </is>
      </c>
    </row>
    <row r="13" ht="26.4" customHeight="1">
      <c r="A13" s="2" t="inlineStr">
        <is>
          <t>6. Kalem Kataloğu: TESİS BAZINDA tüm demirbaş, mutfak malzemesi, sarf, içecek ve ikram kalemleri. Her kalemin kodu, adı ve fotoğrafı burada. Personel uygulamada kaleme basınca bu fotoğrafı görür.</t>
        </is>
      </c>
    </row>
    <row r="14">
      <c r="A14" s="2" t="inlineStr">
        <is>
          <t>7. Envanter - Demirbaş: Oda tipi + kalem + adet (mobilya, tekstil, cihaz, banyo sarfı). Kalem adı ve türü katalogdan formülle gelir.</t>
        </is>
      </c>
    </row>
    <row r="15">
      <c r="A15" s="2" t="inlineStr">
        <is>
          <t>8. Envanter - Mutfak: Oda tipi + kalem + adet (tabak, bardak, çatal, kaşık, tencere, tava…).</t>
        </is>
      </c>
    </row>
    <row r="16">
      <c r="A16" s="2" t="inlineStr">
        <is>
          <t>9. Minibar ve İkram: Dolaptaki içecekler ve masadaki tepsideki ikramlar. Hiçbiri ücretli değil.</t>
        </is>
      </c>
    </row>
    <row r="17">
      <c r="A17" s="2" t="inlineStr">
        <is>
          <t>10. Eksikler: Kalan işler.</t>
        </is>
      </c>
    </row>
    <row r="18">
      <c r="A18" s="2" t="n"/>
    </row>
    <row r="19">
      <c r="A19" s="3" t="inlineStr">
        <is>
          <t>Kurallar</t>
        </is>
      </c>
    </row>
    <row r="20" ht="26.4" customHeight="1">
      <c r="A20" s="2" t="inlineStr">
        <is>
          <t>Kalem Kodu tesis içinde benzersizdir (ör. Tare Houses Hotel + fork). Aynı kalem bir tesisteki farklı oda tiplerinde aynı kodla kullanılır, böylece fotoğraf bir kez yüklenir.</t>
        </is>
      </c>
    </row>
    <row r="21">
      <c r="A21" s="2" t="inlineStr">
        <is>
          <t>Foto Dosyası kolonu, pakette data/item_photos/ altındaki dosyayı gösterir. Boşsa admin panelinden fotoğraf yüklenecek (Foto Durumu = Çekilecek).</t>
        </is>
      </c>
    </row>
    <row r="22">
      <c r="A22" s="2" t="inlineStr">
        <is>
          <t>Envanterde 'Doğrulandı mı = Hayır' olan adetler fotoğraftan/videodan tahmin edildi; odada elle sayılıp Evet yapılmalı.</t>
        </is>
      </c>
    </row>
    <row r="23" ht="26.4" customHeight="1">
      <c r="A23" s="2" t="inlineStr">
        <is>
          <t>Kaynaklar: X3 = 18.10.2026 videosu. Tare Houses X1/X2/X4 = Drive'daki Temmuz 2024 profesyonel çekim fotoğrafları (eski olabilir). Özellikler = Özellikler.xlsx.</t>
        </is>
      </c>
    </row>
  </sheetData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min="1" max="1"/>
    <col width="10" customWidth="1" min="2" max="2"/>
    <col width="12" customWidth="1" min="3" max="3"/>
    <col width="44" customWidth="1" min="4" max="4"/>
    <col width="9" customWidth="1" min="5" max="5"/>
    <col width="12" customWidth="1" min="6" max="6"/>
    <col width="24" customWidth="1" min="7" max="7"/>
    <col width="16" customWidth="1" min="8" max="8"/>
    <col width="50" customWidth="1" min="9" max="9"/>
  </cols>
  <sheetData>
    <row r="1" ht="30" customHeight="1">
      <c r="A1" s="4" t="inlineStr">
        <is>
          <t>Otel Adı</t>
        </is>
      </c>
      <c r="B1" s="4" t="inlineStr">
        <is>
          <t>Şehir</t>
        </is>
      </c>
      <c r="C1" s="4" t="inlineStr">
        <is>
          <t>Bölge (yetki)</t>
        </is>
      </c>
      <c r="D1" s="4" t="inlineStr">
        <is>
          <t>Semt / Adres</t>
        </is>
      </c>
      <c r="E1" s="4" t="inlineStr">
        <is>
          <t>Kat Sayısı</t>
        </is>
      </c>
      <c r="F1" s="4" t="inlineStr">
        <is>
          <t>Oda Sayısı (otomatik)</t>
        </is>
      </c>
      <c r="G1" s="4" t="inlineStr">
        <is>
          <t>PMS'teki Adı (HotelRunner)</t>
        </is>
      </c>
      <c r="H1" s="4" t="inlineStr">
        <is>
          <t>Kilit</t>
        </is>
      </c>
      <c r="I1" s="4" t="inlineStr">
        <is>
          <t>Not</t>
        </is>
      </c>
    </row>
    <row r="2" ht="26.4" customHeight="1">
      <c r="A2" s="5" t="inlineStr">
        <is>
          <t>Tare Houses Hotel</t>
        </is>
      </c>
      <c r="B2" s="5" t="inlineStr">
        <is>
          <t>İstanbul</t>
        </is>
      </c>
      <c r="C2" s="5" t="inlineStr">
        <is>
          <t>İstanbul</t>
        </is>
      </c>
      <c r="D2" s="5" t="inlineStr">
        <is>
          <t>Beşiktaş · Vişnezade Mah., Şair Nedim Cad., Çatlak Çeşme Sok. No:2</t>
        </is>
      </c>
      <c r="E2" s="5" t="n">
        <v>5</v>
      </c>
      <c r="F2" s="6">
        <f>COUNTIF(Odalar!A:A,A2)</f>
        <v/>
      </c>
      <c r="G2" s="5" t="inlineStr">
        <is>
          <t>Tare Houses Hotel</t>
        </is>
      </c>
      <c r="H2" s="5" t="inlineStr">
        <is>
          <t>TTLock</t>
        </is>
      </c>
      <c r="I2" s="5" t="inlineStr">
        <is>
          <t>Pilot otel.</t>
        </is>
      </c>
    </row>
    <row r="3">
      <c r="A3" s="5" t="inlineStr">
        <is>
          <t>Tare Suites Beşiktaş</t>
        </is>
      </c>
      <c r="B3" s="5" t="inlineStr">
        <is>
          <t>İstanbul</t>
        </is>
      </c>
      <c r="C3" s="5" t="inlineStr">
        <is>
          <t>İstanbul</t>
        </is>
      </c>
      <c r="D3" s="5" t="inlineStr">
        <is>
          <t>Beşiktaş · Sinanpaşa Mah., Aşık Garip Sok. No:6</t>
        </is>
      </c>
      <c r="E3" s="5" t="n">
        <v>3</v>
      </c>
      <c r="F3" s="6">
        <f>COUNTIF(Odalar!A:A,A3)</f>
        <v/>
      </c>
      <c r="G3" s="5" t="inlineStr">
        <is>
          <t>Tare Suites Beşiktaş</t>
        </is>
      </c>
      <c r="H3" s="5" t="inlineStr">
        <is>
          <t>TTLock</t>
        </is>
      </c>
      <c r="I3" s="5" t="n"/>
    </row>
    <row r="4">
      <c r="A4" s="5" t="inlineStr">
        <is>
          <t>Tare Suites Urla</t>
        </is>
      </c>
      <c r="B4" s="5" t="inlineStr">
        <is>
          <t>İzmir</t>
        </is>
      </c>
      <c r="C4" s="5" t="inlineStr">
        <is>
          <t>İzmir</t>
        </is>
      </c>
      <c r="D4" s="5" t="inlineStr">
        <is>
          <t>Urla</t>
        </is>
      </c>
      <c r="E4" s="5" t="n">
        <v>3</v>
      </c>
      <c r="F4" s="6">
        <f>COUNTIF(Odalar!A:A,A4)</f>
        <v/>
      </c>
      <c r="G4" s="5" t="inlineStr">
        <is>
          <t>Tare Suites Urla</t>
        </is>
      </c>
      <c r="H4" s="5" t="inlineStr">
        <is>
          <t>TTLock</t>
        </is>
      </c>
      <c r="I4" s="5" t="inlineStr">
        <is>
          <t>B&amp;B (kahvaltılı) satış sadece burada.</t>
        </is>
      </c>
    </row>
    <row r="5">
      <c r="A5" s="5" t="inlineStr">
        <is>
          <t>Tare Village Urla</t>
        </is>
      </c>
      <c r="B5" s="5" t="inlineStr">
        <is>
          <t>İzmir</t>
        </is>
      </c>
      <c r="C5" s="5" t="inlineStr">
        <is>
          <t>İzmir</t>
        </is>
      </c>
      <c r="D5" s="5" t="inlineStr">
        <is>
          <t>Urla</t>
        </is>
      </c>
      <c r="E5" s="5" t="n">
        <v>3</v>
      </c>
      <c r="F5" s="6">
        <f>COUNTIF(Odalar!A:A,A5)</f>
        <v/>
      </c>
      <c r="G5" s="5" t="inlineStr">
        <is>
          <t>Tare Village Urla</t>
        </is>
      </c>
      <c r="H5" s="5" t="inlineStr">
        <is>
          <t>Key-box</t>
        </is>
      </c>
      <c r="I5" s="5" t="inlineStr">
        <is>
          <t>PMS'te ayrı otel.</t>
        </is>
      </c>
    </row>
    <row r="6" ht="26.4" customHeight="1">
      <c r="A6" s="5" t="inlineStr">
        <is>
          <t>Tiny Houses</t>
        </is>
      </c>
      <c r="B6" s="5" t="inlineStr">
        <is>
          <t>İzmir</t>
        </is>
      </c>
      <c r="C6" s="5" t="inlineStr">
        <is>
          <t>İzmir</t>
        </is>
      </c>
      <c r="D6" s="5" t="inlineStr">
        <is>
          <t>Urla</t>
        </is>
      </c>
      <c r="E6" s="5" t="n">
        <v>1</v>
      </c>
      <c r="F6" s="6">
        <f>COUNTIF(Odalar!A:A,A6)</f>
        <v/>
      </c>
      <c r="G6" s="5" t="inlineStr">
        <is>
          <t>Tare Suites Urla</t>
        </is>
      </c>
      <c r="H6" s="5" t="inlineStr">
        <is>
          <t>Key-box</t>
        </is>
      </c>
      <c r="I6" s="5" t="inlineStr">
        <is>
          <t>Ayrı birim olarak takip edilir. PMS'te Tare Suites Urla altında; uygulamada kendi oteli gibi.</t>
        </is>
      </c>
    </row>
  </sheetData>
  <dataValidations count="1">
    <dataValidation sqref="C2:C30" showDropDown="0" showInputMessage="0" showErrorMessage="0" allowBlank="1" type="list">
      <formula1>"İstanbul,İzmir"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topLeftCell="D1" workbookViewId="0">
      <pane ySplit="1" topLeftCell="A2" activePane="bottomLeft" state="frozen"/>
      <selection pane="bottomLeft" activeCell="Q9" sqref="Q9"/>
    </sheetView>
  </sheetViews>
  <sheetFormatPr baseColWidth="8" defaultRowHeight="14.4"/>
  <cols>
    <col width="10" customWidth="1" min="1" max="1"/>
    <col width="26" customWidth="1" min="2" max="2"/>
    <col width="20" customWidth="1" min="3" max="3"/>
    <col width="10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6" customWidth="1" min="10" max="10"/>
    <col width="10" customWidth="1" min="11" max="11"/>
    <col width="11" customWidth="1" min="12" max="12"/>
    <col width="10" customWidth="1" min="13" max="13"/>
    <col width="11" customWidth="1" min="14" max="14"/>
    <col width="9" customWidth="1" min="15" max="15"/>
    <col width="10" customWidth="1" min="16" max="16"/>
    <col width="60" customWidth="1" min="17" max="17"/>
  </cols>
  <sheetData>
    <row r="1" ht="30" customHeight="1">
      <c r="A1" s="4" t="inlineStr">
        <is>
          <t>Oda Tipi Kodu</t>
        </is>
      </c>
      <c r="B1" s="4" t="inlineStr">
        <is>
          <t>Oda Tipi Adı</t>
        </is>
      </c>
      <c r="C1" s="4" t="inlineStr">
        <is>
          <t>Otel</t>
        </is>
      </c>
      <c r="D1" s="4" t="inlineStr">
        <is>
          <t>PMS Kodu</t>
        </is>
      </c>
      <c r="E1" s="4" t="inlineStr">
        <is>
          <t>Yaklaşık m²</t>
        </is>
      </c>
      <c r="F1" s="4" t="inlineStr">
        <is>
          <t>Yatak Tipi</t>
        </is>
      </c>
      <c r="G1" s="4" t="inlineStr">
        <is>
          <t>Maks. Kişi</t>
        </is>
      </c>
      <c r="H1" s="4" t="inlineStr">
        <is>
          <t>Mutfak Var mı</t>
        </is>
      </c>
      <c r="I1" s="4" t="inlineStr">
        <is>
          <t>Banyo (Duş/Küvet)</t>
        </is>
      </c>
      <c r="J1" s="4" t="inlineStr">
        <is>
          <t>Dış Alan</t>
        </is>
      </c>
      <c r="K1" s="4" t="inlineStr">
        <is>
          <t>Min. Süre Çıkış (dk)</t>
        </is>
      </c>
      <c r="L1" s="4" t="inlineStr">
        <is>
          <t>Min. Süre Konaklama (dk)</t>
        </is>
      </c>
      <c r="M1" s="4" t="inlineStr">
        <is>
          <t>Max. Süre Çıkış (dk)</t>
        </is>
      </c>
      <c r="N1" s="4" t="inlineStr">
        <is>
          <t>Max. Süre Konaklama (dk)</t>
        </is>
      </c>
      <c r="O1" s="4" t="inlineStr">
        <is>
          <t>Max Süre Aktif</t>
        </is>
      </c>
      <c r="P1" s="4" t="inlineStr">
        <is>
          <t>Oda Sayısı (otomatik)</t>
        </is>
      </c>
      <c r="Q1" s="4" t="inlineStr">
        <is>
          <t>Not</t>
        </is>
      </c>
    </row>
    <row r="2" ht="26.4" customHeight="1">
      <c r="A2" s="5" t="inlineStr">
        <is>
          <t>X1</t>
        </is>
      </c>
      <c r="B2" s="5" t="inlineStr">
        <is>
          <t>Deluxe Suite</t>
        </is>
      </c>
      <c r="C2" s="5" t="inlineStr">
        <is>
          <t>Tare Houses Hotel</t>
        </is>
      </c>
      <c r="D2" s="5" t="inlineStr">
        <is>
          <t>X1</t>
        </is>
      </c>
      <c r="E2" s="5" t="n">
        <v>35</v>
      </c>
      <c r="F2" s="5" t="inlineStr">
        <is>
          <t>King size</t>
        </is>
      </c>
      <c r="G2" s="7" t="n">
        <v>2</v>
      </c>
      <c r="H2" s="5" t="inlineStr">
        <is>
          <t>Evet</t>
        </is>
      </c>
      <c r="I2" s="5" t="inlineStr">
        <is>
          <t>Duş</t>
        </is>
      </c>
      <c r="J2" s="5" t="inlineStr">
        <is>
          <t>Yok</t>
        </is>
      </c>
      <c r="K2" s="7" t="n"/>
      <c r="L2" s="7" t="n"/>
      <c r="M2" s="7" t="n"/>
      <c r="N2" s="7" t="n"/>
      <c r="O2" s="5" t="inlineStr">
        <is>
          <t>Hayır</t>
        </is>
      </c>
      <c r="P2" s="6">
        <f>COUNTIF(Odalar!D:D,A2)</f>
        <v/>
      </c>
      <c r="Q2" s="5" t="inlineStr">
        <is>
          <t>Odalar 101-201-301-401. İsim/m² Özellikler.xlsx sütun sırasından eşlendi (X1→Deluxe Suite); teyit et.</t>
        </is>
      </c>
    </row>
    <row r="3" ht="26.4" customHeight="1">
      <c r="A3" s="5" t="inlineStr">
        <is>
          <t>X2</t>
        </is>
      </c>
      <c r="B3" s="5" t="inlineStr">
        <is>
          <t>Deluxe Triple Room</t>
        </is>
      </c>
      <c r="C3" s="5" t="inlineStr">
        <is>
          <t>Tare Houses Hotel</t>
        </is>
      </c>
      <c r="D3" s="5" t="inlineStr">
        <is>
          <t>X2</t>
        </is>
      </c>
      <c r="E3" s="5" t="n">
        <v>32</v>
      </c>
      <c r="F3" s="5" t="inlineStr">
        <is>
          <t>King size</t>
        </is>
      </c>
      <c r="G3" s="7" t="n">
        <v>2</v>
      </c>
      <c r="H3" s="5" t="inlineStr">
        <is>
          <t>Evet</t>
        </is>
      </c>
      <c r="I3" s="5" t="inlineStr">
        <is>
          <t>Duş</t>
        </is>
      </c>
      <c r="J3" s="5" t="inlineStr">
        <is>
          <t>Yok</t>
        </is>
      </c>
      <c r="K3" s="7" t="n"/>
      <c r="L3" s="7" t="n"/>
      <c r="M3" s="7" t="n"/>
      <c r="N3" s="7" t="n"/>
      <c r="O3" s="5" t="inlineStr">
        <is>
          <t>Hayır</t>
        </is>
      </c>
      <c r="P3" s="6">
        <f>COUNTIF(Odalar!D:D,A3)</f>
        <v/>
      </c>
      <c r="Q3" s="5" t="inlineStr">
        <is>
          <t>Odalar 102-202-302-402. Özellikler.xlsx sırasıyla Deluxe Triple Room; teyit et.</t>
        </is>
      </c>
    </row>
    <row r="4" ht="26.4" customHeight="1">
      <c r="A4" s="5" t="inlineStr">
        <is>
          <t>X3</t>
        </is>
      </c>
      <c r="B4" s="5" t="inlineStr">
        <is>
          <t>Deluxe Double Room</t>
        </is>
      </c>
      <c r="C4" s="5" t="inlineStr">
        <is>
          <t>Tare Houses Hotel</t>
        </is>
      </c>
      <c r="D4" s="5" t="inlineStr">
        <is>
          <t>X3</t>
        </is>
      </c>
      <c r="E4" s="5" t="n">
        <v>28</v>
      </c>
      <c r="F4" s="5" t="inlineStr">
        <is>
          <t>King size</t>
        </is>
      </c>
      <c r="G4" s="7" t="n">
        <v>2</v>
      </c>
      <c r="H4" s="5" t="inlineStr">
        <is>
          <t>Evet</t>
        </is>
      </c>
      <c r="I4" s="5" t="inlineStr">
        <is>
          <t>Duş</t>
        </is>
      </c>
      <c r="J4" s="5" t="inlineStr">
        <is>
          <t>Yok</t>
        </is>
      </c>
      <c r="K4" s="5" t="n">
        <v>25</v>
      </c>
      <c r="L4" s="5" t="n">
        <v>10</v>
      </c>
      <c r="M4" s="7" t="n"/>
      <c r="N4" s="7" t="n"/>
      <c r="O4" s="5" t="inlineStr">
        <is>
          <t>Hayır</t>
        </is>
      </c>
      <c r="P4" s="6">
        <f>COUNTIF(Odalar!D:D,A4)</f>
        <v/>
      </c>
      <c r="Q4" s="5" t="inlineStr">
        <is>
          <t>Odalar 103-203-303-403. Mini buzdolabı, 2 göz ocak, evye. Kontrol adımları ve envanter dolu (18.10.2026 videosu).</t>
        </is>
      </c>
    </row>
    <row r="5" ht="26.4" customHeight="1">
      <c r="A5" s="5" t="inlineStr">
        <is>
          <t>X4</t>
        </is>
      </c>
      <c r="B5" s="5" t="inlineStr">
        <is>
          <t>Exclusive Suite</t>
        </is>
      </c>
      <c r="C5" s="5" t="inlineStr">
        <is>
          <t>Tare Houses Hotel</t>
        </is>
      </c>
      <c r="D5" s="5" t="inlineStr">
        <is>
          <t>X4</t>
        </is>
      </c>
      <c r="E5" s="5" t="n">
        <v>37</v>
      </c>
      <c r="F5" s="5" t="inlineStr">
        <is>
          <t>King size</t>
        </is>
      </c>
      <c r="G5" s="7" t="n">
        <v>2</v>
      </c>
      <c r="H5" s="5" t="inlineStr">
        <is>
          <t>Evet</t>
        </is>
      </c>
      <c r="I5" s="5" t="inlineStr">
        <is>
          <t>Duş</t>
        </is>
      </c>
      <c r="J5" s="5" t="inlineStr">
        <is>
          <t>Yok</t>
        </is>
      </c>
      <c r="K5" s="7" t="n"/>
      <c r="L5" s="7" t="n"/>
      <c r="M5" s="7" t="n"/>
      <c r="N5" s="7" t="n"/>
      <c r="O5" s="5" t="inlineStr">
        <is>
          <t>Hayır</t>
        </is>
      </c>
      <c r="P5" s="6">
        <f>COUNTIF(Odalar!D:D,A5)</f>
        <v/>
      </c>
      <c r="Q5" s="5" t="inlineStr">
        <is>
          <t>Odalar 104-204-304-404. Özellikler.xlsx sırasıyla Exclusive Suite; teyit et.</t>
        </is>
      </c>
    </row>
    <row r="6" ht="26.4" customHeight="1">
      <c r="A6" s="5" t="inlineStr">
        <is>
          <t>PH</t>
        </is>
      </c>
      <c r="B6" s="5" t="inlineStr">
        <is>
          <t>PentHouse Suite</t>
        </is>
      </c>
      <c r="C6" s="5" t="inlineStr">
        <is>
          <t>Tare Houses Hotel</t>
        </is>
      </c>
      <c r="D6" s="5" t="inlineStr">
        <is>
          <t>PH</t>
        </is>
      </c>
      <c r="E6" s="5" t="n">
        <v>140</v>
      </c>
      <c r="F6" s="5" t="inlineStr">
        <is>
          <t>King size</t>
        </is>
      </c>
      <c r="G6" s="7" t="n">
        <v>2</v>
      </c>
      <c r="H6" s="5" t="inlineStr">
        <is>
          <t>Evet</t>
        </is>
      </c>
      <c r="I6" s="5" t="inlineStr">
        <is>
          <t>Duş+Küvet</t>
        </is>
      </c>
      <c r="J6" s="5" t="inlineStr">
        <is>
          <t>Teras</t>
        </is>
      </c>
      <c r="K6" s="7" t="n"/>
      <c r="L6" s="7" t="n"/>
      <c r="M6" s="7" t="n"/>
      <c r="N6" s="7" t="n"/>
      <c r="O6" s="5" t="inlineStr">
        <is>
          <t>Hayır</t>
        </is>
      </c>
      <c r="P6" s="6">
        <f>COUNTIF(Odalar!D:D,A6)</f>
        <v/>
      </c>
      <c r="Q6" s="5" t="inlineStr">
        <is>
          <t>Oda 501. Teras + barbekü, küvet, bornoz, fırın, mikrodalga, kahve makinesi, bulaşık makinesi.</t>
        </is>
      </c>
    </row>
    <row r="7" ht="26.4" customHeight="1">
      <c r="A7" s="5" t="inlineStr">
        <is>
          <t>BGS</t>
        </is>
      </c>
      <c r="B7" s="5" t="inlineStr">
        <is>
          <t>Garden Suite</t>
        </is>
      </c>
      <c r="C7" s="5" t="inlineStr">
        <is>
          <t>Tare Suites Beşiktaş</t>
        </is>
      </c>
      <c r="D7" s="5" t="inlineStr">
        <is>
          <t>GS</t>
        </is>
      </c>
      <c r="E7" s="5" t="n">
        <v>50</v>
      </c>
      <c r="F7" s="5" t="inlineStr">
        <is>
          <t>King size + Sofa yatak</t>
        </is>
      </c>
      <c r="G7" s="7" t="n">
        <v>4</v>
      </c>
      <c r="H7" s="5" t="inlineStr">
        <is>
          <t>Evet</t>
        </is>
      </c>
      <c r="I7" s="5" t="inlineStr">
        <is>
          <t>Duş</t>
        </is>
      </c>
      <c r="J7" s="5" t="inlineStr">
        <is>
          <t>Balkon, Bahçe</t>
        </is>
      </c>
      <c r="K7" s="7" t="n"/>
      <c r="L7" s="7" t="n"/>
      <c r="M7" s="7" t="n"/>
      <c r="N7" s="7" t="n"/>
      <c r="O7" s="5" t="inlineStr">
        <is>
          <t>Hayır</t>
        </is>
      </c>
      <c r="P7" s="6">
        <f>COUNTIF(Odalar!D:D,A7)</f>
        <v/>
      </c>
      <c r="Q7" s="5" t="inlineStr">
        <is>
          <t>Oda 101. Bahçe + balkon, sofa yatak, kanepe.</t>
        </is>
      </c>
    </row>
    <row r="8" ht="26.4" customHeight="1">
      <c r="A8" s="5" t="inlineStr">
        <is>
          <t>BSAB</t>
        </is>
      </c>
      <c r="B8" s="5" t="inlineStr">
        <is>
          <t>Studio Apartment with Balcony</t>
        </is>
      </c>
      <c r="C8" s="5" t="inlineStr">
        <is>
          <t>Tare Suites Beşiktaş</t>
        </is>
      </c>
      <c r="D8" s="5" t="inlineStr">
        <is>
          <t>SAB</t>
        </is>
      </c>
      <c r="E8" s="5" t="n">
        <v>28</v>
      </c>
      <c r="F8" s="5" t="inlineStr">
        <is>
          <t>King size</t>
        </is>
      </c>
      <c r="G8" s="7" t="n">
        <v>2</v>
      </c>
      <c r="H8" s="5" t="inlineStr">
        <is>
          <t>Evet</t>
        </is>
      </c>
      <c r="I8" s="5" t="inlineStr">
        <is>
          <t>Duş</t>
        </is>
      </c>
      <c r="J8" s="5" t="inlineStr">
        <is>
          <t>Balkon</t>
        </is>
      </c>
      <c r="K8" s="7" t="n"/>
      <c r="L8" s="7" t="n"/>
      <c r="M8" s="7" t="n"/>
      <c r="N8" s="7" t="n"/>
      <c r="O8" s="5" t="inlineStr">
        <is>
          <t>Hayır</t>
        </is>
      </c>
      <c r="P8" s="6">
        <f>COUNTIF(Odalar!D:D,A8)</f>
        <v/>
      </c>
      <c r="Q8" s="5" t="inlineStr">
        <is>
          <t>Odalar 201, 301. Balkon.</t>
        </is>
      </c>
    </row>
    <row r="9">
      <c r="A9" s="5" t="inlineStr">
        <is>
          <t>BSA</t>
        </is>
      </c>
      <c r="B9" s="5" t="inlineStr">
        <is>
          <t>Studio Apartment</t>
        </is>
      </c>
      <c r="C9" s="5" t="inlineStr">
        <is>
          <t>Tare Suites Beşiktaş</t>
        </is>
      </c>
      <c r="D9" s="5" t="inlineStr">
        <is>
          <t>SA</t>
        </is>
      </c>
      <c r="E9" s="5" t="n">
        <v>25</v>
      </c>
      <c r="F9" s="5" t="inlineStr">
        <is>
          <t>King size</t>
        </is>
      </c>
      <c r="G9" s="7" t="n">
        <v>2</v>
      </c>
      <c r="H9" s="5" t="inlineStr">
        <is>
          <t>Evet</t>
        </is>
      </c>
      <c r="I9" s="5" t="inlineStr">
        <is>
          <t>Duş</t>
        </is>
      </c>
      <c r="J9" s="5" t="inlineStr">
        <is>
          <t>Yok</t>
        </is>
      </c>
      <c r="K9" s="7" t="n"/>
      <c r="L9" s="7" t="n"/>
      <c r="M9" s="7" t="n"/>
      <c r="N9" s="7" t="n"/>
      <c r="O9" s="5" t="inlineStr">
        <is>
          <t>Hayır</t>
        </is>
      </c>
      <c r="P9" s="6">
        <f>COUNTIF(Odalar!D:D,A9)</f>
        <v/>
      </c>
      <c r="Q9" s="5" t="inlineStr">
        <is>
          <t>Odalar 202, 302. Mikrodalga ve çamaşır makinesi var.</t>
        </is>
      </c>
    </row>
    <row r="10">
      <c r="A10" s="5" t="inlineStr">
        <is>
          <t>EDR</t>
        </is>
      </c>
      <c r="B10" s="5" t="inlineStr">
        <is>
          <t>Economy Double Room</t>
        </is>
      </c>
      <c r="C10" s="5" t="inlineStr">
        <is>
          <t>Tare Suites Urla</t>
        </is>
      </c>
      <c r="D10" s="5" t="inlineStr">
        <is>
          <t>EDR</t>
        </is>
      </c>
      <c r="E10" s="5" t="n">
        <v>14</v>
      </c>
      <c r="F10" s="5" t="inlineStr">
        <is>
          <t>Çift kişilik</t>
        </is>
      </c>
      <c r="G10" s="7" t="n">
        <v>2</v>
      </c>
      <c r="H10" s="5" t="inlineStr">
        <is>
          <t>Hayır</t>
        </is>
      </c>
      <c r="I10" s="5" t="inlineStr">
        <is>
          <t>Duş</t>
        </is>
      </c>
      <c r="J10" s="5" t="inlineStr">
        <is>
          <t>Yok</t>
        </is>
      </c>
      <c r="K10" s="7" t="n"/>
      <c r="L10" s="7" t="n"/>
      <c r="M10" s="7" t="n"/>
      <c r="N10" s="7" t="n"/>
      <c r="O10" s="5" t="inlineStr">
        <is>
          <t>Hayır</t>
        </is>
      </c>
      <c r="P10" s="6">
        <f>COUNTIF(Odalar!D:D,A10)</f>
        <v/>
      </c>
      <c r="Q10" s="5" t="inlineStr">
        <is>
          <t>Odalar 101, 102, 202. Mutfak yok, kasa var.</t>
        </is>
      </c>
    </row>
    <row r="11">
      <c r="A11" s="5" t="inlineStr">
        <is>
          <t>DSSW</t>
        </is>
      </c>
      <c r="B11" s="5" t="inlineStr">
        <is>
          <t>Deluxe Suite Sea View</t>
        </is>
      </c>
      <c r="C11" s="5" t="inlineStr">
        <is>
          <t>Tare Suites Urla</t>
        </is>
      </c>
      <c r="D11" s="5" t="inlineStr">
        <is>
          <t>DSSW</t>
        </is>
      </c>
      <c r="E11" s="5" t="n">
        <v>25</v>
      </c>
      <c r="F11" s="5" t="inlineStr">
        <is>
          <t>Çift kişilik</t>
        </is>
      </c>
      <c r="G11" s="7" t="n">
        <v>2</v>
      </c>
      <c r="H11" s="5" t="inlineStr">
        <is>
          <t>Hayır</t>
        </is>
      </c>
      <c r="I11" s="5" t="inlineStr">
        <is>
          <t>Duş</t>
        </is>
      </c>
      <c r="J11" s="5" t="inlineStr">
        <is>
          <t>Yok</t>
        </is>
      </c>
      <c r="K11" s="7" t="n"/>
      <c r="L11" s="7" t="n"/>
      <c r="M11" s="7" t="n"/>
      <c r="N11" s="7" t="n"/>
      <c r="O11" s="5" t="inlineStr">
        <is>
          <t>Hayır</t>
        </is>
      </c>
      <c r="P11" s="6">
        <f>COUNTIF(Odalar!D:D,A11)</f>
        <v/>
      </c>
      <c r="Q11" s="5" t="inlineStr">
        <is>
          <t>Odalar 201, 301. Deniz manzarası, mutfak yok, kasa var.</t>
        </is>
      </c>
    </row>
    <row r="12">
      <c r="A12" s="5" t="inlineStr">
        <is>
          <t>EXSB</t>
        </is>
      </c>
      <c r="B12" s="5" t="inlineStr">
        <is>
          <t>Exclusive Suite with Balcony</t>
        </is>
      </c>
      <c r="C12" s="5" t="inlineStr">
        <is>
          <t>Tare Suites Urla</t>
        </is>
      </c>
      <c r="D12" s="5" t="inlineStr">
        <is>
          <t>EXSB</t>
        </is>
      </c>
      <c r="E12" s="5" t="n">
        <v>24</v>
      </c>
      <c r="F12" s="5" t="inlineStr">
        <is>
          <t>Çift kişilik</t>
        </is>
      </c>
      <c r="G12" s="7" t="n">
        <v>2</v>
      </c>
      <c r="H12" s="5" t="inlineStr">
        <is>
          <t>Hayır</t>
        </is>
      </c>
      <c r="I12" s="5" t="inlineStr">
        <is>
          <t>Duş</t>
        </is>
      </c>
      <c r="J12" s="5" t="inlineStr">
        <is>
          <t>Balkon</t>
        </is>
      </c>
      <c r="K12" s="7" t="n"/>
      <c r="L12" s="7" t="n"/>
      <c r="M12" s="7" t="n"/>
      <c r="N12" s="7" t="n"/>
      <c r="O12" s="5" t="inlineStr">
        <is>
          <t>Hayır</t>
        </is>
      </c>
      <c r="P12" s="6">
        <f>COUNTIF(Odalar!D:D,A12)</f>
        <v/>
      </c>
      <c r="Q12" s="5" t="inlineStr">
        <is>
          <t>Odalar 203, 302. Balkon + deniz manzarası, mutfak yok, kasa var.</t>
        </is>
      </c>
    </row>
    <row r="13">
      <c r="A13" s="5" t="inlineStr">
        <is>
          <t>DS</t>
        </is>
      </c>
      <c r="B13" s="5" t="inlineStr">
        <is>
          <t>Deluxe Suite</t>
        </is>
      </c>
      <c r="C13" s="5" t="inlineStr">
        <is>
          <t>Tare Suites Urla</t>
        </is>
      </c>
      <c r="D13" s="5" t="inlineStr">
        <is>
          <t>DS</t>
        </is>
      </c>
      <c r="E13" s="5" t="n">
        <v>20</v>
      </c>
      <c r="F13" s="5" t="inlineStr">
        <is>
          <t>Çift kişilik</t>
        </is>
      </c>
      <c r="G13" s="7" t="n">
        <v>2</v>
      </c>
      <c r="H13" s="5" t="inlineStr">
        <is>
          <t>Hayır</t>
        </is>
      </c>
      <c r="I13" s="5" t="inlineStr">
        <is>
          <t>Duş</t>
        </is>
      </c>
      <c r="J13" s="5" t="inlineStr">
        <is>
          <t>Yok</t>
        </is>
      </c>
      <c r="K13" s="7" t="n"/>
      <c r="L13" s="7" t="n"/>
      <c r="M13" s="7" t="n"/>
      <c r="N13" s="7" t="n"/>
      <c r="O13" s="5" t="inlineStr">
        <is>
          <t>Hayır</t>
        </is>
      </c>
      <c r="P13" s="6">
        <f>COUNTIF(Odalar!D:D,A13)</f>
        <v/>
      </c>
      <c r="Q13" s="5" t="inlineStr">
        <is>
          <t>Odalar 204, 304. Mutfak yok, kasa var.</t>
        </is>
      </c>
    </row>
    <row r="14">
      <c r="A14" s="5" t="inlineStr">
        <is>
          <t>DFS</t>
        </is>
      </c>
      <c r="B14" s="5" t="inlineStr">
        <is>
          <t>Duplex Family Suite</t>
        </is>
      </c>
      <c r="C14" s="5" t="inlineStr">
        <is>
          <t>Tare Suites Urla</t>
        </is>
      </c>
      <c r="D14" s="5" t="inlineStr">
        <is>
          <t>DFS</t>
        </is>
      </c>
      <c r="E14" s="5" t="n">
        <v>25</v>
      </c>
      <c r="F14" s="5" t="inlineStr">
        <is>
          <t>Çift kişilik</t>
        </is>
      </c>
      <c r="G14" s="7" t="n">
        <v>4</v>
      </c>
      <c r="H14" s="5" t="inlineStr">
        <is>
          <t>Hayır</t>
        </is>
      </c>
      <c r="I14" s="5" t="inlineStr">
        <is>
          <t>Duş</t>
        </is>
      </c>
      <c r="J14" s="5" t="inlineStr">
        <is>
          <t>Yok</t>
        </is>
      </c>
      <c r="K14" s="7" t="n"/>
      <c r="L14" s="7" t="n"/>
      <c r="M14" s="7" t="n"/>
      <c r="N14" s="7" t="n"/>
      <c r="O14" s="5" t="inlineStr">
        <is>
          <t>Hayır</t>
        </is>
      </c>
      <c r="P14" s="6">
        <f>COUNTIF(Odalar!D:D,A14)</f>
        <v/>
      </c>
      <c r="Q14" s="5" t="inlineStr">
        <is>
          <t>Oda 303. Dubleks, mutfak yok, kasa var.</t>
        </is>
      </c>
    </row>
    <row r="15" ht="26.4" customHeight="1">
      <c r="A15" s="5" t="inlineStr">
        <is>
          <t>VGS</t>
        </is>
      </c>
      <c r="B15" s="5" t="inlineStr">
        <is>
          <t>Garden Suite</t>
        </is>
      </c>
      <c r="C15" s="5" t="inlineStr">
        <is>
          <t>Tare Village Urla</t>
        </is>
      </c>
      <c r="D15" s="5" t="inlineStr">
        <is>
          <t>GS</t>
        </is>
      </c>
      <c r="E15" s="7" t="n">
        <v>100</v>
      </c>
      <c r="F15" s="5" t="inlineStr">
        <is>
          <t>King size + Sofa yatak</t>
        </is>
      </c>
      <c r="G15" s="7" t="n">
        <v>4</v>
      </c>
      <c r="H15" s="5" t="inlineStr">
        <is>
          <t>Evet</t>
        </is>
      </c>
      <c r="I15" s="5" t="inlineStr">
        <is>
          <t>Duş</t>
        </is>
      </c>
      <c r="J15" s="5" t="inlineStr">
        <is>
          <t>Yok</t>
        </is>
      </c>
      <c r="K15" s="7" t="n"/>
      <c r="L15" s="7" t="n"/>
      <c r="M15" s="7" t="n"/>
      <c r="N15" s="7" t="n"/>
      <c r="O15" s="5" t="inlineStr">
        <is>
          <t>Hayır</t>
        </is>
      </c>
      <c r="P15" s="6">
        <f>COUNTIF(Odalar!D:D,A15)</f>
        <v/>
      </c>
      <c r="Q15" s="5" t="inlineStr">
        <is>
          <t>Oda 101 (eski V1). Özellikler.xlsx'te Village tipleri yok.</t>
        </is>
      </c>
    </row>
    <row r="16" ht="26.4" customHeight="1">
      <c r="A16" s="5" t="inlineStr">
        <is>
          <t>VBS</t>
        </is>
      </c>
      <c r="B16" s="5" t="inlineStr">
        <is>
          <t>Balcony Suite</t>
        </is>
      </c>
      <c r="C16" s="5" t="inlineStr">
        <is>
          <t>Tare Village Urla</t>
        </is>
      </c>
      <c r="D16" s="5" t="inlineStr">
        <is>
          <t>BS</t>
        </is>
      </c>
      <c r="E16" s="7" t="n">
        <v>40</v>
      </c>
      <c r="F16" s="5" t="inlineStr">
        <is>
          <t>King size + Sofa yatak</t>
        </is>
      </c>
      <c r="G16" s="7" t="n">
        <v>4</v>
      </c>
      <c r="H16" s="5" t="inlineStr">
        <is>
          <t>Evet</t>
        </is>
      </c>
      <c r="I16" s="5" t="inlineStr">
        <is>
          <t>Duş</t>
        </is>
      </c>
      <c r="J16" s="5" t="inlineStr">
        <is>
          <t>Balkon</t>
        </is>
      </c>
      <c r="K16" s="7" t="n"/>
      <c r="L16" s="7" t="n"/>
      <c r="M16" s="7" t="n"/>
      <c r="N16" s="7" t="n"/>
      <c r="O16" s="5" t="inlineStr">
        <is>
          <t>Hayır</t>
        </is>
      </c>
      <c r="P16" s="6">
        <f>COUNTIF(Odalar!D:D,A16)</f>
        <v/>
      </c>
      <c r="Q16" s="5" t="inlineStr">
        <is>
          <t>Oda 201 (eski V2). Özellikler.xlsx'te Village tipleri yok.</t>
        </is>
      </c>
    </row>
    <row r="17">
      <c r="A17" s="5" t="inlineStr">
        <is>
          <t>VSS</t>
        </is>
      </c>
      <c r="B17" s="5" t="inlineStr">
        <is>
          <t>Studio Suite</t>
        </is>
      </c>
      <c r="C17" s="5" t="inlineStr">
        <is>
          <t>Tare Village Urla</t>
        </is>
      </c>
      <c r="D17" s="5" t="inlineStr">
        <is>
          <t>SS</t>
        </is>
      </c>
      <c r="E17" s="7" t="n">
        <v>35</v>
      </c>
      <c r="F17" s="5" t="inlineStr">
        <is>
          <t>Çift kişilik</t>
        </is>
      </c>
      <c r="G17" s="7" t="n">
        <v>2</v>
      </c>
      <c r="H17" s="5" t="inlineStr">
        <is>
          <t>Evet</t>
        </is>
      </c>
      <c r="I17" s="5" t="inlineStr">
        <is>
          <t>Duş</t>
        </is>
      </c>
      <c r="J17" s="5" t="inlineStr">
        <is>
          <t>Yok</t>
        </is>
      </c>
      <c r="K17" s="7" t="n"/>
      <c r="L17" s="7" t="n"/>
      <c r="M17" s="7" t="n"/>
      <c r="N17" s="7" t="n"/>
      <c r="O17" s="5" t="inlineStr">
        <is>
          <t>Hayır</t>
        </is>
      </c>
      <c r="P17" s="6">
        <f>COUNTIF(Odalar!D:D,A17)</f>
        <v/>
      </c>
      <c r="Q17" s="5" t="inlineStr">
        <is>
          <t>Oda 202 (eski V3). Özellikler.xlsx'te Village tipleri yok.</t>
        </is>
      </c>
    </row>
    <row r="18" ht="26.4" customHeight="1">
      <c r="A18" s="5" t="inlineStr">
        <is>
          <t>VTS</t>
        </is>
      </c>
      <c r="B18" s="5" t="inlineStr">
        <is>
          <t>Terrace Suite</t>
        </is>
      </c>
      <c r="C18" s="5" t="inlineStr">
        <is>
          <t>Tare Village Urla</t>
        </is>
      </c>
      <c r="D18" s="5" t="inlineStr">
        <is>
          <t>TS</t>
        </is>
      </c>
      <c r="E18" s="7" t="n">
        <v>80</v>
      </c>
      <c r="F18" s="5" t="inlineStr">
        <is>
          <t>King size + Sofa yatak</t>
        </is>
      </c>
      <c r="G18" s="7" t="n">
        <v>4</v>
      </c>
      <c r="H18" s="5" t="inlineStr">
        <is>
          <t>Evet</t>
        </is>
      </c>
      <c r="I18" s="5" t="inlineStr">
        <is>
          <t>Duş</t>
        </is>
      </c>
      <c r="J18" s="5" t="inlineStr">
        <is>
          <t>Teras</t>
        </is>
      </c>
      <c r="K18" s="7" t="n"/>
      <c r="L18" s="7" t="n"/>
      <c r="M18" s="7" t="n"/>
      <c r="N18" s="7" t="n"/>
      <c r="O18" s="5" t="inlineStr">
        <is>
          <t>Hayır</t>
        </is>
      </c>
      <c r="P18" s="6">
        <f>COUNTIF(Odalar!D:D,A18)</f>
        <v/>
      </c>
      <c r="Q18" s="5" t="inlineStr">
        <is>
          <t>Oda 301 (eski V4). Özellikler.xlsx'te Village tipleri yok.</t>
        </is>
      </c>
    </row>
    <row r="19" ht="26.4" customHeight="1">
      <c r="A19" s="5" t="inlineStr">
        <is>
          <t>TNY</t>
        </is>
      </c>
      <c r="B19" s="5" t="inlineStr">
        <is>
          <t>Tiny House</t>
        </is>
      </c>
      <c r="C19" s="5" t="inlineStr">
        <is>
          <t>Tiny Houses</t>
        </is>
      </c>
      <c r="D19" s="5" t="inlineStr">
        <is>
          <t>Tiny House</t>
        </is>
      </c>
      <c r="E19" s="5" t="n">
        <v>25</v>
      </c>
      <c r="F19" s="5" t="inlineStr">
        <is>
          <t>Çift kişilik</t>
        </is>
      </c>
      <c r="G19" s="7" t="n">
        <v>4</v>
      </c>
      <c r="H19" s="5" t="inlineStr">
        <is>
          <t>Evet</t>
        </is>
      </c>
      <c r="I19" s="5" t="inlineStr">
        <is>
          <t>Duş</t>
        </is>
      </c>
      <c r="J19" s="5" t="inlineStr">
        <is>
          <t>Balkon, Teras, Bahçe</t>
        </is>
      </c>
      <c r="K19" s="7" t="n"/>
      <c r="L19" s="7" t="n"/>
      <c r="M19" s="7" t="n"/>
      <c r="N19" s="7" t="n"/>
      <c r="O19" s="5" t="inlineStr">
        <is>
          <t>Hayır</t>
        </is>
      </c>
      <c r="P19" s="6">
        <f>COUNTIF(Odalar!D:D,A19)</f>
        <v/>
      </c>
      <c r="Q19" s="5" t="inlineStr">
        <is>
          <t>T1–T4, tek tip. PMS'te Tare Suites Urla altında; burada ayrı birim. Ocak yok, buzdolabı + kettle var. Engelli erişimi, evcil hayvan dostu, barbekü.</t>
        </is>
      </c>
    </row>
    <row r="20"/>
    <row r="21">
      <c r="A21" s="8" t="inlineStr">
        <is>
          <t>Max Süre Aktif = Evet ise, temizlik bu süreyi aşınca canlı panoda kırmızıya döner ve raporda "süre aşımı" olarak işaretlenir. Hayır ise sadece min. süre (şüpheli kısa) kontrolü çalışır.</t>
        </is>
      </c>
    </row>
  </sheetData>
  <dataValidations count="2">
    <dataValidation sqref="H2:H40 O2:O40" showDropDown="0" showInputMessage="0" showErrorMessage="0" allowBlank="1" type="list">
      <formula1>"Evet,Hayır"</formula1>
    </dataValidation>
    <dataValidation sqref="I2:I40" showDropDown="0" showInputMessage="0" showErrorMessage="0" allowBlank="1" type="list">
      <formula1>"Duş,Küvet,Duş+Küvet"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Oteller!$A$2:$A$30</xm:f>
          </x14:formula1>
          <xm:sqref>C2:C40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8" activePane="bottomLeft" state="frozen"/>
      <selection pane="bottomLeft" activeCell="F12" sqref="F12"/>
    </sheetView>
  </sheetViews>
  <sheetFormatPr baseColWidth="8" defaultRowHeight="14.4"/>
  <cols>
    <col width="16" customWidth="1" min="1" max="1"/>
    <col width="26" customWidth="1" min="2" max="2"/>
    <col width="7" customWidth="1" min="3" max="20"/>
  </cols>
  <sheetData>
    <row r="1" ht="30" customHeight="1">
      <c r="A1" s="4" t="inlineStr">
        <is>
          <t>Kategori</t>
        </is>
      </c>
      <c r="B1" s="4" t="inlineStr">
        <is>
          <t>Özellik</t>
        </is>
      </c>
      <c r="C1" s="4" t="inlineStr">
        <is>
          <t>X1</t>
        </is>
      </c>
      <c r="D1" s="4" t="inlineStr">
        <is>
          <t>X2</t>
        </is>
      </c>
      <c r="E1" s="4" t="inlineStr">
        <is>
          <t>X3</t>
        </is>
      </c>
      <c r="F1" s="4" t="inlineStr">
        <is>
          <t>X4</t>
        </is>
      </c>
      <c r="G1" s="4" t="inlineStr">
        <is>
          <t>PH</t>
        </is>
      </c>
      <c r="H1" s="4" t="inlineStr">
        <is>
          <t>BGS</t>
        </is>
      </c>
      <c r="I1" s="4" t="inlineStr">
        <is>
          <t>BSAB</t>
        </is>
      </c>
      <c r="J1" s="4" t="inlineStr">
        <is>
          <t>BSA</t>
        </is>
      </c>
      <c r="K1" s="4" t="inlineStr">
        <is>
          <t>EDR</t>
        </is>
      </c>
      <c r="L1" s="4" t="inlineStr">
        <is>
          <t>DSSW</t>
        </is>
      </c>
      <c r="M1" s="4" t="inlineStr">
        <is>
          <t>EXSB</t>
        </is>
      </c>
      <c r="N1" s="4" t="inlineStr">
        <is>
          <t>DS</t>
        </is>
      </c>
      <c r="O1" s="4" t="inlineStr">
        <is>
          <t>DFS</t>
        </is>
      </c>
      <c r="P1" s="4" t="inlineStr">
        <is>
          <t>VGS</t>
        </is>
      </c>
      <c r="Q1" s="4" t="inlineStr">
        <is>
          <t>VBS</t>
        </is>
      </c>
      <c r="R1" s="4" t="inlineStr">
        <is>
          <t>VSS</t>
        </is>
      </c>
      <c r="S1" s="4" t="inlineStr">
        <is>
          <t>VTS</t>
        </is>
      </c>
      <c r="T1" s="4" t="inlineStr">
        <is>
          <t>TNY</t>
        </is>
      </c>
    </row>
    <row r="2">
      <c r="A2" s="5" t="inlineStr">
        <is>
          <t>Genel</t>
        </is>
      </c>
      <c r="B2" s="5" t="inlineStr">
        <is>
          <t>Balkon</t>
        </is>
      </c>
      <c r="C2" s="5" t="n"/>
      <c r="D2" s="5" t="n"/>
      <c r="E2" s="5" t="n"/>
      <c r="F2" s="5" t="n"/>
      <c r="G2" s="5" t="n"/>
      <c r="H2" s="5" t="inlineStr">
        <is>
          <t>Evet</t>
        </is>
      </c>
      <c r="I2" s="5" t="inlineStr">
        <is>
          <t>Evet</t>
        </is>
      </c>
      <c r="J2" s="5" t="n"/>
      <c r="K2" s="5" t="n"/>
      <c r="L2" s="5" t="n"/>
      <c r="M2" s="5" t="inlineStr">
        <is>
          <t>Evet</t>
        </is>
      </c>
      <c r="N2" s="5" t="n"/>
      <c r="O2" s="5" t="n"/>
      <c r="P2" s="7" t="n"/>
      <c r="Q2" s="7" t="n"/>
      <c r="R2" s="7" t="n"/>
      <c r="S2" s="7" t="n"/>
      <c r="T2" s="5" t="inlineStr">
        <is>
          <t>Evet</t>
        </is>
      </c>
    </row>
    <row r="3">
      <c r="A3" s="5" t="inlineStr">
        <is>
          <t>Genel</t>
        </is>
      </c>
      <c r="B3" s="5" t="inlineStr">
        <is>
          <t>Teras</t>
        </is>
      </c>
      <c r="C3" s="5" t="n"/>
      <c r="D3" s="5" t="n"/>
      <c r="E3" s="5" t="n"/>
      <c r="F3" s="5" t="n"/>
      <c r="G3" s="5" t="inlineStr">
        <is>
          <t>Evet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7" t="n"/>
      <c r="Q3" s="7" t="n"/>
      <c r="R3" s="7" t="n"/>
      <c r="S3" s="7" t="n"/>
      <c r="T3" s="5" t="inlineStr">
        <is>
          <t>Evet</t>
        </is>
      </c>
    </row>
    <row r="4">
      <c r="A4" s="5" t="inlineStr">
        <is>
          <t>Genel</t>
        </is>
      </c>
      <c r="B4" s="5" t="inlineStr">
        <is>
          <t>Bahçe</t>
        </is>
      </c>
      <c r="C4" s="5" t="n"/>
      <c r="D4" s="5" t="n"/>
      <c r="E4" s="5" t="n"/>
      <c r="F4" s="5" t="n"/>
      <c r="G4" s="5" t="n"/>
      <c r="H4" s="5" t="inlineStr">
        <is>
          <t>Evet</t>
        </is>
      </c>
      <c r="I4" s="5" t="n"/>
      <c r="J4" s="5" t="n"/>
      <c r="K4" s="5" t="n"/>
      <c r="L4" s="5" t="n"/>
      <c r="M4" s="5" t="n"/>
      <c r="N4" s="5" t="n"/>
      <c r="O4" s="5" t="n"/>
      <c r="P4" s="7" t="n"/>
      <c r="Q4" s="7" t="n"/>
      <c r="R4" s="7" t="n"/>
      <c r="S4" s="7" t="n"/>
      <c r="T4" s="5" t="inlineStr">
        <is>
          <t>Evet</t>
        </is>
      </c>
    </row>
    <row r="5">
      <c r="A5" s="5" t="inlineStr">
        <is>
          <t>Genel</t>
        </is>
      </c>
      <c r="B5" s="5" t="inlineStr">
        <is>
          <t>Oturma Alanı</t>
        </is>
      </c>
      <c r="C5" s="5" t="inlineStr">
        <is>
          <t>Evet</t>
        </is>
      </c>
      <c r="D5" s="5" t="inlineStr">
        <is>
          <t>Evet</t>
        </is>
      </c>
      <c r="E5" s="5" t="n"/>
      <c r="F5" s="5" t="inlineStr">
        <is>
          <t>Evet</t>
        </is>
      </c>
      <c r="G5" s="5" t="inlineStr">
        <is>
          <t>Evet</t>
        </is>
      </c>
      <c r="H5" s="5" t="inlineStr">
        <is>
          <t>Evet</t>
        </is>
      </c>
      <c r="I5" s="5" t="inlineStr">
        <is>
          <t>Evet</t>
        </is>
      </c>
      <c r="J5" s="5" t="inlineStr">
        <is>
          <t>Evet</t>
        </is>
      </c>
      <c r="K5" s="5" t="n"/>
      <c r="L5" s="5" t="inlineStr">
        <is>
          <t>Evet</t>
        </is>
      </c>
      <c r="M5" s="5" t="inlineStr">
        <is>
          <t>Evet</t>
        </is>
      </c>
      <c r="N5" s="5" t="inlineStr">
        <is>
          <t>Evet</t>
        </is>
      </c>
      <c r="O5" s="5" t="inlineStr">
        <is>
          <t>Evet</t>
        </is>
      </c>
      <c r="P5" s="7" t="n"/>
      <c r="Q5" s="7" t="n"/>
      <c r="R5" s="7" t="n"/>
      <c r="S5" s="7" t="n"/>
      <c r="T5" s="5" t="inlineStr">
        <is>
          <t>Evet</t>
        </is>
      </c>
    </row>
    <row r="6">
      <c r="A6" s="5" t="inlineStr">
        <is>
          <t>Genel</t>
        </is>
      </c>
      <c r="B6" s="5" t="inlineStr">
        <is>
          <t>Çalışma Masası</t>
        </is>
      </c>
      <c r="C6" s="5" t="inlineStr">
        <is>
          <t>Evet</t>
        </is>
      </c>
      <c r="D6" s="5" t="inlineStr">
        <is>
          <t>Evet</t>
        </is>
      </c>
      <c r="E6" s="5" t="n"/>
      <c r="F6" s="5" t="inlineStr">
        <is>
          <t>Evet</t>
        </is>
      </c>
      <c r="G6" s="5" t="inlineStr">
        <is>
          <t>Evet</t>
        </is>
      </c>
      <c r="H6" s="5" t="inlineStr">
        <is>
          <t>Evet</t>
        </is>
      </c>
      <c r="I6" s="5" t="inlineStr">
        <is>
          <t>Evet</t>
        </is>
      </c>
      <c r="J6" s="5" t="inlineStr">
        <is>
          <t>Evet</t>
        </is>
      </c>
      <c r="K6" s="5" t="n"/>
      <c r="L6" s="5" t="inlineStr">
        <is>
          <t>Evet</t>
        </is>
      </c>
      <c r="M6" s="5" t="inlineStr">
        <is>
          <t>Evet</t>
        </is>
      </c>
      <c r="N6" s="5" t="inlineStr">
        <is>
          <t>Evet</t>
        </is>
      </c>
      <c r="O6" s="5" t="inlineStr">
        <is>
          <t>Evet</t>
        </is>
      </c>
      <c r="P6" s="7" t="n"/>
      <c r="Q6" s="7" t="n"/>
      <c r="R6" s="7" t="n"/>
      <c r="S6" s="7" t="n"/>
      <c r="T6" s="5" t="inlineStr">
        <is>
          <t>Evet</t>
        </is>
      </c>
    </row>
    <row r="7">
      <c r="A7" s="5" t="inlineStr">
        <is>
          <t>Genel</t>
        </is>
      </c>
      <c r="B7" s="5" t="inlineStr">
        <is>
          <t>Gardırop</t>
        </is>
      </c>
      <c r="C7" s="5" t="inlineStr">
        <is>
          <t>Evet</t>
        </is>
      </c>
      <c r="D7" s="5" t="inlineStr">
        <is>
          <t>Evet</t>
        </is>
      </c>
      <c r="E7" s="5" t="inlineStr">
        <is>
          <t>Evet</t>
        </is>
      </c>
      <c r="F7" s="5" t="inlineStr">
        <is>
          <t>Evet</t>
        </is>
      </c>
      <c r="G7" s="5" t="inlineStr">
        <is>
          <t>Evet</t>
        </is>
      </c>
      <c r="H7" s="5" t="inlineStr">
        <is>
          <t>Evet</t>
        </is>
      </c>
      <c r="I7" s="5" t="inlineStr">
        <is>
          <t>Evet</t>
        </is>
      </c>
      <c r="J7" s="5" t="inlineStr">
        <is>
          <t>Evet</t>
        </is>
      </c>
      <c r="K7" s="5" t="inlineStr">
        <is>
          <t>Evet</t>
        </is>
      </c>
      <c r="L7" s="5" t="inlineStr">
        <is>
          <t>Evet</t>
        </is>
      </c>
      <c r="M7" s="5" t="inlineStr">
        <is>
          <t>Evet</t>
        </is>
      </c>
      <c r="N7" s="5" t="inlineStr">
        <is>
          <t>Evet</t>
        </is>
      </c>
      <c r="O7" s="5" t="inlineStr">
        <is>
          <t>Evet</t>
        </is>
      </c>
      <c r="P7" s="7" t="n"/>
      <c r="Q7" s="7" t="n"/>
      <c r="R7" s="7" t="n"/>
      <c r="S7" s="7" t="n"/>
      <c r="T7" s="5" t="inlineStr">
        <is>
          <t>Evet</t>
        </is>
      </c>
    </row>
    <row r="8">
      <c r="A8" s="5" t="inlineStr">
        <is>
          <t>Genel</t>
        </is>
      </c>
      <c r="B8" s="5" t="inlineStr">
        <is>
          <t>Kanepe</t>
        </is>
      </c>
      <c r="C8" s="5" t="inlineStr">
        <is>
          <t>Evet</t>
        </is>
      </c>
      <c r="D8" s="5" t="inlineStr">
        <is>
          <t>Evet</t>
        </is>
      </c>
      <c r="E8" s="5" t="n"/>
      <c r="F8" s="5" t="n"/>
      <c r="G8" s="5" t="n"/>
      <c r="H8" s="5" t="inlineStr">
        <is>
          <t>Evet</t>
        </is>
      </c>
      <c r="I8" s="5" t="n"/>
      <c r="J8" s="5" t="n"/>
      <c r="K8" s="5" t="n"/>
      <c r="L8" s="5" t="n"/>
      <c r="M8" s="5" t="n"/>
      <c r="N8" s="5" t="n"/>
      <c r="O8" s="5" t="n"/>
      <c r="P8" s="7" t="n"/>
      <c r="Q8" s="7" t="n"/>
      <c r="R8" s="7" t="n"/>
      <c r="S8" s="7" t="n"/>
      <c r="T8" s="5" t="n"/>
    </row>
    <row r="9">
      <c r="A9" s="5" t="inlineStr">
        <is>
          <t>Genel</t>
        </is>
      </c>
      <c r="B9" s="5" t="inlineStr">
        <is>
          <t>Klima</t>
        </is>
      </c>
      <c r="C9" s="5" t="inlineStr">
        <is>
          <t>Evet</t>
        </is>
      </c>
      <c r="D9" s="5" t="inlineStr">
        <is>
          <t>Evet</t>
        </is>
      </c>
      <c r="E9" s="5" t="inlineStr">
        <is>
          <t>Evet</t>
        </is>
      </c>
      <c r="F9" s="5" t="inlineStr">
        <is>
          <t>Evet</t>
        </is>
      </c>
      <c r="G9" s="5" t="inlineStr">
        <is>
          <t>Evet</t>
        </is>
      </c>
      <c r="H9" s="5" t="inlineStr">
        <is>
          <t>Evet</t>
        </is>
      </c>
      <c r="I9" s="5" t="inlineStr">
        <is>
          <t>Evet</t>
        </is>
      </c>
      <c r="J9" s="5" t="inlineStr">
        <is>
          <t>Evet</t>
        </is>
      </c>
      <c r="K9" s="5" t="inlineStr">
        <is>
          <t>Evet</t>
        </is>
      </c>
      <c r="L9" s="5" t="inlineStr">
        <is>
          <t>Evet</t>
        </is>
      </c>
      <c r="M9" s="5" t="inlineStr">
        <is>
          <t>Evet</t>
        </is>
      </c>
      <c r="N9" s="5" t="inlineStr">
        <is>
          <t>Evet</t>
        </is>
      </c>
      <c r="O9" s="5" t="inlineStr">
        <is>
          <t>Evet</t>
        </is>
      </c>
      <c r="P9" s="7" t="n"/>
      <c r="Q9" s="7" t="n"/>
      <c r="R9" s="7" t="n"/>
      <c r="S9" s="7" t="n"/>
      <c r="T9" s="5" t="inlineStr">
        <is>
          <t>Evet</t>
        </is>
      </c>
    </row>
    <row r="10">
      <c r="A10" s="5" t="inlineStr">
        <is>
          <t>Genel</t>
        </is>
      </c>
      <c r="B10" s="5" t="inlineStr">
        <is>
          <t>Ses Yalıtımı</t>
        </is>
      </c>
      <c r="C10" s="5" t="inlineStr">
        <is>
          <t>Evet</t>
        </is>
      </c>
      <c r="D10" s="5" t="inlineStr">
        <is>
          <t>Evet</t>
        </is>
      </c>
      <c r="E10" s="5" t="inlineStr">
        <is>
          <t>Evet</t>
        </is>
      </c>
      <c r="F10" s="5" t="inlineStr">
        <is>
          <t>Evet</t>
        </is>
      </c>
      <c r="G10" s="5" t="inlineStr">
        <is>
          <t>Evet</t>
        </is>
      </c>
      <c r="H10" s="5" t="inlineStr">
        <is>
          <t>Evet</t>
        </is>
      </c>
      <c r="I10" s="5" t="inlineStr">
        <is>
          <t>Evet</t>
        </is>
      </c>
      <c r="J10" s="5" t="inlineStr">
        <is>
          <t>Evet</t>
        </is>
      </c>
      <c r="K10" s="5" t="inlineStr">
        <is>
          <t>Evet</t>
        </is>
      </c>
      <c r="L10" s="5" t="inlineStr">
        <is>
          <t>Evet</t>
        </is>
      </c>
      <c r="M10" s="5" t="inlineStr">
        <is>
          <t>Evet</t>
        </is>
      </c>
      <c r="N10" s="5" t="inlineStr">
        <is>
          <t>Evet</t>
        </is>
      </c>
      <c r="O10" s="5" t="inlineStr">
        <is>
          <t>Evet</t>
        </is>
      </c>
      <c r="P10" s="7" t="n"/>
      <c r="Q10" s="7" t="n"/>
      <c r="R10" s="7" t="n"/>
      <c r="S10" s="7" t="n"/>
      <c r="T10" s="5" t="inlineStr">
        <is>
          <t>Evet</t>
        </is>
      </c>
    </row>
    <row r="11">
      <c r="A11" s="5" t="inlineStr">
        <is>
          <t>Genel</t>
        </is>
      </c>
      <c r="B11" s="5" t="inlineStr">
        <is>
          <t>Barbekü</t>
        </is>
      </c>
      <c r="C11" s="5" t="n"/>
      <c r="D11" s="5" t="n"/>
      <c r="E11" s="5" t="n"/>
      <c r="F11" s="5" t="n"/>
      <c r="G11" s="5" t="inlineStr">
        <is>
          <t>Evet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7" t="n"/>
      <c r="Q11" s="7" t="n"/>
      <c r="R11" s="7" t="n"/>
      <c r="S11" s="7" t="n"/>
      <c r="T11" s="5" t="inlineStr">
        <is>
          <t>Evet</t>
        </is>
      </c>
    </row>
    <row r="12">
      <c r="A12" s="5" t="inlineStr">
        <is>
          <t>Genel</t>
        </is>
      </c>
      <c r="B12" s="5" t="inlineStr">
        <is>
          <t>Engelli Erişimi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7" t="n"/>
      <c r="Q12" s="7" t="n"/>
      <c r="R12" s="7" t="n"/>
      <c r="S12" s="7" t="n"/>
      <c r="T12" s="5" t="inlineStr">
        <is>
          <t>Evet</t>
        </is>
      </c>
    </row>
    <row r="13">
      <c r="A13" s="5" t="inlineStr">
        <is>
          <t>Genel</t>
        </is>
      </c>
      <c r="B13" s="5" t="inlineStr">
        <is>
          <t>Sigara İçilebilir(Balkon)</t>
        </is>
      </c>
      <c r="C13" s="5" t="n"/>
      <c r="D13" s="5" t="n"/>
      <c r="E13" s="5" t="n"/>
      <c r="F13" s="5" t="n"/>
      <c r="G13" s="5" t="n"/>
      <c r="H13" s="5" t="inlineStr">
        <is>
          <t>Evet</t>
        </is>
      </c>
      <c r="I13" s="5" t="inlineStr">
        <is>
          <t>Evet</t>
        </is>
      </c>
      <c r="J13" s="5" t="n"/>
      <c r="K13" s="5" t="n"/>
      <c r="L13" s="5" t="n"/>
      <c r="M13" s="5" t="inlineStr">
        <is>
          <t>Evet</t>
        </is>
      </c>
      <c r="N13" s="5" t="n"/>
      <c r="O13" s="5" t="n"/>
      <c r="P13" s="7" t="n"/>
      <c r="Q13" s="7" t="n"/>
      <c r="R13" s="7" t="n"/>
      <c r="S13" s="7" t="n"/>
      <c r="T13" s="5" t="inlineStr">
        <is>
          <t>Evet</t>
        </is>
      </c>
    </row>
    <row r="14">
      <c r="A14" s="5" t="inlineStr">
        <is>
          <t>Genel</t>
        </is>
      </c>
      <c r="B14" s="5" t="inlineStr">
        <is>
          <t>Deniz Manzarası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inlineStr">
        <is>
          <t>Evet</t>
        </is>
      </c>
      <c r="M14" s="5" t="inlineStr">
        <is>
          <t>Evet</t>
        </is>
      </c>
      <c r="N14" s="5" t="n"/>
      <c r="O14" s="5" t="n"/>
      <c r="P14" s="7" t="n"/>
      <c r="Q14" s="7" t="n"/>
      <c r="R14" s="7" t="n"/>
      <c r="S14" s="7" t="n"/>
      <c r="T14" s="5" t="n"/>
    </row>
    <row r="15">
      <c r="A15" s="5" t="inlineStr">
        <is>
          <t>Genel</t>
        </is>
      </c>
      <c r="B15" s="5" t="inlineStr">
        <is>
          <t>Doğa Manzarası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inlineStr">
        <is>
          <t>Evet</t>
        </is>
      </c>
      <c r="O15" s="5" t="inlineStr">
        <is>
          <t>Evet</t>
        </is>
      </c>
      <c r="P15" s="7" t="n"/>
      <c r="Q15" s="7" t="n"/>
      <c r="R15" s="7" t="n"/>
      <c r="S15" s="7" t="n"/>
      <c r="T15" s="5" t="inlineStr">
        <is>
          <t>Evet</t>
        </is>
      </c>
    </row>
    <row r="16">
      <c r="A16" s="5" t="inlineStr">
        <is>
          <t>Genel</t>
        </is>
      </c>
      <c r="B16" s="5" t="inlineStr">
        <is>
          <t>Şehir Manzarası</t>
        </is>
      </c>
      <c r="C16" s="5" t="inlineStr">
        <is>
          <t>Evet</t>
        </is>
      </c>
      <c r="D16" s="5" t="inlineStr">
        <is>
          <t>Evet</t>
        </is>
      </c>
      <c r="E16" s="5" t="inlineStr">
        <is>
          <t>Evet</t>
        </is>
      </c>
      <c r="F16" s="5" t="inlineStr">
        <is>
          <t>Evet</t>
        </is>
      </c>
      <c r="G16" s="5" t="inlineStr">
        <is>
          <t>Evet</t>
        </is>
      </c>
      <c r="H16" s="5" t="inlineStr">
        <is>
          <t>Evet</t>
        </is>
      </c>
      <c r="I16" s="5" t="inlineStr">
        <is>
          <t>Evet</t>
        </is>
      </c>
      <c r="J16" s="5" t="inlineStr">
        <is>
          <t>Evet</t>
        </is>
      </c>
      <c r="K16" s="5" t="n"/>
      <c r="L16" s="5" t="n"/>
      <c r="M16" s="5" t="n"/>
      <c r="N16" s="5" t="n"/>
      <c r="O16" s="5" t="n"/>
      <c r="P16" s="7" t="n"/>
      <c r="Q16" s="7" t="n"/>
      <c r="R16" s="7" t="n"/>
      <c r="S16" s="7" t="n"/>
      <c r="T16" s="5" t="n"/>
    </row>
    <row r="17">
      <c r="A17" s="5" t="inlineStr">
        <is>
          <t>Genel</t>
        </is>
      </c>
      <c r="B17" s="5" t="inlineStr">
        <is>
          <t>Evcil Hayvan Dostu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7" t="n"/>
      <c r="Q17" s="7" t="n"/>
      <c r="R17" s="7" t="n"/>
      <c r="S17" s="7" t="n"/>
      <c r="T17" s="5" t="inlineStr">
        <is>
          <t>Evet</t>
        </is>
      </c>
    </row>
    <row r="18">
      <c r="A18" s="5" t="inlineStr">
        <is>
          <t>Yatak Tipleri</t>
        </is>
      </c>
      <c r="B18" s="5" t="inlineStr">
        <is>
          <t>Tek Kişilik Yatak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7" t="n"/>
      <c r="Q18" s="7" t="n"/>
      <c r="R18" s="7" t="n"/>
      <c r="S18" s="7" t="n"/>
      <c r="T18" s="5" t="n"/>
    </row>
    <row r="19">
      <c r="A19" s="5" t="inlineStr">
        <is>
          <t>Yatak Tipleri</t>
        </is>
      </c>
      <c r="B19" s="5" t="inlineStr">
        <is>
          <t>Çift Kişilik Yatak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inlineStr">
        <is>
          <t>Evet</t>
        </is>
      </c>
      <c r="L19" s="5" t="inlineStr">
        <is>
          <t>Evet</t>
        </is>
      </c>
      <c r="M19" s="5" t="inlineStr">
        <is>
          <t>Evet</t>
        </is>
      </c>
      <c r="N19" s="5" t="inlineStr">
        <is>
          <t>Evet</t>
        </is>
      </c>
      <c r="O19" s="5" t="inlineStr">
        <is>
          <t>Evet</t>
        </is>
      </c>
      <c r="P19" s="7" t="n"/>
      <c r="Q19" s="7" t="n"/>
      <c r="R19" s="7" t="n"/>
      <c r="S19" s="7" t="n"/>
      <c r="T19" s="5" t="inlineStr">
        <is>
          <t>Evet</t>
        </is>
      </c>
    </row>
    <row r="20">
      <c r="A20" s="5" t="inlineStr">
        <is>
          <t>Yatak Tipleri</t>
        </is>
      </c>
      <c r="B20" s="5" t="inlineStr">
        <is>
          <t>King Size Yatak</t>
        </is>
      </c>
      <c r="C20" s="5" t="inlineStr">
        <is>
          <t>Evet</t>
        </is>
      </c>
      <c r="D20" s="5" t="inlineStr">
        <is>
          <t>Evet</t>
        </is>
      </c>
      <c r="E20" s="5" t="inlineStr">
        <is>
          <t>Evet</t>
        </is>
      </c>
      <c r="F20" s="5" t="inlineStr">
        <is>
          <t>Evet</t>
        </is>
      </c>
      <c r="G20" s="5" t="inlineStr">
        <is>
          <t>Evet</t>
        </is>
      </c>
      <c r="H20" s="5" t="inlineStr">
        <is>
          <t>Evet</t>
        </is>
      </c>
      <c r="I20" s="5" t="inlineStr">
        <is>
          <t>Evet</t>
        </is>
      </c>
      <c r="J20" s="5" t="inlineStr">
        <is>
          <t>Evet</t>
        </is>
      </c>
      <c r="K20" s="5" t="n"/>
      <c r="L20" s="5" t="n"/>
      <c r="M20" s="5" t="n"/>
      <c r="N20" s="5" t="n"/>
      <c r="O20" s="5" t="n"/>
      <c r="P20" s="7" t="n"/>
      <c r="Q20" s="7" t="n"/>
      <c r="R20" s="7" t="n"/>
      <c r="S20" s="7" t="n"/>
      <c r="T20" s="5" t="n"/>
    </row>
    <row r="21">
      <c r="A21" s="5" t="inlineStr">
        <is>
          <t>Yatak Tipleri</t>
        </is>
      </c>
      <c r="B21" s="5" t="inlineStr">
        <is>
          <t>Sofa Yatak</t>
        </is>
      </c>
      <c r="C21" s="5" t="n"/>
      <c r="D21" s="5" t="n"/>
      <c r="E21" s="5" t="n"/>
      <c r="F21" s="5" t="n"/>
      <c r="G21" s="5" t="n"/>
      <c r="H21" s="5" t="inlineStr">
        <is>
          <t>Evet</t>
        </is>
      </c>
      <c r="I21" s="5" t="n"/>
      <c r="J21" s="5" t="n"/>
      <c r="K21" s="5" t="n"/>
      <c r="L21" s="5" t="n"/>
      <c r="M21" s="5" t="n"/>
      <c r="N21" s="5" t="n"/>
      <c r="O21" s="5" t="n"/>
      <c r="P21" s="7" t="n"/>
      <c r="Q21" s="7" t="n"/>
      <c r="R21" s="7" t="n"/>
      <c r="S21" s="7" t="n"/>
      <c r="T21" s="5" t="n"/>
    </row>
    <row r="22">
      <c r="A22" s="5" t="inlineStr">
        <is>
          <t>Banyo</t>
        </is>
      </c>
      <c r="B22" s="5" t="inlineStr">
        <is>
          <t>Özel Banyo</t>
        </is>
      </c>
      <c r="C22" s="5" t="inlineStr">
        <is>
          <t>Evet</t>
        </is>
      </c>
      <c r="D22" s="5" t="inlineStr">
        <is>
          <t>Evet</t>
        </is>
      </c>
      <c r="E22" s="5" t="inlineStr">
        <is>
          <t>Evet</t>
        </is>
      </c>
      <c r="F22" s="5" t="inlineStr">
        <is>
          <t>Evet</t>
        </is>
      </c>
      <c r="G22" s="5" t="inlineStr">
        <is>
          <t>Evet</t>
        </is>
      </c>
      <c r="H22" s="5" t="inlineStr">
        <is>
          <t>Evet</t>
        </is>
      </c>
      <c r="I22" s="5" t="inlineStr">
        <is>
          <t>Evet</t>
        </is>
      </c>
      <c r="J22" s="5" t="inlineStr">
        <is>
          <t>Evet</t>
        </is>
      </c>
      <c r="K22" s="5" t="inlineStr">
        <is>
          <t>Evet</t>
        </is>
      </c>
      <c r="L22" s="5" t="inlineStr">
        <is>
          <t>Evet</t>
        </is>
      </c>
      <c r="M22" s="5" t="inlineStr">
        <is>
          <t>Evet</t>
        </is>
      </c>
      <c r="N22" s="5" t="inlineStr">
        <is>
          <t>Evet</t>
        </is>
      </c>
      <c r="O22" s="5" t="inlineStr">
        <is>
          <t>Evet</t>
        </is>
      </c>
      <c r="P22" s="7" t="n"/>
      <c r="Q22" s="7" t="n"/>
      <c r="R22" s="7" t="n"/>
      <c r="S22" s="7" t="n"/>
      <c r="T22" s="5" t="inlineStr">
        <is>
          <t>Evet</t>
        </is>
      </c>
    </row>
    <row r="23">
      <c r="A23" s="5" t="inlineStr">
        <is>
          <t>Banyo</t>
        </is>
      </c>
      <c r="B23" s="5" t="inlineStr">
        <is>
          <t>Duş</t>
        </is>
      </c>
      <c r="C23" s="5" t="inlineStr">
        <is>
          <t>Evet</t>
        </is>
      </c>
      <c r="D23" s="5" t="inlineStr">
        <is>
          <t>Evet</t>
        </is>
      </c>
      <c r="E23" s="5" t="inlineStr">
        <is>
          <t>Evet</t>
        </is>
      </c>
      <c r="F23" s="5" t="inlineStr">
        <is>
          <t>Evet</t>
        </is>
      </c>
      <c r="G23" s="5" t="inlineStr">
        <is>
          <t>Evet</t>
        </is>
      </c>
      <c r="H23" s="5" t="inlineStr">
        <is>
          <t>Evet</t>
        </is>
      </c>
      <c r="I23" s="5" t="inlineStr">
        <is>
          <t>Evet</t>
        </is>
      </c>
      <c r="J23" s="5" t="inlineStr">
        <is>
          <t>Evet</t>
        </is>
      </c>
      <c r="K23" s="5" t="inlineStr">
        <is>
          <t>Evet</t>
        </is>
      </c>
      <c r="L23" s="5" t="inlineStr">
        <is>
          <t>Evet</t>
        </is>
      </c>
      <c r="M23" s="5" t="inlineStr">
        <is>
          <t>Evet</t>
        </is>
      </c>
      <c r="N23" s="5" t="inlineStr">
        <is>
          <t>Evet</t>
        </is>
      </c>
      <c r="O23" s="5" t="inlineStr">
        <is>
          <t>Evet</t>
        </is>
      </c>
      <c r="P23" s="7" t="n"/>
      <c r="Q23" s="7" t="n"/>
      <c r="R23" s="7" t="n"/>
      <c r="S23" s="7" t="n"/>
      <c r="T23" s="5" t="inlineStr">
        <is>
          <t>Evet</t>
        </is>
      </c>
    </row>
    <row r="24">
      <c r="A24" s="5" t="inlineStr">
        <is>
          <t>Banyo</t>
        </is>
      </c>
      <c r="B24" s="5" t="inlineStr">
        <is>
          <t>Küvet</t>
        </is>
      </c>
      <c r="C24" s="5" t="n"/>
      <c r="D24" s="5" t="n"/>
      <c r="E24" s="5" t="n"/>
      <c r="F24" s="5" t="n"/>
      <c r="G24" s="5" t="inlineStr">
        <is>
          <t>Evet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7" t="n"/>
      <c r="Q24" s="7" t="n"/>
      <c r="R24" s="7" t="n"/>
      <c r="S24" s="7" t="n"/>
      <c r="T24" s="5" t="n"/>
    </row>
    <row r="25">
      <c r="A25" s="5" t="inlineStr">
        <is>
          <t>Banyo</t>
        </is>
      </c>
      <c r="B25" s="5" t="inlineStr">
        <is>
          <t>Havlu</t>
        </is>
      </c>
      <c r="C25" s="5" t="inlineStr">
        <is>
          <t>Evet</t>
        </is>
      </c>
      <c r="D25" s="5" t="inlineStr">
        <is>
          <t>Evet</t>
        </is>
      </c>
      <c r="E25" s="5" t="inlineStr">
        <is>
          <t>Evet</t>
        </is>
      </c>
      <c r="F25" s="5" t="inlineStr">
        <is>
          <t>Evet</t>
        </is>
      </c>
      <c r="G25" s="5" t="inlineStr">
        <is>
          <t>Evet</t>
        </is>
      </c>
      <c r="H25" s="5" t="inlineStr">
        <is>
          <t>Evet</t>
        </is>
      </c>
      <c r="I25" s="5" t="inlineStr">
        <is>
          <t>Evet</t>
        </is>
      </c>
      <c r="J25" s="5" t="inlineStr">
        <is>
          <t>Evet</t>
        </is>
      </c>
      <c r="K25" s="5" t="inlineStr">
        <is>
          <t>Evet</t>
        </is>
      </c>
      <c r="L25" s="5" t="inlineStr">
        <is>
          <t>Evet</t>
        </is>
      </c>
      <c r="M25" s="5" t="inlineStr">
        <is>
          <t>Evet</t>
        </is>
      </c>
      <c r="N25" s="5" t="inlineStr">
        <is>
          <t>Evet</t>
        </is>
      </c>
      <c r="O25" s="5" t="inlineStr">
        <is>
          <t>Evet</t>
        </is>
      </c>
      <c r="P25" s="7" t="n"/>
      <c r="Q25" s="7" t="n"/>
      <c r="R25" s="7" t="n"/>
      <c r="S25" s="7" t="n"/>
      <c r="T25" s="5" t="inlineStr">
        <is>
          <t>Evet</t>
        </is>
      </c>
    </row>
    <row r="26">
      <c r="A26" s="5" t="inlineStr">
        <is>
          <t>Banyo</t>
        </is>
      </c>
      <c r="B26" s="5" t="inlineStr">
        <is>
          <t>Terlik</t>
        </is>
      </c>
      <c r="C26" s="5" t="inlineStr">
        <is>
          <t>Evet</t>
        </is>
      </c>
      <c r="D26" s="5" t="inlineStr">
        <is>
          <t>Evet</t>
        </is>
      </c>
      <c r="E26" s="5" t="inlineStr">
        <is>
          <t>Evet</t>
        </is>
      </c>
      <c r="F26" s="5" t="inlineStr">
        <is>
          <t>Evet</t>
        </is>
      </c>
      <c r="G26" s="5" t="inlineStr">
        <is>
          <t>Evet</t>
        </is>
      </c>
      <c r="H26" s="5" t="inlineStr">
        <is>
          <t>Evet</t>
        </is>
      </c>
      <c r="I26" s="5" t="inlineStr">
        <is>
          <t>Evet</t>
        </is>
      </c>
      <c r="J26" s="5" t="inlineStr">
        <is>
          <t>Evet</t>
        </is>
      </c>
      <c r="K26" s="5" t="inlineStr">
        <is>
          <t>Evet</t>
        </is>
      </c>
      <c r="L26" s="5" t="inlineStr">
        <is>
          <t>Evet</t>
        </is>
      </c>
      <c r="M26" s="5" t="inlineStr">
        <is>
          <t>Evet</t>
        </is>
      </c>
      <c r="N26" s="5" t="inlineStr">
        <is>
          <t>Evet</t>
        </is>
      </c>
      <c r="O26" s="5" t="inlineStr">
        <is>
          <t>Evet</t>
        </is>
      </c>
      <c r="P26" s="7" t="n"/>
      <c r="Q26" s="7" t="n"/>
      <c r="R26" s="7" t="n"/>
      <c r="S26" s="7" t="n"/>
      <c r="T26" s="5" t="inlineStr">
        <is>
          <t>Evet</t>
        </is>
      </c>
    </row>
    <row r="27">
      <c r="A27" s="5" t="inlineStr">
        <is>
          <t>Banyo</t>
        </is>
      </c>
      <c r="B27" s="5" t="inlineStr">
        <is>
          <t>Bornoz</t>
        </is>
      </c>
      <c r="C27" s="5" t="n"/>
      <c r="D27" s="5" t="n"/>
      <c r="E27" s="5" t="n"/>
      <c r="F27" s="5" t="n"/>
      <c r="G27" s="5" t="inlineStr">
        <is>
          <t>Evet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7" t="n"/>
      <c r="Q27" s="7" t="n"/>
      <c r="R27" s="7" t="n"/>
      <c r="S27" s="7" t="n"/>
      <c r="T27" s="5" t="n"/>
    </row>
    <row r="28">
      <c r="A28" s="5" t="inlineStr">
        <is>
          <t>Banyo</t>
        </is>
      </c>
      <c r="B28" s="5" t="inlineStr">
        <is>
          <t>Saç Kurutma Makinesi</t>
        </is>
      </c>
      <c r="C28" s="5" t="inlineStr">
        <is>
          <t>Evet</t>
        </is>
      </c>
      <c r="D28" s="5" t="inlineStr">
        <is>
          <t>Evet</t>
        </is>
      </c>
      <c r="E28" s="5" t="inlineStr">
        <is>
          <t>Evet</t>
        </is>
      </c>
      <c r="F28" s="5" t="inlineStr">
        <is>
          <t>Evet</t>
        </is>
      </c>
      <c r="G28" s="5" t="inlineStr">
        <is>
          <t>Evet</t>
        </is>
      </c>
      <c r="H28" s="5" t="inlineStr">
        <is>
          <t>Evet</t>
        </is>
      </c>
      <c r="I28" s="5" t="inlineStr">
        <is>
          <t>Evet</t>
        </is>
      </c>
      <c r="J28" s="5" t="inlineStr">
        <is>
          <t>Evet</t>
        </is>
      </c>
      <c r="K28" s="5" t="inlineStr">
        <is>
          <t>Evet</t>
        </is>
      </c>
      <c r="L28" s="5" t="inlineStr">
        <is>
          <t>Evet</t>
        </is>
      </c>
      <c r="M28" s="5" t="inlineStr">
        <is>
          <t>Evet</t>
        </is>
      </c>
      <c r="N28" s="5" t="inlineStr">
        <is>
          <t>Evet</t>
        </is>
      </c>
      <c r="O28" s="5" t="inlineStr">
        <is>
          <t>Evet</t>
        </is>
      </c>
      <c r="P28" s="7" t="n"/>
      <c r="Q28" s="7" t="n"/>
      <c r="R28" s="7" t="n"/>
      <c r="S28" s="7" t="n"/>
      <c r="T28" s="5" t="inlineStr">
        <is>
          <t>Evet</t>
        </is>
      </c>
    </row>
    <row r="29">
      <c r="A29" s="5" t="inlineStr">
        <is>
          <t>Banyo</t>
        </is>
      </c>
      <c r="B29" s="5" t="inlineStr">
        <is>
          <t>Şampuan/Duş Jeli</t>
        </is>
      </c>
      <c r="C29" s="5" t="inlineStr">
        <is>
          <t>Evet</t>
        </is>
      </c>
      <c r="D29" s="5" t="inlineStr">
        <is>
          <t>Evet</t>
        </is>
      </c>
      <c r="E29" s="5" t="inlineStr">
        <is>
          <t>Evet</t>
        </is>
      </c>
      <c r="F29" s="5" t="inlineStr">
        <is>
          <t>Evet</t>
        </is>
      </c>
      <c r="G29" s="5" t="inlineStr">
        <is>
          <t>Evet</t>
        </is>
      </c>
      <c r="H29" s="5" t="inlineStr">
        <is>
          <t>Evet</t>
        </is>
      </c>
      <c r="I29" s="5" t="inlineStr">
        <is>
          <t>Evet</t>
        </is>
      </c>
      <c r="J29" s="5" t="inlineStr">
        <is>
          <t>Evet</t>
        </is>
      </c>
      <c r="K29" s="5" t="inlineStr">
        <is>
          <t>Evet</t>
        </is>
      </c>
      <c r="L29" s="5" t="inlineStr">
        <is>
          <t>Evet</t>
        </is>
      </c>
      <c r="M29" s="5" t="inlineStr">
        <is>
          <t>Evet</t>
        </is>
      </c>
      <c r="N29" s="5" t="inlineStr">
        <is>
          <t>Evet</t>
        </is>
      </c>
      <c r="O29" s="5" t="inlineStr">
        <is>
          <t>Evet</t>
        </is>
      </c>
      <c r="P29" s="7" t="n"/>
      <c r="Q29" s="7" t="n"/>
      <c r="R29" s="7" t="n"/>
      <c r="S29" s="7" t="n"/>
      <c r="T29" s="5" t="inlineStr">
        <is>
          <t>Evet</t>
        </is>
      </c>
    </row>
    <row r="30">
      <c r="A30" s="5" t="inlineStr">
        <is>
          <t>Mutfak</t>
        </is>
      </c>
      <c r="B30" s="5" t="inlineStr">
        <is>
          <t>Mutfak</t>
        </is>
      </c>
      <c r="C30" s="5" t="inlineStr">
        <is>
          <t>Evet</t>
        </is>
      </c>
      <c r="D30" s="5" t="inlineStr">
        <is>
          <t>Evet</t>
        </is>
      </c>
      <c r="E30" s="5" t="inlineStr">
        <is>
          <t>Evet</t>
        </is>
      </c>
      <c r="F30" s="5" t="inlineStr">
        <is>
          <t>Evet</t>
        </is>
      </c>
      <c r="G30" s="5" t="inlineStr">
        <is>
          <t>Evet</t>
        </is>
      </c>
      <c r="H30" s="5" t="inlineStr">
        <is>
          <t>Evet</t>
        </is>
      </c>
      <c r="I30" s="5" t="inlineStr">
        <is>
          <t>Evet</t>
        </is>
      </c>
      <c r="J30" s="5" t="inlineStr">
        <is>
          <t>Evet</t>
        </is>
      </c>
      <c r="K30" s="5" t="n"/>
      <c r="L30" s="5" t="n"/>
      <c r="M30" s="5" t="n"/>
      <c r="N30" s="5" t="n"/>
      <c r="O30" s="5" t="n"/>
      <c r="P30" s="7" t="n"/>
      <c r="Q30" s="7" t="n"/>
      <c r="R30" s="7" t="n"/>
      <c r="S30" s="7" t="n"/>
      <c r="T30" s="5" t="inlineStr">
        <is>
          <t>Evet</t>
        </is>
      </c>
    </row>
    <row r="31">
      <c r="A31" s="5" t="inlineStr">
        <is>
          <t>Mutfak</t>
        </is>
      </c>
      <c r="B31" s="5" t="inlineStr">
        <is>
          <t>Buzdolabı</t>
        </is>
      </c>
      <c r="C31" s="5" t="inlineStr">
        <is>
          <t>Evet</t>
        </is>
      </c>
      <c r="D31" s="5" t="inlineStr">
        <is>
          <t>Evet</t>
        </is>
      </c>
      <c r="E31" s="5" t="inlineStr">
        <is>
          <t>Evet</t>
        </is>
      </c>
      <c r="F31" s="5" t="inlineStr">
        <is>
          <t>Evet</t>
        </is>
      </c>
      <c r="G31" s="5" t="inlineStr">
        <is>
          <t>Evet</t>
        </is>
      </c>
      <c r="H31" s="5" t="inlineStr">
        <is>
          <t>Evet</t>
        </is>
      </c>
      <c r="I31" s="5" t="inlineStr">
        <is>
          <t>Evet</t>
        </is>
      </c>
      <c r="J31" s="5" t="inlineStr">
        <is>
          <t>Evet</t>
        </is>
      </c>
      <c r="K31" s="5" t="n"/>
      <c r="L31" s="5" t="n"/>
      <c r="M31" s="5" t="n"/>
      <c r="N31" s="5" t="n"/>
      <c r="O31" s="5" t="n"/>
      <c r="P31" s="7" t="n"/>
      <c r="Q31" s="7" t="n"/>
      <c r="R31" s="7" t="n"/>
      <c r="S31" s="7" t="n"/>
      <c r="T31" s="5" t="inlineStr">
        <is>
          <t>Evet</t>
        </is>
      </c>
    </row>
    <row r="32">
      <c r="A32" s="5" t="inlineStr">
        <is>
          <t>Mutfak</t>
        </is>
      </c>
      <c r="B32" s="5" t="inlineStr">
        <is>
          <t>Ocak</t>
        </is>
      </c>
      <c r="C32" s="5" t="inlineStr">
        <is>
          <t>Evet</t>
        </is>
      </c>
      <c r="D32" s="5" t="inlineStr">
        <is>
          <t>Evet</t>
        </is>
      </c>
      <c r="E32" s="5" t="inlineStr">
        <is>
          <t>Evet</t>
        </is>
      </c>
      <c r="F32" s="5" t="inlineStr">
        <is>
          <t>Evet</t>
        </is>
      </c>
      <c r="G32" s="5" t="inlineStr">
        <is>
          <t>Evet</t>
        </is>
      </c>
      <c r="H32" s="5" t="inlineStr">
        <is>
          <t>Evet</t>
        </is>
      </c>
      <c r="I32" s="5" t="inlineStr">
        <is>
          <t>Evet</t>
        </is>
      </c>
      <c r="J32" s="5" t="inlineStr">
        <is>
          <t>Evet</t>
        </is>
      </c>
      <c r="K32" s="5" t="n"/>
      <c r="L32" s="5" t="n"/>
      <c r="M32" s="5" t="n"/>
      <c r="N32" s="5" t="n"/>
      <c r="O32" s="5" t="n"/>
      <c r="P32" s="7" t="n"/>
      <c r="Q32" s="7" t="n"/>
      <c r="R32" s="7" t="n"/>
      <c r="S32" s="7" t="n"/>
      <c r="T32" s="5" t="n"/>
    </row>
    <row r="33">
      <c r="A33" s="5" t="inlineStr">
        <is>
          <t>Mutfak</t>
        </is>
      </c>
      <c r="B33" s="5" t="inlineStr">
        <is>
          <t>Fırın</t>
        </is>
      </c>
      <c r="C33" s="5" t="n"/>
      <c r="D33" s="5" t="n"/>
      <c r="E33" s="5" t="n"/>
      <c r="F33" s="5" t="n"/>
      <c r="G33" s="5" t="inlineStr">
        <is>
          <t>Evet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7" t="n"/>
      <c r="Q33" s="7" t="n"/>
      <c r="R33" s="7" t="n"/>
      <c r="S33" s="7" t="n"/>
      <c r="T33" s="5" t="n"/>
    </row>
    <row r="34">
      <c r="A34" s="5" t="inlineStr">
        <is>
          <t>Mutfak</t>
        </is>
      </c>
      <c r="B34" s="5" t="inlineStr">
        <is>
          <t>Mikrodalga</t>
        </is>
      </c>
      <c r="C34" s="5" t="n"/>
      <c r="D34" s="5" t="n"/>
      <c r="E34" s="5" t="n"/>
      <c r="F34" s="5" t="n"/>
      <c r="G34" s="5" t="inlineStr">
        <is>
          <t>Evet</t>
        </is>
      </c>
      <c r="H34" s="5" t="n"/>
      <c r="I34" s="5" t="n"/>
      <c r="J34" s="5" t="inlineStr">
        <is>
          <t>Evet</t>
        </is>
      </c>
      <c r="K34" s="5" t="n"/>
      <c r="L34" s="5" t="n"/>
      <c r="M34" s="5" t="n"/>
      <c r="N34" s="5" t="n"/>
      <c r="O34" s="5" t="n"/>
      <c r="P34" s="7" t="n"/>
      <c r="Q34" s="7" t="n"/>
      <c r="R34" s="7" t="n"/>
      <c r="S34" s="7" t="n"/>
      <c r="T34" s="5" t="n"/>
    </row>
    <row r="35">
      <c r="A35" s="5" t="inlineStr">
        <is>
          <t>Mutfak</t>
        </is>
      </c>
      <c r="B35" s="5" t="inlineStr">
        <is>
          <t>Su Isıtıcısı</t>
        </is>
      </c>
      <c r="C35" s="5" t="inlineStr">
        <is>
          <t>Evet</t>
        </is>
      </c>
      <c r="D35" s="5" t="inlineStr">
        <is>
          <t>Evet</t>
        </is>
      </c>
      <c r="E35" s="5" t="inlineStr">
        <is>
          <t>Evet</t>
        </is>
      </c>
      <c r="F35" s="5" t="inlineStr">
        <is>
          <t>Evet</t>
        </is>
      </c>
      <c r="G35" s="5" t="inlineStr">
        <is>
          <t>Evet</t>
        </is>
      </c>
      <c r="H35" s="5" t="inlineStr">
        <is>
          <t>Evet</t>
        </is>
      </c>
      <c r="I35" s="5" t="inlineStr">
        <is>
          <t>Evet</t>
        </is>
      </c>
      <c r="J35" s="5" t="inlineStr">
        <is>
          <t>Evet</t>
        </is>
      </c>
      <c r="K35" s="5" t="inlineStr">
        <is>
          <t>Evet</t>
        </is>
      </c>
      <c r="L35" s="5" t="inlineStr">
        <is>
          <t>Evet</t>
        </is>
      </c>
      <c r="M35" s="5" t="inlineStr">
        <is>
          <t>Evet</t>
        </is>
      </c>
      <c r="N35" s="5" t="inlineStr">
        <is>
          <t>Evet</t>
        </is>
      </c>
      <c r="O35" s="5" t="inlineStr">
        <is>
          <t>Evet</t>
        </is>
      </c>
      <c r="P35" s="7" t="n"/>
      <c r="Q35" s="7" t="n"/>
      <c r="R35" s="7" t="n"/>
      <c r="S35" s="7" t="n"/>
      <c r="T35" s="5" t="inlineStr">
        <is>
          <t>Evet</t>
        </is>
      </c>
    </row>
    <row r="36">
      <c r="A36" s="5" t="inlineStr">
        <is>
          <t>Mutfak</t>
        </is>
      </c>
      <c r="B36" s="5" t="inlineStr">
        <is>
          <t>Kahve Makinesi</t>
        </is>
      </c>
      <c r="C36" s="5" t="n"/>
      <c r="D36" s="5" t="n"/>
      <c r="E36" s="5" t="n"/>
      <c r="F36" s="5" t="n"/>
      <c r="G36" s="5" t="inlineStr">
        <is>
          <t>Evet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7" t="n"/>
      <c r="Q36" s="7" t="n"/>
      <c r="R36" s="7" t="n"/>
      <c r="S36" s="7" t="n"/>
      <c r="T36" s="5" t="n"/>
    </row>
    <row r="37">
      <c r="A37" s="5" t="inlineStr">
        <is>
          <t>Mutfak</t>
        </is>
      </c>
      <c r="B37" s="5" t="inlineStr">
        <is>
          <t>Temel Mutfak Gereçleri</t>
        </is>
      </c>
      <c r="C37" s="5" t="inlineStr">
        <is>
          <t>Evet</t>
        </is>
      </c>
      <c r="D37" s="5" t="inlineStr">
        <is>
          <t>Evet</t>
        </is>
      </c>
      <c r="E37" s="5" t="inlineStr">
        <is>
          <t>Evet</t>
        </is>
      </c>
      <c r="F37" s="5" t="inlineStr">
        <is>
          <t>Evet</t>
        </is>
      </c>
      <c r="G37" s="5" t="inlineStr">
        <is>
          <t>Evet</t>
        </is>
      </c>
      <c r="H37" s="5" t="inlineStr">
        <is>
          <t>Evet</t>
        </is>
      </c>
      <c r="I37" s="5" t="inlineStr">
        <is>
          <t>Evet</t>
        </is>
      </c>
      <c r="J37" s="5" t="inlineStr">
        <is>
          <t>Evet</t>
        </is>
      </c>
      <c r="K37" s="5" t="n"/>
      <c r="L37" s="5" t="n"/>
      <c r="M37" s="5" t="n"/>
      <c r="N37" s="5" t="n"/>
      <c r="O37" s="5" t="n"/>
      <c r="P37" s="7" t="n"/>
      <c r="Q37" s="7" t="n"/>
      <c r="R37" s="7" t="n"/>
      <c r="S37" s="7" t="n"/>
      <c r="T37" s="5" t="inlineStr">
        <is>
          <t>Evet</t>
        </is>
      </c>
    </row>
    <row r="38">
      <c r="A38" s="5" t="inlineStr">
        <is>
          <t>Mutfak</t>
        </is>
      </c>
      <c r="B38" s="5" t="inlineStr">
        <is>
          <t>Tencere&amp;Tava</t>
        </is>
      </c>
      <c r="C38" s="5" t="inlineStr">
        <is>
          <t>Evet</t>
        </is>
      </c>
      <c r="D38" s="5" t="inlineStr">
        <is>
          <t>Evet</t>
        </is>
      </c>
      <c r="E38" s="5" t="inlineStr">
        <is>
          <t>Evet</t>
        </is>
      </c>
      <c r="F38" s="5" t="inlineStr">
        <is>
          <t>Evet</t>
        </is>
      </c>
      <c r="G38" s="5" t="inlineStr">
        <is>
          <t>Evet</t>
        </is>
      </c>
      <c r="H38" s="5" t="inlineStr">
        <is>
          <t>Evet</t>
        </is>
      </c>
      <c r="I38" s="5" t="inlineStr">
        <is>
          <t>Evet</t>
        </is>
      </c>
      <c r="J38" s="5" t="inlineStr">
        <is>
          <t>Evet</t>
        </is>
      </c>
      <c r="K38" s="5" t="n"/>
      <c r="L38" s="5" t="n"/>
      <c r="M38" s="5" t="n"/>
      <c r="N38" s="5" t="n"/>
      <c r="O38" s="5" t="n"/>
      <c r="P38" s="7" t="n"/>
      <c r="Q38" s="7" t="n"/>
      <c r="R38" s="7" t="n"/>
      <c r="S38" s="7" t="n"/>
      <c r="T38" s="5" t="inlineStr">
        <is>
          <t>Evet</t>
        </is>
      </c>
    </row>
    <row r="39">
      <c r="A39" s="5" t="inlineStr">
        <is>
          <t>Mutfak</t>
        </is>
      </c>
      <c r="B39" s="5" t="inlineStr">
        <is>
          <t>Bulaşık Makinesi</t>
        </is>
      </c>
      <c r="C39" s="5" t="n"/>
      <c r="D39" s="5" t="n"/>
      <c r="E39" s="5" t="n"/>
      <c r="F39" s="5" t="n"/>
      <c r="G39" s="5" t="inlineStr">
        <is>
          <t>Evet</t>
        </is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7" t="n"/>
      <c r="Q39" s="7" t="n"/>
      <c r="R39" s="7" t="n"/>
      <c r="S39" s="7" t="n"/>
      <c r="T39" s="5" t="n"/>
    </row>
    <row r="40">
      <c r="A40" s="5" t="inlineStr">
        <is>
          <t>Mutfak</t>
        </is>
      </c>
      <c r="B40" s="5" t="inlineStr">
        <is>
          <t>Çamaşır Makinesi</t>
        </is>
      </c>
      <c r="C40" s="5" t="n"/>
      <c r="D40" s="5" t="n"/>
      <c r="E40" s="5" t="n"/>
      <c r="F40" s="5" t="n"/>
      <c r="G40" s="5" t="n"/>
      <c r="H40" s="5" t="n"/>
      <c r="I40" s="5" t="n"/>
      <c r="J40" s="5" t="inlineStr">
        <is>
          <t>Evet</t>
        </is>
      </c>
      <c r="K40" s="5" t="n"/>
      <c r="L40" s="5" t="n"/>
      <c r="M40" s="5" t="n"/>
      <c r="N40" s="5" t="n"/>
      <c r="O40" s="5" t="n"/>
      <c r="P40" s="7" t="n"/>
      <c r="Q40" s="7" t="n"/>
      <c r="R40" s="7" t="n"/>
      <c r="S40" s="7" t="n"/>
      <c r="T40" s="5" t="n"/>
    </row>
    <row r="41">
      <c r="A41" s="5" t="inlineStr">
        <is>
          <t>Elektronik&amp;Medya</t>
        </is>
      </c>
      <c r="B41" s="5" t="inlineStr">
        <is>
          <t>LED TV</t>
        </is>
      </c>
      <c r="C41" s="5" t="inlineStr">
        <is>
          <t>Evet</t>
        </is>
      </c>
      <c r="D41" s="5" t="inlineStr">
        <is>
          <t>Evet</t>
        </is>
      </c>
      <c r="E41" s="5" t="inlineStr">
        <is>
          <t>Evet</t>
        </is>
      </c>
      <c r="F41" s="5" t="inlineStr">
        <is>
          <t>Evet</t>
        </is>
      </c>
      <c r="G41" s="5" t="inlineStr">
        <is>
          <t>Evet</t>
        </is>
      </c>
      <c r="H41" s="5" t="inlineStr">
        <is>
          <t>Evet</t>
        </is>
      </c>
      <c r="I41" s="5" t="inlineStr">
        <is>
          <t>Evet</t>
        </is>
      </c>
      <c r="J41" s="5" t="inlineStr">
        <is>
          <t>Evet</t>
        </is>
      </c>
      <c r="K41" s="5" t="inlineStr">
        <is>
          <t>Evet</t>
        </is>
      </c>
      <c r="L41" s="5" t="inlineStr">
        <is>
          <t>Evet</t>
        </is>
      </c>
      <c r="M41" s="5" t="inlineStr">
        <is>
          <t>Evet</t>
        </is>
      </c>
      <c r="N41" s="5" t="inlineStr">
        <is>
          <t>Evet</t>
        </is>
      </c>
      <c r="O41" s="5" t="inlineStr">
        <is>
          <t>Evet</t>
        </is>
      </c>
      <c r="P41" s="7" t="n"/>
      <c r="Q41" s="7" t="n"/>
      <c r="R41" s="7" t="n"/>
      <c r="S41" s="7" t="n"/>
      <c r="T41" s="5" t="inlineStr">
        <is>
          <t>Evet</t>
        </is>
      </c>
    </row>
    <row r="42">
      <c r="A42" s="5" t="inlineStr">
        <is>
          <t>Elektronik&amp;Medya</t>
        </is>
      </c>
      <c r="B42" s="5" t="inlineStr">
        <is>
          <t>Uydu Yayını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7" t="n"/>
      <c r="Q42" s="7" t="n"/>
      <c r="R42" s="7" t="n"/>
      <c r="S42" s="7" t="n"/>
      <c r="T42" s="5" t="inlineStr">
        <is>
          <t>Evet</t>
        </is>
      </c>
    </row>
    <row r="43">
      <c r="A43" s="5" t="inlineStr">
        <is>
          <t>Elektronik&amp;Medya</t>
        </is>
      </c>
      <c r="B43" s="5" t="inlineStr">
        <is>
          <t>Smart TV</t>
        </is>
      </c>
      <c r="C43" s="5" t="inlineStr">
        <is>
          <t>Evet</t>
        </is>
      </c>
      <c r="D43" s="5" t="inlineStr">
        <is>
          <t>Evet</t>
        </is>
      </c>
      <c r="E43" s="5" t="inlineStr">
        <is>
          <t>Evet</t>
        </is>
      </c>
      <c r="F43" s="5" t="inlineStr">
        <is>
          <t>Evet</t>
        </is>
      </c>
      <c r="G43" s="5" t="inlineStr">
        <is>
          <t>Evet</t>
        </is>
      </c>
      <c r="H43" s="5" t="inlineStr">
        <is>
          <t>Evet</t>
        </is>
      </c>
      <c r="I43" s="5" t="inlineStr">
        <is>
          <t>Evet</t>
        </is>
      </c>
      <c r="J43" s="5" t="inlineStr">
        <is>
          <t>Evet</t>
        </is>
      </c>
      <c r="K43" s="5" t="inlineStr">
        <is>
          <t>Evet</t>
        </is>
      </c>
      <c r="L43" s="5" t="inlineStr">
        <is>
          <t>Evet</t>
        </is>
      </c>
      <c r="M43" s="5" t="inlineStr">
        <is>
          <t>Evet</t>
        </is>
      </c>
      <c r="N43" s="5" t="inlineStr">
        <is>
          <t>Evet</t>
        </is>
      </c>
      <c r="O43" s="5" t="inlineStr">
        <is>
          <t>Evet</t>
        </is>
      </c>
      <c r="P43" s="7" t="n"/>
      <c r="Q43" s="7" t="n"/>
      <c r="R43" s="7" t="n"/>
      <c r="S43" s="7" t="n"/>
      <c r="T43" s="5" t="n"/>
    </row>
    <row r="44">
      <c r="A44" s="5" t="inlineStr">
        <is>
          <t>Elektronik&amp;Medya</t>
        </is>
      </c>
      <c r="B44" s="5" t="inlineStr">
        <is>
          <t>Netflix</t>
        </is>
      </c>
      <c r="C44" s="5" t="inlineStr">
        <is>
          <t>Evet</t>
        </is>
      </c>
      <c r="D44" s="5" t="inlineStr">
        <is>
          <t>Evet</t>
        </is>
      </c>
      <c r="E44" s="5" t="inlineStr">
        <is>
          <t>Evet</t>
        </is>
      </c>
      <c r="F44" s="5" t="inlineStr">
        <is>
          <t>Evet</t>
        </is>
      </c>
      <c r="G44" s="5" t="inlineStr">
        <is>
          <t>Evet</t>
        </is>
      </c>
      <c r="H44" s="5" t="inlineStr">
        <is>
          <t>Evet</t>
        </is>
      </c>
      <c r="I44" s="5" t="inlineStr">
        <is>
          <t>Evet</t>
        </is>
      </c>
      <c r="J44" s="5" t="inlineStr">
        <is>
          <t>Evet</t>
        </is>
      </c>
      <c r="K44" s="5" t="inlineStr">
        <is>
          <t>Evet</t>
        </is>
      </c>
      <c r="L44" s="5" t="inlineStr">
        <is>
          <t>Evet</t>
        </is>
      </c>
      <c r="M44" s="5" t="inlineStr">
        <is>
          <t>Evet</t>
        </is>
      </c>
      <c r="N44" s="5" t="inlineStr">
        <is>
          <t>Evet</t>
        </is>
      </c>
      <c r="O44" s="5" t="inlineStr">
        <is>
          <t>Evet</t>
        </is>
      </c>
      <c r="P44" s="7" t="n"/>
      <c r="Q44" s="7" t="n"/>
      <c r="R44" s="7" t="n"/>
      <c r="S44" s="7" t="n"/>
      <c r="T44" s="5" t="n"/>
    </row>
    <row r="45">
      <c r="A45" s="5" t="inlineStr">
        <is>
          <t>Güvenlik</t>
        </is>
      </c>
      <c r="B45" s="5" t="inlineStr">
        <is>
          <t>Kasa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inlineStr">
        <is>
          <t>Evet</t>
        </is>
      </c>
      <c r="L45" s="5" t="inlineStr">
        <is>
          <t>Evet</t>
        </is>
      </c>
      <c r="M45" s="5" t="inlineStr">
        <is>
          <t>Evet</t>
        </is>
      </c>
      <c r="N45" s="5" t="inlineStr">
        <is>
          <t>Evet</t>
        </is>
      </c>
      <c r="O45" s="5" t="inlineStr">
        <is>
          <t>Evet</t>
        </is>
      </c>
      <c r="P45" s="7" t="n"/>
      <c r="Q45" s="7" t="n"/>
      <c r="R45" s="7" t="n"/>
      <c r="S45" s="7" t="n"/>
      <c r="T45" s="5" t="n"/>
    </row>
    <row r="46">
      <c r="A46" s="5" t="inlineStr">
        <is>
          <t>Güvenlik</t>
        </is>
      </c>
      <c r="B46" s="5" t="inlineStr">
        <is>
          <t>Duman Dedektörü</t>
        </is>
      </c>
      <c r="C46" s="5" t="inlineStr">
        <is>
          <t>Evet</t>
        </is>
      </c>
      <c r="D46" s="5" t="inlineStr">
        <is>
          <t>Evet</t>
        </is>
      </c>
      <c r="E46" s="5" t="inlineStr">
        <is>
          <t>Evet</t>
        </is>
      </c>
      <c r="F46" s="5" t="inlineStr">
        <is>
          <t>Evet</t>
        </is>
      </c>
      <c r="G46" s="5" t="inlineStr">
        <is>
          <t>Evet</t>
        </is>
      </c>
      <c r="H46" s="5" t="inlineStr">
        <is>
          <t>Evet</t>
        </is>
      </c>
      <c r="I46" s="5" t="inlineStr">
        <is>
          <t>Evet</t>
        </is>
      </c>
      <c r="J46" s="5" t="inlineStr">
        <is>
          <t>Evet</t>
        </is>
      </c>
      <c r="K46" s="5" t="inlineStr">
        <is>
          <t>Evet</t>
        </is>
      </c>
      <c r="L46" s="5" t="inlineStr">
        <is>
          <t>Evet</t>
        </is>
      </c>
      <c r="M46" s="5" t="inlineStr">
        <is>
          <t>Evet</t>
        </is>
      </c>
      <c r="N46" s="5" t="inlineStr">
        <is>
          <t>Evet</t>
        </is>
      </c>
      <c r="O46" s="5" t="inlineStr">
        <is>
          <t>Evet</t>
        </is>
      </c>
      <c r="P46" s="7" t="n"/>
      <c r="Q46" s="7" t="n"/>
      <c r="R46" s="7" t="n"/>
      <c r="S46" s="7" t="n"/>
      <c r="T46" s="5" t="inlineStr">
        <is>
          <t>Evet</t>
        </is>
      </c>
    </row>
    <row r="47">
      <c r="A47" s="5" t="inlineStr">
        <is>
          <t>Güvenlik</t>
        </is>
      </c>
      <c r="B47" s="5" t="inlineStr">
        <is>
          <t>Şifreli Giriş</t>
        </is>
      </c>
      <c r="C47" s="5" t="inlineStr">
        <is>
          <t>Evet</t>
        </is>
      </c>
      <c r="D47" s="5" t="inlineStr">
        <is>
          <t>Evet</t>
        </is>
      </c>
      <c r="E47" s="5" t="inlineStr">
        <is>
          <t>Evet</t>
        </is>
      </c>
      <c r="F47" s="5" t="inlineStr">
        <is>
          <t>Evet</t>
        </is>
      </c>
      <c r="G47" s="5" t="inlineStr">
        <is>
          <t>Evet</t>
        </is>
      </c>
      <c r="H47" s="5" t="inlineStr">
        <is>
          <t>Evet</t>
        </is>
      </c>
      <c r="I47" s="5" t="inlineStr">
        <is>
          <t>Evet</t>
        </is>
      </c>
      <c r="J47" s="5" t="inlineStr">
        <is>
          <t>Evet</t>
        </is>
      </c>
      <c r="K47" s="5" t="inlineStr">
        <is>
          <t>Evet</t>
        </is>
      </c>
      <c r="L47" s="5" t="inlineStr">
        <is>
          <t>Evet</t>
        </is>
      </c>
      <c r="M47" s="5" t="inlineStr">
        <is>
          <t>Evet</t>
        </is>
      </c>
      <c r="N47" s="5" t="inlineStr">
        <is>
          <t>Evet</t>
        </is>
      </c>
      <c r="O47" s="5" t="inlineStr">
        <is>
          <t>Evet</t>
        </is>
      </c>
      <c r="P47" s="7" t="n"/>
      <c r="Q47" s="7" t="n"/>
      <c r="R47" s="7" t="n"/>
      <c r="S47" s="7" t="n"/>
      <c r="T47" s="5" t="inlineStr">
        <is>
          <t>Evet</t>
        </is>
      </c>
    </row>
    <row r="48"/>
    <row r="49">
      <c r="A49" s="8" t="inlineStr">
        <is>
          <t>Kaynak: Özellikler.xlsx. Village tipleri (VGS, VBS, VSS, VTS) dosyada yoktu, sarı. 'Otel Özellikleri' sayfası dosyada boştu, aktarılmadı.</t>
        </is>
      </c>
    </row>
  </sheetData>
  <dataValidations count="1">
    <dataValidation sqref="C2:T100" showDropDown="0" showInputMessage="0" showErrorMessage="0" allowBlank="1" type="list">
      <formula1>"Evet"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14" activePane="bottomLeft" state="frozen"/>
      <selection pane="bottomLeft" activeCell="F31" sqref="F31"/>
    </sheetView>
  </sheetViews>
  <sheetFormatPr baseColWidth="8" defaultRowHeight="14.4"/>
  <cols>
    <col width="22" customWidth="1" min="1" max="1"/>
    <col width="9" customWidth="1" min="2" max="2"/>
    <col width="6" customWidth="1" min="3" max="3"/>
    <col width="13" customWidth="1" min="4" max="4"/>
    <col width="7" customWidth="1" min="5" max="5"/>
    <col width="30" customWidth="1" min="6" max="6"/>
  </cols>
  <sheetData>
    <row r="1" ht="30" customHeight="1">
      <c r="A1" s="4" t="inlineStr">
        <is>
          <t>Otel</t>
        </is>
      </c>
      <c r="B1" s="4" t="inlineStr">
        <is>
          <t>Oda No</t>
        </is>
      </c>
      <c r="C1" s="4" t="inlineStr">
        <is>
          <t>Kat</t>
        </is>
      </c>
      <c r="D1" s="4" t="inlineStr">
        <is>
          <t>Oda Tipi Kodu</t>
        </is>
      </c>
      <c r="E1" s="4" t="inlineStr">
        <is>
          <t>Aktif</t>
        </is>
      </c>
      <c r="F1" s="4" t="inlineStr">
        <is>
          <t>Not</t>
        </is>
      </c>
    </row>
    <row r="2">
      <c r="A2" s="5" t="inlineStr">
        <is>
          <t>Tare Houses Hotel</t>
        </is>
      </c>
      <c r="B2" s="9" t="inlineStr">
        <is>
          <t>101</t>
        </is>
      </c>
      <c r="C2" s="5" t="n">
        <v>1</v>
      </c>
      <c r="D2" s="5" t="inlineStr">
        <is>
          <t>X1</t>
        </is>
      </c>
      <c r="E2" s="5" t="inlineStr">
        <is>
          <t>Evet</t>
        </is>
      </c>
      <c r="F2" s="5" t="n"/>
    </row>
    <row r="3">
      <c r="A3" s="5" t="inlineStr">
        <is>
          <t>Tare Houses Hotel</t>
        </is>
      </c>
      <c r="B3" s="9" t="inlineStr">
        <is>
          <t>102</t>
        </is>
      </c>
      <c r="C3" s="5" t="n">
        <v>1</v>
      </c>
      <c r="D3" s="5" t="inlineStr">
        <is>
          <t>X2</t>
        </is>
      </c>
      <c r="E3" s="5" t="inlineStr">
        <is>
          <t>Evet</t>
        </is>
      </c>
      <c r="F3" s="5" t="n"/>
    </row>
    <row r="4">
      <c r="A4" s="5" t="inlineStr">
        <is>
          <t>Tare Houses Hotel</t>
        </is>
      </c>
      <c r="B4" s="9" t="inlineStr">
        <is>
          <t>103</t>
        </is>
      </c>
      <c r="C4" s="5" t="n">
        <v>1</v>
      </c>
      <c r="D4" s="5" t="inlineStr">
        <is>
          <t>X3</t>
        </is>
      </c>
      <c r="E4" s="5" t="inlineStr">
        <is>
          <t>Evet</t>
        </is>
      </c>
      <c r="F4" s="5" t="n"/>
    </row>
    <row r="5">
      <c r="A5" s="5" t="inlineStr">
        <is>
          <t>Tare Houses Hotel</t>
        </is>
      </c>
      <c r="B5" s="9" t="inlineStr">
        <is>
          <t>104</t>
        </is>
      </c>
      <c r="C5" s="5" t="n">
        <v>1</v>
      </c>
      <c r="D5" s="5" t="inlineStr">
        <is>
          <t>X4</t>
        </is>
      </c>
      <c r="E5" s="5" t="inlineStr">
        <is>
          <t>Evet</t>
        </is>
      </c>
      <c r="F5" s="5" t="n"/>
    </row>
    <row r="6">
      <c r="A6" s="5" t="inlineStr">
        <is>
          <t>Tare Houses Hotel</t>
        </is>
      </c>
      <c r="B6" s="9" t="inlineStr">
        <is>
          <t>201</t>
        </is>
      </c>
      <c r="C6" s="5" t="n">
        <v>2</v>
      </c>
      <c r="D6" s="5" t="inlineStr">
        <is>
          <t>X1</t>
        </is>
      </c>
      <c r="E6" s="5" t="inlineStr">
        <is>
          <t>Evet</t>
        </is>
      </c>
      <c r="F6" s="5" t="n"/>
    </row>
    <row r="7">
      <c r="A7" s="5" t="inlineStr">
        <is>
          <t>Tare Houses Hotel</t>
        </is>
      </c>
      <c r="B7" s="9" t="inlineStr">
        <is>
          <t>202</t>
        </is>
      </c>
      <c r="C7" s="5" t="n">
        <v>2</v>
      </c>
      <c r="D7" s="5" t="inlineStr">
        <is>
          <t>X2</t>
        </is>
      </c>
      <c r="E7" s="5" t="inlineStr">
        <is>
          <t>Evet</t>
        </is>
      </c>
      <c r="F7" s="5" t="n"/>
    </row>
    <row r="8">
      <c r="A8" s="5" t="inlineStr">
        <is>
          <t>Tare Houses Hotel</t>
        </is>
      </c>
      <c r="B8" s="9" t="inlineStr">
        <is>
          <t>203</t>
        </is>
      </c>
      <c r="C8" s="5" t="n">
        <v>2</v>
      </c>
      <c r="D8" s="5" t="inlineStr">
        <is>
          <t>X3</t>
        </is>
      </c>
      <c r="E8" s="5" t="inlineStr">
        <is>
          <t>Evet</t>
        </is>
      </c>
      <c r="F8" s="5" t="n"/>
    </row>
    <row r="9">
      <c r="A9" s="5" t="inlineStr">
        <is>
          <t>Tare Houses Hotel</t>
        </is>
      </c>
      <c r="B9" s="9" t="inlineStr">
        <is>
          <t>204</t>
        </is>
      </c>
      <c r="C9" s="5" t="n">
        <v>2</v>
      </c>
      <c r="D9" s="5" t="inlineStr">
        <is>
          <t>X4</t>
        </is>
      </c>
      <c r="E9" s="5" t="inlineStr">
        <is>
          <t>Evet</t>
        </is>
      </c>
      <c r="F9" s="5" t="n"/>
    </row>
    <row r="10">
      <c r="A10" s="5" t="inlineStr">
        <is>
          <t>Tare Houses Hotel</t>
        </is>
      </c>
      <c r="B10" s="9" t="inlineStr">
        <is>
          <t>301</t>
        </is>
      </c>
      <c r="C10" s="5" t="n">
        <v>3</v>
      </c>
      <c r="D10" s="5" t="inlineStr">
        <is>
          <t>X1</t>
        </is>
      </c>
      <c r="E10" s="5" t="inlineStr">
        <is>
          <t>Evet</t>
        </is>
      </c>
      <c r="F10" s="5" t="n"/>
    </row>
    <row r="11">
      <c r="A11" s="5" t="inlineStr">
        <is>
          <t>Tare Houses Hotel</t>
        </is>
      </c>
      <c r="B11" s="9" t="inlineStr">
        <is>
          <t>302</t>
        </is>
      </c>
      <c r="C11" s="5" t="n">
        <v>3</v>
      </c>
      <c r="D11" s="5" t="inlineStr">
        <is>
          <t>X2</t>
        </is>
      </c>
      <c r="E11" s="5" t="inlineStr">
        <is>
          <t>Evet</t>
        </is>
      </c>
      <c r="F11" s="5" t="n"/>
    </row>
    <row r="12">
      <c r="A12" s="5" t="inlineStr">
        <is>
          <t>Tare Houses Hotel</t>
        </is>
      </c>
      <c r="B12" s="9" t="inlineStr">
        <is>
          <t>303</t>
        </is>
      </c>
      <c r="C12" s="5" t="n">
        <v>3</v>
      </c>
      <c r="D12" s="5" t="inlineStr">
        <is>
          <t>X3</t>
        </is>
      </c>
      <c r="E12" s="5" t="inlineStr">
        <is>
          <t>Evet</t>
        </is>
      </c>
      <c r="F12" s="5" t="n"/>
    </row>
    <row r="13">
      <c r="A13" s="5" t="inlineStr">
        <is>
          <t>Tare Houses Hotel</t>
        </is>
      </c>
      <c r="B13" s="9" t="inlineStr">
        <is>
          <t>304</t>
        </is>
      </c>
      <c r="C13" s="5" t="n">
        <v>3</v>
      </c>
      <c r="D13" s="5" t="inlineStr">
        <is>
          <t>X4</t>
        </is>
      </c>
      <c r="E13" s="5" t="inlineStr">
        <is>
          <t>Evet</t>
        </is>
      </c>
      <c r="F13" s="5" t="n"/>
    </row>
    <row r="14">
      <c r="A14" s="5" t="inlineStr">
        <is>
          <t>Tare Houses Hotel</t>
        </is>
      </c>
      <c r="B14" s="9" t="inlineStr">
        <is>
          <t>401</t>
        </is>
      </c>
      <c r="C14" s="5" t="n">
        <v>4</v>
      </c>
      <c r="D14" s="5" t="inlineStr">
        <is>
          <t>X1</t>
        </is>
      </c>
      <c r="E14" s="5" t="inlineStr">
        <is>
          <t>Evet</t>
        </is>
      </c>
      <c r="F14" s="5" t="n"/>
    </row>
    <row r="15">
      <c r="A15" s="5" t="inlineStr">
        <is>
          <t>Tare Houses Hotel</t>
        </is>
      </c>
      <c r="B15" s="9" t="inlineStr">
        <is>
          <t>402</t>
        </is>
      </c>
      <c r="C15" s="5" t="n">
        <v>4</v>
      </c>
      <c r="D15" s="5" t="inlineStr">
        <is>
          <t>X2</t>
        </is>
      </c>
      <c r="E15" s="5" t="inlineStr">
        <is>
          <t>Evet</t>
        </is>
      </c>
      <c r="F15" s="5" t="n"/>
    </row>
    <row r="16">
      <c r="A16" s="5" t="inlineStr">
        <is>
          <t>Tare Houses Hotel</t>
        </is>
      </c>
      <c r="B16" s="9" t="inlineStr">
        <is>
          <t>403</t>
        </is>
      </c>
      <c r="C16" s="5" t="n">
        <v>4</v>
      </c>
      <c r="D16" s="5" t="inlineStr">
        <is>
          <t>X3</t>
        </is>
      </c>
      <c r="E16" s="5" t="inlineStr">
        <is>
          <t>Evet</t>
        </is>
      </c>
      <c r="F16" s="5" t="n"/>
    </row>
    <row r="17">
      <c r="A17" s="5" t="inlineStr">
        <is>
          <t>Tare Houses Hotel</t>
        </is>
      </c>
      <c r="B17" s="9" t="inlineStr">
        <is>
          <t>404</t>
        </is>
      </c>
      <c r="C17" s="5" t="n">
        <v>4</v>
      </c>
      <c r="D17" s="5" t="inlineStr">
        <is>
          <t>X4</t>
        </is>
      </c>
      <c r="E17" s="5" t="inlineStr">
        <is>
          <t>Evet</t>
        </is>
      </c>
      <c r="F17" s="5" t="n"/>
    </row>
    <row r="18">
      <c r="A18" s="5" t="inlineStr">
        <is>
          <t>Tare Houses Hotel</t>
        </is>
      </c>
      <c r="B18" s="9" t="inlineStr">
        <is>
          <t>501</t>
        </is>
      </c>
      <c r="C18" s="5" t="n">
        <v>5</v>
      </c>
      <c r="D18" s="5" t="inlineStr">
        <is>
          <t>PH</t>
        </is>
      </c>
      <c r="E18" s="5" t="inlineStr">
        <is>
          <t>Evet</t>
        </is>
      </c>
      <c r="F18" s="5" t="n"/>
    </row>
    <row r="19">
      <c r="A19" s="5" t="inlineStr">
        <is>
          <t>Tare Suites Beşiktaş</t>
        </is>
      </c>
      <c r="B19" s="9" t="inlineStr">
        <is>
          <t>101</t>
        </is>
      </c>
      <c r="C19" s="5" t="n">
        <v>1</v>
      </c>
      <c r="D19" s="5" t="inlineStr">
        <is>
          <t>BGS</t>
        </is>
      </c>
      <c r="E19" s="5" t="inlineStr">
        <is>
          <t>Evet</t>
        </is>
      </c>
      <c r="F19" s="5" t="n"/>
    </row>
    <row r="20">
      <c r="A20" s="5" t="inlineStr">
        <is>
          <t>Tare Suites Beşiktaş</t>
        </is>
      </c>
      <c r="B20" s="9" t="inlineStr">
        <is>
          <t>201</t>
        </is>
      </c>
      <c r="C20" s="5" t="n">
        <v>2</v>
      </c>
      <c r="D20" s="5" t="inlineStr">
        <is>
          <t>BSAB</t>
        </is>
      </c>
      <c r="E20" s="5" t="inlineStr">
        <is>
          <t>Evet</t>
        </is>
      </c>
      <c r="F20" s="5" t="n"/>
    </row>
    <row r="21">
      <c r="A21" s="5" t="inlineStr">
        <is>
          <t>Tare Suites Beşiktaş</t>
        </is>
      </c>
      <c r="B21" s="9" t="inlineStr">
        <is>
          <t>202</t>
        </is>
      </c>
      <c r="C21" s="5" t="n">
        <v>2</v>
      </c>
      <c r="D21" s="5" t="inlineStr">
        <is>
          <t>BSA</t>
        </is>
      </c>
      <c r="E21" s="5" t="inlineStr">
        <is>
          <t>Evet</t>
        </is>
      </c>
      <c r="F21" s="5" t="n"/>
    </row>
    <row r="22">
      <c r="A22" s="5" t="inlineStr">
        <is>
          <t>Tare Suites Beşiktaş</t>
        </is>
      </c>
      <c r="B22" s="9" t="inlineStr">
        <is>
          <t>301</t>
        </is>
      </c>
      <c r="C22" s="5" t="n">
        <v>3</v>
      </c>
      <c r="D22" s="5" t="inlineStr">
        <is>
          <t>BSAB</t>
        </is>
      </c>
      <c r="E22" s="5" t="inlineStr">
        <is>
          <t>Evet</t>
        </is>
      </c>
      <c r="F22" s="5" t="n"/>
    </row>
    <row r="23">
      <c r="A23" s="5" t="inlineStr">
        <is>
          <t>Tare Suites Beşiktaş</t>
        </is>
      </c>
      <c r="B23" s="9" t="inlineStr">
        <is>
          <t>302</t>
        </is>
      </c>
      <c r="C23" s="5" t="n">
        <v>3</v>
      </c>
      <c r="D23" s="5" t="inlineStr">
        <is>
          <t>BSA</t>
        </is>
      </c>
      <c r="E23" s="5" t="inlineStr">
        <is>
          <t>Evet</t>
        </is>
      </c>
      <c r="F23" s="5" t="n"/>
    </row>
    <row r="24">
      <c r="A24" s="5" t="inlineStr">
        <is>
          <t>Tare Suites Urla</t>
        </is>
      </c>
      <c r="B24" s="9" t="inlineStr">
        <is>
          <t>101</t>
        </is>
      </c>
      <c r="C24" s="5" t="n">
        <v>1</v>
      </c>
      <c r="D24" s="5" t="inlineStr">
        <is>
          <t>EDR</t>
        </is>
      </c>
      <c r="E24" s="5" t="inlineStr">
        <is>
          <t>Evet</t>
        </is>
      </c>
      <c r="F24" s="5" t="n"/>
    </row>
    <row r="25">
      <c r="A25" s="5" t="inlineStr">
        <is>
          <t>Tare Suites Urla</t>
        </is>
      </c>
      <c r="B25" s="9" t="inlineStr">
        <is>
          <t>102</t>
        </is>
      </c>
      <c r="C25" s="5" t="n">
        <v>1</v>
      </c>
      <c r="D25" s="5" t="inlineStr">
        <is>
          <t>EDR</t>
        </is>
      </c>
      <c r="E25" s="5" t="inlineStr">
        <is>
          <t>Evet</t>
        </is>
      </c>
      <c r="F25" s="5" t="n"/>
    </row>
    <row r="26">
      <c r="A26" s="5" t="inlineStr">
        <is>
          <t>Tare Suites Urla</t>
        </is>
      </c>
      <c r="B26" s="9" t="inlineStr">
        <is>
          <t>201</t>
        </is>
      </c>
      <c r="C26" s="5" t="n">
        <v>2</v>
      </c>
      <c r="D26" s="5" t="inlineStr">
        <is>
          <t>DSSW</t>
        </is>
      </c>
      <c r="E26" s="5" t="inlineStr">
        <is>
          <t>Evet</t>
        </is>
      </c>
      <c r="F26" s="5" t="n"/>
    </row>
    <row r="27">
      <c r="A27" s="5" t="inlineStr">
        <is>
          <t>Tare Suites Urla</t>
        </is>
      </c>
      <c r="B27" s="9" t="inlineStr">
        <is>
          <t>202</t>
        </is>
      </c>
      <c r="C27" s="5" t="n">
        <v>2</v>
      </c>
      <c r="D27" s="5" t="inlineStr">
        <is>
          <t>EDR</t>
        </is>
      </c>
      <c r="E27" s="5" t="inlineStr">
        <is>
          <t>Evet</t>
        </is>
      </c>
      <c r="F27" s="5" t="n"/>
    </row>
    <row r="28">
      <c r="A28" s="5" t="inlineStr">
        <is>
          <t>Tare Suites Urla</t>
        </is>
      </c>
      <c r="B28" s="9" t="inlineStr">
        <is>
          <t>203</t>
        </is>
      </c>
      <c r="C28" s="5" t="n">
        <v>2</v>
      </c>
      <c r="D28" s="5" t="inlineStr">
        <is>
          <t>EXSB</t>
        </is>
      </c>
      <c r="E28" s="5" t="inlineStr">
        <is>
          <t>Evet</t>
        </is>
      </c>
      <c r="F28" s="5" t="n"/>
    </row>
    <row r="29">
      <c r="A29" s="5" t="inlineStr">
        <is>
          <t>Tare Suites Urla</t>
        </is>
      </c>
      <c r="B29" s="9" t="inlineStr">
        <is>
          <t>204</t>
        </is>
      </c>
      <c r="C29" s="5" t="n">
        <v>2</v>
      </c>
      <c r="D29" s="5" t="inlineStr">
        <is>
          <t>DS</t>
        </is>
      </c>
      <c r="E29" s="5" t="inlineStr">
        <is>
          <t>Evet</t>
        </is>
      </c>
      <c r="F29" s="5" t="n"/>
    </row>
    <row r="30">
      <c r="A30" s="5" t="inlineStr">
        <is>
          <t>Tare Suites Urla</t>
        </is>
      </c>
      <c r="B30" s="9" t="inlineStr">
        <is>
          <t>301</t>
        </is>
      </c>
      <c r="C30" s="5" t="n">
        <v>3</v>
      </c>
      <c r="D30" s="5" t="inlineStr">
        <is>
          <t>DSSW</t>
        </is>
      </c>
      <c r="E30" s="5" t="inlineStr">
        <is>
          <t>Evet</t>
        </is>
      </c>
      <c r="F30" s="5" t="n"/>
    </row>
    <row r="31">
      <c r="A31" s="5" t="inlineStr">
        <is>
          <t>Tare Suites Urla</t>
        </is>
      </c>
      <c r="B31" s="9" t="inlineStr">
        <is>
          <t>302</t>
        </is>
      </c>
      <c r="C31" s="5" t="n">
        <v>3</v>
      </c>
      <c r="D31" s="5" t="inlineStr">
        <is>
          <t>EXSB</t>
        </is>
      </c>
      <c r="E31" s="5" t="inlineStr">
        <is>
          <t>Evet</t>
        </is>
      </c>
      <c r="F31" s="5" t="n"/>
    </row>
    <row r="32">
      <c r="A32" s="5" t="inlineStr">
        <is>
          <t>Tare Suites Urla</t>
        </is>
      </c>
      <c r="B32" s="9" t="inlineStr">
        <is>
          <t>303</t>
        </is>
      </c>
      <c r="C32" s="5" t="n">
        <v>3</v>
      </c>
      <c r="D32" s="5" t="inlineStr">
        <is>
          <t>DFS</t>
        </is>
      </c>
      <c r="E32" s="5" t="inlineStr">
        <is>
          <t>Evet</t>
        </is>
      </c>
      <c r="F32" s="5" t="n"/>
    </row>
    <row r="33">
      <c r="A33" s="5" t="inlineStr">
        <is>
          <t>Tare Suites Urla</t>
        </is>
      </c>
      <c r="B33" s="9" t="inlineStr">
        <is>
          <t>304</t>
        </is>
      </c>
      <c r="C33" s="5" t="n">
        <v>3</v>
      </c>
      <c r="D33" s="5" t="inlineStr">
        <is>
          <t>DS</t>
        </is>
      </c>
      <c r="E33" s="5" t="inlineStr">
        <is>
          <t>Evet</t>
        </is>
      </c>
      <c r="F33" s="5" t="n"/>
    </row>
    <row r="34">
      <c r="A34" s="5" t="inlineStr">
        <is>
          <t>Tare Village Urla</t>
        </is>
      </c>
      <c r="B34" s="9" t="inlineStr">
        <is>
          <t>101</t>
        </is>
      </c>
      <c r="C34" s="5" t="n">
        <v>1</v>
      </c>
      <c r="D34" s="5" t="inlineStr">
        <is>
          <t>VGS</t>
        </is>
      </c>
      <c r="E34" s="5" t="inlineStr">
        <is>
          <t>Evet</t>
        </is>
      </c>
      <c r="F34" s="5" t="inlineStr">
        <is>
          <t>Eski kod V1</t>
        </is>
      </c>
    </row>
    <row r="35">
      <c r="A35" s="5" t="inlineStr">
        <is>
          <t>Tare Village Urla</t>
        </is>
      </c>
      <c r="B35" s="9" t="inlineStr">
        <is>
          <t>201</t>
        </is>
      </c>
      <c r="C35" s="5" t="n">
        <v>2</v>
      </c>
      <c r="D35" s="5" t="inlineStr">
        <is>
          <t>VBS</t>
        </is>
      </c>
      <c r="E35" s="5" t="inlineStr">
        <is>
          <t>Evet</t>
        </is>
      </c>
      <c r="F35" s="5" t="inlineStr">
        <is>
          <t>Eski kod V2</t>
        </is>
      </c>
    </row>
    <row r="36">
      <c r="A36" s="5" t="inlineStr">
        <is>
          <t>Tare Village Urla</t>
        </is>
      </c>
      <c r="B36" s="9" t="inlineStr">
        <is>
          <t>202</t>
        </is>
      </c>
      <c r="C36" s="5" t="n">
        <v>2</v>
      </c>
      <c r="D36" s="5" t="inlineStr">
        <is>
          <t>VSS</t>
        </is>
      </c>
      <c r="E36" s="5" t="inlineStr">
        <is>
          <t>Evet</t>
        </is>
      </c>
      <c r="F36" s="5" t="inlineStr">
        <is>
          <t>Eski kod V3</t>
        </is>
      </c>
    </row>
    <row r="37">
      <c r="A37" s="5" t="inlineStr">
        <is>
          <t>Tare Village Urla</t>
        </is>
      </c>
      <c r="B37" s="9" t="inlineStr">
        <is>
          <t>301</t>
        </is>
      </c>
      <c r="C37" s="5" t="n">
        <v>3</v>
      </c>
      <c r="D37" s="5" t="inlineStr">
        <is>
          <t>VTS</t>
        </is>
      </c>
      <c r="E37" s="5" t="inlineStr">
        <is>
          <t>Evet</t>
        </is>
      </c>
      <c r="F37" s="5" t="inlineStr">
        <is>
          <t>Eski kod V4</t>
        </is>
      </c>
    </row>
    <row r="38">
      <c r="A38" s="5" t="inlineStr">
        <is>
          <t>Tiny Houses</t>
        </is>
      </c>
      <c r="B38" s="9" t="inlineStr">
        <is>
          <t>T1</t>
        </is>
      </c>
      <c r="C38" s="5" t="n">
        <v>1</v>
      </c>
      <c r="D38" s="5" t="inlineStr">
        <is>
          <t>TNY</t>
        </is>
      </c>
      <c r="E38" s="5" t="inlineStr">
        <is>
          <t>Evet</t>
        </is>
      </c>
      <c r="F38" s="5" t="n"/>
    </row>
    <row r="39">
      <c r="A39" s="5" t="inlineStr">
        <is>
          <t>Tiny Houses</t>
        </is>
      </c>
      <c r="B39" s="9" t="inlineStr">
        <is>
          <t>T2</t>
        </is>
      </c>
      <c r="C39" s="5" t="n">
        <v>1</v>
      </c>
      <c r="D39" s="5" t="inlineStr">
        <is>
          <t>TNY</t>
        </is>
      </c>
      <c r="E39" s="5" t="inlineStr">
        <is>
          <t>Evet</t>
        </is>
      </c>
      <c r="F39" s="5" t="n"/>
    </row>
    <row r="40">
      <c r="A40" s="5" t="inlineStr">
        <is>
          <t>Tiny Houses</t>
        </is>
      </c>
      <c r="B40" s="9" t="inlineStr">
        <is>
          <t>T3</t>
        </is>
      </c>
      <c r="C40" s="5" t="n">
        <v>1</v>
      </c>
      <c r="D40" s="5" t="inlineStr">
        <is>
          <t>TNY</t>
        </is>
      </c>
      <c r="E40" s="5" t="inlineStr">
        <is>
          <t>Evet</t>
        </is>
      </c>
      <c r="F40" s="5" t="n"/>
    </row>
    <row r="41">
      <c r="A41" s="5" t="inlineStr">
        <is>
          <t>Tiny Houses</t>
        </is>
      </c>
      <c r="B41" s="9" t="inlineStr">
        <is>
          <t>T4</t>
        </is>
      </c>
      <c r="C41" s="5" t="n">
        <v>1</v>
      </c>
      <c r="D41" s="5" t="inlineStr">
        <is>
          <t>TNY</t>
        </is>
      </c>
      <c r="E41" s="5" t="inlineStr">
        <is>
          <t>Evet</t>
        </is>
      </c>
      <c r="F41" s="5" t="n"/>
    </row>
  </sheetData>
  <dataValidations count="1">
    <dataValidation sqref="E2:E200" showDropDown="0" showInputMessage="0" showErrorMessage="0" allowBlank="1" type="list">
      <formula1>"Evet,Hayır"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Oteller!$A$2:$A$30</xm:f>
          </x14:formula1>
          <xm:sqref>A2:A200</xm:sqref>
        </x14:dataValidation>
        <x14:dataValidation type="list" allowBlank="1">
          <x14:formula1>
            <xm:f>'Oda Tipleri'!$A$2:$A$40</xm:f>
          </x14:formula1>
          <xm:sqref>D2:D200</xm:sqref>
        </x14:dataValidation>
      </x14:dataValidation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6" customWidth="1" min="2" max="2"/>
    <col width="9" customWidth="1" min="3" max="3"/>
    <col width="26" customWidth="1" min="4" max="4"/>
    <col width="50" customWidth="1" min="5" max="5"/>
    <col width="55" customWidth="1" min="6" max="6"/>
    <col width="8" customWidth="1" min="7" max="7"/>
    <col width="11" customWidth="1" min="8" max="8"/>
    <col width="8" customWidth="1" min="9" max="10"/>
  </cols>
  <sheetData>
    <row r="1" ht="30" customHeight="1">
      <c r="A1" s="4" t="inlineStr">
        <is>
          <t>Oda Tipi Kodu</t>
        </is>
      </c>
      <c r="B1" s="4" t="inlineStr">
        <is>
          <t>Sıra</t>
        </is>
      </c>
      <c r="C1" s="4" t="inlineStr">
        <is>
          <t>Bölge</t>
        </is>
      </c>
      <c r="D1" s="4" t="inlineStr">
        <is>
          <t>Adım Adı</t>
        </is>
      </c>
      <c r="E1" s="4" t="inlineStr">
        <is>
          <t>Çekim Talimatı</t>
        </is>
      </c>
      <c r="F1" s="4" t="inlineStr">
        <is>
          <t>Kontrol Maddeleri (her satır bir madde)</t>
        </is>
      </c>
      <c r="G1" s="4" t="inlineStr">
        <is>
          <t>Çıkışta</t>
        </is>
      </c>
      <c r="H1" s="4" t="inlineStr">
        <is>
          <t>Konaklamada</t>
        </is>
      </c>
      <c r="I1" s="4" t="inlineStr">
        <is>
          <t>Fener Gerekli</t>
        </is>
      </c>
      <c r="J1" s="4" t="inlineStr">
        <is>
          <t>Zorunlu</t>
        </is>
      </c>
      <c r="K1" s="4" t="inlineStr">
        <is>
          <t>Kare Sayısı</t>
        </is>
      </c>
      <c r="L1" s="4" t="inlineStr">
        <is>
          <t>AI Talimatı</t>
        </is>
      </c>
    </row>
    <row r="2" ht="52.8" customHeight="1">
      <c r="A2" s="5" t="inlineStr">
        <is>
          <t>X3</t>
        </is>
      </c>
      <c r="B2" s="5" t="n">
        <v>1</v>
      </c>
      <c r="C2" s="5" t="inlineStr">
        <is>
          <t>Giriş</t>
        </is>
      </c>
      <c r="D2" s="5" t="inlineStr">
        <is>
          <t>Giriş ve koridor</t>
        </is>
      </c>
      <c r="E2" s="5" t="inlineStr">
        <is>
          <t>Kapıdan girip koridoru ve kemeri tek karede çek. Aplikler açık olsun.</t>
        </is>
      </c>
      <c r="F2" s="5" t="inlineStr">
        <is>
          <t>Kapı ve şifreli kilit (TTLock) çalışıyor, pil uyarısı yok
Süpürgelik ve duvar dipleri tozsuz
Koridor aplikleri yanıyor
Zeminde leke, saç, kum yok</t>
        </is>
      </c>
      <c r="G2" s="5" t="inlineStr">
        <is>
          <t>Evet</t>
        </is>
      </c>
      <c r="H2" s="5" t="inlineStr">
        <is>
          <t>Evet</t>
        </is>
      </c>
      <c r="I2" s="5" t="inlineStr">
        <is>
          <t>Hayır</t>
        </is>
      </c>
      <c r="J2" s="5" t="inlineStr">
        <is>
          <t>Evet</t>
        </is>
      </c>
    </row>
    <row r="3" ht="79.2" customHeight="1">
      <c r="A3" s="5" t="inlineStr">
        <is>
          <t>X3</t>
        </is>
      </c>
      <c r="B3" s="5" t="n">
        <v>2</v>
      </c>
      <c r="C3" s="5" t="inlineStr">
        <is>
          <t>Banyo</t>
        </is>
      </c>
      <c r="D3" s="5" t="inlineStr">
        <is>
          <t>Lavabo ve tezgah</t>
        </is>
      </c>
      <c r="E3" s="5" t="inlineStr">
        <is>
          <t>Lavabo, batarya, ayna ve tezgah altı rafı aynı karede olacak şekilde çek.</t>
        </is>
      </c>
      <c r="F3" s="5" t="inlineStr">
        <is>
          <t>Lavabo içi ve gider temiz
Batarya parlak, su lekesi yok
Sıvı sabun dolu
Ayna lekesiz, ışığı yanıyor
Raftaki havlular katlı ve tam
El havlusu halkada</t>
        </is>
      </c>
      <c r="G3" s="5" t="inlineStr">
        <is>
          <t>Evet</t>
        </is>
      </c>
      <c r="H3" s="5" t="inlineStr">
        <is>
          <t>Evet</t>
        </is>
      </c>
      <c r="I3" s="5" t="inlineStr">
        <is>
          <t>Hayır</t>
        </is>
      </c>
      <c r="J3" s="5" t="inlineStr">
        <is>
          <t>Evet</t>
        </is>
      </c>
    </row>
    <row r="4" ht="66" customHeight="1">
      <c r="A4" s="5" t="inlineStr">
        <is>
          <t>X3</t>
        </is>
      </c>
      <c r="B4" s="5" t="n">
        <v>3</v>
      </c>
      <c r="C4" s="5" t="inlineStr">
        <is>
          <t>Banyo</t>
        </is>
      </c>
      <c r="D4" s="5" t="inlineStr">
        <is>
          <t>WC</t>
        </is>
      </c>
      <c r="E4" s="5" t="inlineStr">
        <is>
          <t>Klozet kapağı açık, tuvalet kağıdı ve yedek rulo görünecek şekilde çek.</t>
        </is>
      </c>
      <c r="F4" s="5" t="inlineStr">
        <is>
          <t>Klozet içi, kapak altı ve dış yüzey temiz
Rezervuar paneli parmak izsiz
WC fırçası temiz
Tuvalet kağıdı takılı + yedek rulo
Çöp kovası boş, poşet yeni</t>
        </is>
      </c>
      <c r="G4" s="5" t="inlineStr">
        <is>
          <t>Evet</t>
        </is>
      </c>
      <c r="H4" s="5" t="inlineStr">
        <is>
          <t>Evet</t>
        </is>
      </c>
      <c r="I4" s="5" t="inlineStr">
        <is>
          <t>Hayır</t>
        </is>
      </c>
      <c r="J4" s="5" t="inlineStr">
        <is>
          <t>Evet</t>
        </is>
      </c>
    </row>
    <row r="5" ht="66" customHeight="1">
      <c r="A5" s="5" t="inlineStr">
        <is>
          <t>X3</t>
        </is>
      </c>
      <c r="B5" s="5" t="n">
        <v>4</v>
      </c>
      <c r="C5" s="5" t="inlineStr">
        <is>
          <t>Banyo</t>
        </is>
      </c>
      <c r="D5" s="5" t="inlineStr">
        <is>
          <t>Duş</t>
        </is>
      </c>
      <c r="E5" s="5" t="inlineStr">
        <is>
          <t>Cam kapıyı ışığa karşı çek (kireç böyle görünür), sonra dispenserleri ve gideri göster.</t>
        </is>
      </c>
      <c r="F5" s="5" t="inlineStr">
        <is>
          <t>Cam kapıda kireç ve su lekesi yok
Duş seti askıda
3 dispenser dolu
Duş sepeti boş
Giderde saç yok</t>
        </is>
      </c>
      <c r="G5" s="5" t="inlineStr">
        <is>
          <t>Evet</t>
        </is>
      </c>
      <c r="H5" s="5" t="inlineStr">
        <is>
          <t>Evet</t>
        </is>
      </c>
      <c r="I5" s="5" t="inlineStr">
        <is>
          <t>Hayır</t>
        </is>
      </c>
      <c r="J5" s="5" t="inlineStr">
        <is>
          <t>Evet</t>
        </is>
      </c>
    </row>
    <row r="6" ht="52.8" customHeight="1">
      <c r="A6" s="5" t="inlineStr">
        <is>
          <t>X3</t>
        </is>
      </c>
      <c r="B6" s="5" t="n">
        <v>5</v>
      </c>
      <c r="C6" s="5" t="inlineStr">
        <is>
          <t>Oda</t>
        </is>
      </c>
      <c r="D6" s="5" t="inlineStr">
        <is>
          <t>Gardırop</t>
        </is>
      </c>
      <c r="E6" s="5" t="inlineStr">
        <is>
          <t>İki kapağı da aç, askıları ve üst rafı tek karede çek.</t>
        </is>
      </c>
      <c r="F6" s="5" t="inlineStr">
        <is>
          <t>Askı sayısı tam
Üst rafta yedek battaniye katlı
Tabanda unutulmuş eşya yok
Alttaki kutu yerinde</t>
        </is>
      </c>
      <c r="G6" s="5" t="inlineStr">
        <is>
          <t>Evet</t>
        </is>
      </c>
      <c r="H6" s="5" t="inlineStr">
        <is>
          <t>Hayır</t>
        </is>
      </c>
      <c r="I6" s="5" t="inlineStr">
        <is>
          <t>Evet</t>
        </is>
      </c>
      <c r="J6" s="5" t="inlineStr">
        <is>
          <t>Evet</t>
        </is>
      </c>
    </row>
    <row r="7" ht="92.40000000000001" customHeight="1">
      <c r="A7" s="5" t="inlineStr">
        <is>
          <t>X3</t>
        </is>
      </c>
      <c r="B7" s="5" t="n">
        <v>6</v>
      </c>
      <c r="C7" s="5" t="inlineStr">
        <is>
          <t>Mutfak</t>
        </is>
      </c>
      <c r="D7" s="5" t="inlineStr">
        <is>
          <t>Mutfak tezgahı</t>
        </is>
      </c>
      <c r="E7" s="5" t="inlineStr">
        <is>
          <t>Ocak, evye, kettle ve bulaşıklık tek karede olacak şekilde tezgahın karşısından çek.</t>
        </is>
      </c>
      <c r="F7" s="5" t="inlineStr">
        <is>
          <t>Ocak camı temiz
Evye ve batarya temiz
Fırça + sünger temiz
Bulaşıklık boş ve kuru
Kettle boş, kablosu toplanmış
Yağ ve tuz-biber-kürdan dolu
Asma çöp kovası boş</t>
        </is>
      </c>
      <c r="G7" s="5" t="inlineStr">
        <is>
          <t>Evet</t>
        </is>
      </c>
      <c r="H7" s="5" t="inlineStr">
        <is>
          <t>Evet</t>
        </is>
      </c>
      <c r="I7" s="5" t="inlineStr">
        <is>
          <t>Hayır</t>
        </is>
      </c>
      <c r="J7" s="5" t="inlineStr">
        <is>
          <t>Evet</t>
        </is>
      </c>
    </row>
    <row r="8" ht="52.8" customHeight="1">
      <c r="A8" s="5" t="inlineStr">
        <is>
          <t>X3</t>
        </is>
      </c>
      <c r="B8" s="5" t="n">
        <v>7</v>
      </c>
      <c r="C8" s="5" t="inlineStr">
        <is>
          <t>Mutfak</t>
        </is>
      </c>
      <c r="D8" s="5" t="inlineStr">
        <is>
          <t>Çekmece 1: çatal-bıçak</t>
        </is>
      </c>
      <c r="E8" s="5" t="inlineStr">
        <is>
          <t>Çekmeceyi tamamen aç, feneri aç, tam üstten çek. Çatal-bıçaklar üst üste binmesin.</t>
        </is>
      </c>
      <c r="F8" s="5" t="inlineStr">
        <is>
          <t>Çatal, kaşık, bıçak, çay kaşığı tam
Şarap açacağı yerinde
Setten olmayan parça yok
Kaşıklık altı kırıntısız</t>
        </is>
      </c>
      <c r="G8" s="5" t="inlineStr">
        <is>
          <t>Evet</t>
        </is>
      </c>
      <c r="H8" s="5" t="inlineStr">
        <is>
          <t>Hayır</t>
        </is>
      </c>
      <c r="I8" s="5" t="inlineStr">
        <is>
          <t>Evet</t>
        </is>
      </c>
      <c r="J8" s="5" t="inlineStr">
        <is>
          <t>Evet</t>
        </is>
      </c>
    </row>
    <row r="9" ht="26.4" customHeight="1">
      <c r="A9" s="5" t="inlineStr">
        <is>
          <t>X3</t>
        </is>
      </c>
      <c r="B9" s="5" t="n">
        <v>8</v>
      </c>
      <c r="C9" s="5" t="inlineStr">
        <is>
          <t>Mutfak</t>
        </is>
      </c>
      <c r="D9" s="5" t="inlineStr">
        <is>
          <t>Çekmece 2: servis gereçleri</t>
        </is>
      </c>
      <c r="E9" s="5" t="inlineStr">
        <is>
          <t>Çekmeceyi tamamen aç, feneri aç, üstten çek.</t>
        </is>
      </c>
      <c r="F9" s="5" t="inlineStr">
        <is>
          <t>4 silikon servis gereci
Çekmece içi kırıntısız</t>
        </is>
      </c>
      <c r="G9" s="5" t="inlineStr">
        <is>
          <t>Evet</t>
        </is>
      </c>
      <c r="H9" s="5" t="inlineStr">
        <is>
          <t>Hayır</t>
        </is>
      </c>
      <c r="I9" s="5" t="inlineStr">
        <is>
          <t>Evet</t>
        </is>
      </c>
      <c r="J9" s="5" t="inlineStr">
        <is>
          <t>Evet</t>
        </is>
      </c>
    </row>
    <row r="10" ht="26.4" customHeight="1">
      <c r="A10" s="5" t="inlineStr">
        <is>
          <t>X3</t>
        </is>
      </c>
      <c r="B10" s="5" t="n">
        <v>9</v>
      </c>
      <c r="C10" s="5" t="inlineStr">
        <is>
          <t>Mutfak</t>
        </is>
      </c>
      <c r="D10" s="5" t="inlineStr">
        <is>
          <t>Çekmece 3: bıçak seti</t>
        </is>
      </c>
      <c r="E10" s="5" t="inlineStr">
        <is>
          <t>Çekmeceyi tamamen aç, bıçak seti ve kesme tahtası görünsün.</t>
        </is>
      </c>
      <c r="F10" s="5" t="inlineStr">
        <is>
          <t>Bıçak seti tam
Kesme tahtası temiz</t>
        </is>
      </c>
      <c r="G10" s="5" t="inlineStr">
        <is>
          <t>Evet</t>
        </is>
      </c>
      <c r="H10" s="5" t="inlineStr">
        <is>
          <t>Hayır</t>
        </is>
      </c>
      <c r="I10" s="5" t="inlineStr">
        <is>
          <t>Evet</t>
        </is>
      </c>
      <c r="J10" s="5" t="inlineStr">
        <is>
          <t>Evet</t>
        </is>
      </c>
    </row>
    <row r="11" ht="39.6" customHeight="1">
      <c r="A11" s="5" t="inlineStr">
        <is>
          <t>X3</t>
        </is>
      </c>
      <c r="B11" s="5" t="n">
        <v>10</v>
      </c>
      <c r="C11" s="5" t="inlineStr">
        <is>
          <t>Mutfak</t>
        </is>
      </c>
      <c r="D11" s="5" t="inlineStr">
        <is>
          <t>Üst dolap: bardak ve kupa</t>
        </is>
      </c>
      <c r="E11" s="5" t="inlineStr">
        <is>
          <t>Kapağı aç, feneri aç. Bardakları üst üste değil yan yana dizip önden çek.</t>
        </is>
      </c>
      <c r="F11" s="5" t="inlineStr">
        <is>
          <t>Kadeh, bardak, kupa sayısı tam
Bardaklarda su lekesi yok
Kupalarda çay/kahve izi yok</t>
        </is>
      </c>
      <c r="G11" s="5" t="inlineStr">
        <is>
          <t>Evet</t>
        </is>
      </c>
      <c r="H11" s="5" t="inlineStr">
        <is>
          <t>Hayır</t>
        </is>
      </c>
      <c r="I11" s="5" t="inlineStr">
        <is>
          <t>Evet</t>
        </is>
      </c>
      <c r="J11" s="5" t="inlineStr">
        <is>
          <t>Evet</t>
        </is>
      </c>
    </row>
    <row r="12" ht="52.8" customHeight="1">
      <c r="A12" s="5" t="inlineStr">
        <is>
          <t>X3</t>
        </is>
      </c>
      <c r="B12" s="5" t="n">
        <v>11</v>
      </c>
      <c r="C12" s="5" t="inlineStr">
        <is>
          <t>Mutfak</t>
        </is>
      </c>
      <c r="D12" s="5" t="inlineStr">
        <is>
          <t>Evye altı: tencere-tava</t>
        </is>
      </c>
      <c r="E12" s="5" t="inlineStr">
        <is>
          <t>Kapağı aç, feneri aç, iki rafı da görecek şekilde çek.</t>
        </is>
      </c>
      <c r="F12" s="5" t="inlineStr">
        <is>
          <t>Tava ve tencereler kapaklarıyla tam
Tava içi temiz
Nihale yerinde
Sifonda sızıntı yok</t>
        </is>
      </c>
      <c r="G12" s="5" t="inlineStr">
        <is>
          <t>Evet</t>
        </is>
      </c>
      <c r="H12" s="5" t="inlineStr">
        <is>
          <t>Hayır</t>
        </is>
      </c>
      <c r="I12" s="5" t="inlineStr">
        <is>
          <t>Evet</t>
        </is>
      </c>
      <c r="J12" s="5" t="inlineStr">
        <is>
          <t>Evet</t>
        </is>
      </c>
    </row>
    <row r="13" ht="39.6" customHeight="1">
      <c r="A13" s="5" t="inlineStr">
        <is>
          <t>X3</t>
        </is>
      </c>
      <c r="B13" s="5" t="n">
        <v>12</v>
      </c>
      <c r="C13" s="5" t="inlineStr">
        <is>
          <t>Mutfak</t>
        </is>
      </c>
      <c r="D13" s="5" t="inlineStr">
        <is>
          <t>TV ünitesi alt dolap: tabaklar</t>
        </is>
      </c>
      <c r="E13" s="5" t="inlineStr">
        <is>
          <t>İki kapağı da aç. Tabak yığınlarını önden/yandan çek ki tek tek sayılabilsin.</t>
        </is>
      </c>
      <c r="F13" s="5" t="inlineStr">
        <is>
          <t>4'lü tabak ve kase setleri tam
Kağıt havlu standı ve rulo var
Tabaklarda iz veya çatlak yok</t>
        </is>
      </c>
      <c r="G13" s="5" t="inlineStr">
        <is>
          <t>Evet</t>
        </is>
      </c>
      <c r="H13" s="5" t="inlineStr">
        <is>
          <t>Hayır</t>
        </is>
      </c>
      <c r="I13" s="5" t="inlineStr">
        <is>
          <t>Evet</t>
        </is>
      </c>
      <c r="J13" s="5" t="inlineStr">
        <is>
          <t>Evet</t>
        </is>
      </c>
    </row>
    <row r="14" ht="39.6" customHeight="1">
      <c r="A14" s="5" t="inlineStr">
        <is>
          <t>X3</t>
        </is>
      </c>
      <c r="B14" s="5" t="n">
        <v>13</v>
      </c>
      <c r="C14" s="5" t="inlineStr">
        <is>
          <t>Mutfak</t>
        </is>
      </c>
      <c r="D14" s="5" t="inlineStr">
        <is>
          <t>Mini buzdolabı</t>
        </is>
      </c>
      <c r="E14" s="5" t="inlineStr">
        <is>
          <t>Kapağı tamamen aç, içi ve kapak rafları görünsün.</t>
        </is>
      </c>
      <c r="F14" s="5" t="inlineStr">
        <is>
          <t>Raflar temiz
Minibar standardına uygun
Koku ve buzlanma yok</t>
        </is>
      </c>
      <c r="G14" s="5" t="inlineStr">
        <is>
          <t>Evet</t>
        </is>
      </c>
      <c r="H14" s="5" t="inlineStr">
        <is>
          <t>Hayır</t>
        </is>
      </c>
      <c r="I14" s="5" t="inlineStr">
        <is>
          <t>Hayır</t>
        </is>
      </c>
      <c r="J14" s="5" t="inlineStr">
        <is>
          <t>Evet</t>
        </is>
      </c>
    </row>
    <row r="15" ht="26.4" customHeight="1">
      <c r="A15" s="5" t="inlineStr">
        <is>
          <t>X3</t>
        </is>
      </c>
      <c r="B15" s="5" t="n">
        <v>14</v>
      </c>
      <c r="C15" s="5" t="inlineStr">
        <is>
          <t>Oda</t>
        </is>
      </c>
      <c r="D15" s="5" t="inlineStr">
        <is>
          <t>TV ve ünite</t>
        </is>
      </c>
      <c r="E15" s="5" t="inlineStr">
        <is>
          <t>TV ve ünite raflarını önden çek.</t>
        </is>
      </c>
      <c r="F15" s="5" t="inlineStr">
        <is>
          <t>TV ekranı tozsuz
Ünite rafları tozsuz</t>
        </is>
      </c>
      <c r="G15" s="5" t="inlineStr">
        <is>
          <t>Evet</t>
        </is>
      </c>
      <c r="H15" s="5" t="inlineStr">
        <is>
          <t>Evet</t>
        </is>
      </c>
      <c r="I15" s="5" t="inlineStr">
        <is>
          <t>Hayır</t>
        </is>
      </c>
      <c r="J15" s="5" t="inlineStr">
        <is>
          <t>Evet</t>
        </is>
      </c>
    </row>
    <row r="16" ht="66" customHeight="1">
      <c r="A16" s="5" t="inlineStr">
        <is>
          <t>X3</t>
        </is>
      </c>
      <c r="B16" s="5" t="n">
        <v>15</v>
      </c>
      <c r="C16" s="5" t="inlineStr">
        <is>
          <t>Oda</t>
        </is>
      </c>
      <c r="D16" s="5" t="inlineStr">
        <is>
          <t>Yatak ve komodinler</t>
        </is>
      </c>
      <c r="E16" s="5" t="inlineStr">
        <is>
          <t>Önce yatağı ayak ucundan tam çek, sonra her iki yan kenarı ve yatak altını çek.</t>
        </is>
      </c>
      <c r="F16" s="5" t="inlineStr">
        <is>
          <t>Çarşaf dört köşeden gergin ve sıkıştırılmış
Yastıklar tam, kılıflar lekesiz
Yatak altında eşya/toz yok
Komodin çekmeceleri boş
Prizler ve aplikler çalışıyor</t>
        </is>
      </c>
      <c r="G16" s="5" t="inlineStr">
        <is>
          <t>Evet</t>
        </is>
      </c>
      <c r="H16" s="5" t="inlineStr">
        <is>
          <t>Evet</t>
        </is>
      </c>
      <c r="I16" s="5" t="inlineStr">
        <is>
          <t>Hayır</t>
        </is>
      </c>
      <c r="J16" s="5" t="inlineStr">
        <is>
          <t>Evet</t>
        </is>
      </c>
    </row>
    <row r="17" ht="66" customHeight="1">
      <c r="A17" s="5" t="inlineStr">
        <is>
          <t>X3</t>
        </is>
      </c>
      <c r="B17" s="5" t="n">
        <v>16</v>
      </c>
      <c r="C17" s="5" t="inlineStr">
        <is>
          <t>Oda</t>
        </is>
      </c>
      <c r="D17" s="5" t="inlineStr">
        <is>
          <t>Pencere ve oturma alanı</t>
        </is>
      </c>
      <c r="E17" s="5" t="inlineStr">
        <is>
          <t>Pencereye doğru geniş açıyla çek; masa, iki koltuk, tepsi ve kumandalar görünsün.</t>
        </is>
      </c>
      <c r="F17" s="5" t="inlineStr">
        <is>
          <t>Perde ve tül düzgün
Masa temiz
Koltuklar temiz
İkram tepsisi tam
TV ve klima kumandası yerinde</t>
        </is>
      </c>
      <c r="G17" s="5" t="inlineStr">
        <is>
          <t>Evet</t>
        </is>
      </c>
      <c r="H17" s="5" t="inlineStr">
        <is>
          <t>Evet</t>
        </is>
      </c>
      <c r="I17" s="5" t="inlineStr">
        <is>
          <t>Hayır</t>
        </is>
      </c>
      <c r="J17" s="5" t="inlineStr">
        <is>
          <t>Evet</t>
        </is>
      </c>
    </row>
    <row r="18" ht="66" customHeight="1">
      <c r="A18" s="5" t="inlineStr">
        <is>
          <t>X3</t>
        </is>
      </c>
      <c r="B18" s="5" t="n">
        <v>17</v>
      </c>
      <c r="C18" s="5" t="inlineStr">
        <is>
          <t>Oda</t>
        </is>
      </c>
      <c r="D18" s="5" t="inlineStr">
        <is>
          <t>Genel oda</t>
        </is>
      </c>
      <c r="E18" s="5" t="inlineStr">
        <is>
          <t>Kapı tarafından tüm odayı tek geniş karede çek. Tüm ışıklar açık.</t>
        </is>
      </c>
      <c r="F18" s="5" t="inlineStr">
        <is>
          <t>Klima çalışıyor
Oda çöp kovası boş
Zemin temiz
Duvarda iz/sıyrık yok
Tüm aydınlatma yanıyor</t>
        </is>
      </c>
      <c r="G18" s="5" t="inlineStr">
        <is>
          <t>Evet</t>
        </is>
      </c>
      <c r="H18" s="5" t="inlineStr">
        <is>
          <t>Evet</t>
        </is>
      </c>
      <c r="I18" s="5" t="inlineStr">
        <is>
          <t>Hayır</t>
        </is>
      </c>
      <c r="J18" s="5" t="inlineStr">
        <is>
          <t>Evet</t>
        </is>
      </c>
    </row>
    <row r="19">
      <c r="A19" s="5" t="inlineStr">
        <is>
          <t>X1</t>
        </is>
      </c>
      <c r="B19" s="5" t="n">
        <v>1</v>
      </c>
      <c r="C19" s="5" t="inlineStr">
        <is>
          <t>Giriş</t>
        </is>
      </c>
      <c r="D19" s="5" t="inlineStr">
        <is>
          <t>Giriş ve kapı</t>
        </is>
      </c>
      <c r="E19" s="5" t="inlineStr">
        <is>
          <t>Kapıdan girip girişi ve koridoru tek karede çek. Tüm ışıklar açık olsun.</t>
        </is>
      </c>
      <c r="F19" s="5" t="inlineStr">
        <is>
          <t>Kapı ve şifreli kilit çalışıyor
Süpürgelik ve duvar dipleri tozsuz
Aplikler yanıyor
Zeminde leke, saç, kum yok</t>
        </is>
      </c>
      <c r="G19" s="5" t="inlineStr">
        <is>
          <t>Evet</t>
        </is>
      </c>
      <c r="H19" s="5" t="inlineStr">
        <is>
          <t>Evet</t>
        </is>
      </c>
      <c r="I19" s="5" t="inlineStr">
        <is>
          <t>Hayır</t>
        </is>
      </c>
      <c r="K19" s="5" t="n">
        <v>1</v>
      </c>
      <c r="L19" s="5" t="inlineStr">
        <is>
          <t>Zeminde görünür kir, saç, çöp var mı? Yanmayan lamba var mı? Konaklama kontrolündeysen misafir eşyalarını değerlendirme.</t>
        </is>
      </c>
    </row>
    <row r="20">
      <c r="A20" s="5" t="inlineStr">
        <is>
          <t>X1</t>
        </is>
      </c>
      <c r="B20" s="5" t="n">
        <v>2</v>
      </c>
      <c r="C20" s="5" t="inlineStr">
        <is>
          <t>Banyo</t>
        </is>
      </c>
      <c r="D20" s="5" t="inlineStr">
        <is>
          <t>Lavabo ve ayna</t>
        </is>
      </c>
      <c r="E20" s="5" t="inlineStr">
        <is>
          <t>Lavabo, batarya, ayna ve havlu rafı aynı karede olacak şekilde çek.</t>
        </is>
      </c>
      <c r="F20" s="5" t="inlineStr">
        <is>
          <t>Lavabo içi ve gider temiz
Batarya parlak, su lekesi yok
Sıvı sabun dolu
Ayna lekesiz
Havlular katlı ve tam</t>
        </is>
      </c>
      <c r="G20" s="5" t="inlineStr">
        <is>
          <t>Evet</t>
        </is>
      </c>
      <c r="H20" s="5" t="inlineStr">
        <is>
          <t>Evet</t>
        </is>
      </c>
      <c r="I20" s="5" t="inlineStr">
        <is>
          <t>Hayır</t>
        </is>
      </c>
      <c r="K20" s="5" t="n">
        <v>1</v>
      </c>
      <c r="L20" s="5" t="inlineStr">
        <is>
          <t>Lavaboda kıl, sabun kalıntısı, su lekesi var mı? Aynada leke var mı? Havlular düzgün katlı mı? Konaklama kontrolündeysen misafir eşyalarını değerlendirme.</t>
        </is>
      </c>
    </row>
    <row r="21">
      <c r="A21" s="5" t="inlineStr">
        <is>
          <t>X1</t>
        </is>
      </c>
      <c r="B21" s="5" t="n">
        <v>3</v>
      </c>
      <c r="C21" s="5" t="inlineStr">
        <is>
          <t>Banyo</t>
        </is>
      </c>
      <c r="D21" s="5" t="inlineStr">
        <is>
          <t>WC</t>
        </is>
      </c>
      <c r="E21" s="5" t="inlineStr">
        <is>
          <t>Klozet kapağı açık, tuvalet kağıdı ve yedek rulo görünecek şekilde çek.</t>
        </is>
      </c>
      <c r="F21" s="5" t="inlineStr">
        <is>
          <t>Klozet içi, kapak altı ve dış yüzey temiz
WC fırçası temiz
Tuvalet kağıdı takılı + yedek rulo
Çöp kovası boş, poşet yeni</t>
        </is>
      </c>
      <c r="G21" s="5" t="inlineStr">
        <is>
          <t>Evet</t>
        </is>
      </c>
      <c r="H21" s="5" t="inlineStr">
        <is>
          <t>Evet</t>
        </is>
      </c>
      <c r="I21" s="5" t="inlineStr">
        <is>
          <t>Hayır</t>
        </is>
      </c>
      <c r="K21" s="5" t="n">
        <v>1</v>
      </c>
      <c r="L21" s="5" t="inlineStr">
        <is>
          <t>Klozet içinde veya kapakta leke/kir var mı? Tuvalet kağıdı ve yedek rulo var mı? Çöp kovası boş mu?</t>
        </is>
      </c>
    </row>
    <row r="22">
      <c r="A22" s="5" t="inlineStr">
        <is>
          <t>X1</t>
        </is>
      </c>
      <c r="B22" s="5" t="n">
        <v>4</v>
      </c>
      <c r="C22" s="5" t="inlineStr">
        <is>
          <t>Banyo</t>
        </is>
      </c>
      <c r="D22" s="5" t="inlineStr">
        <is>
          <t>Duş</t>
        </is>
      </c>
      <c r="E22" s="5" t="inlineStr">
        <is>
          <t>Duş camını ışığa karşı çek (kireç böyle görünür); dispenserler ve gider görünsün.</t>
        </is>
      </c>
      <c r="F22" s="5" t="inlineStr">
        <is>
          <t>Camda kireç ve su lekesi yok
Duş seti askıda
Şampuan/duş jeli dolu
Giderde saç yok</t>
        </is>
      </c>
      <c r="G22" s="5" t="inlineStr">
        <is>
          <t>Evet</t>
        </is>
      </c>
      <c r="H22" s="5" t="inlineStr">
        <is>
          <t>Evet</t>
        </is>
      </c>
      <c r="I22" s="5" t="inlineStr">
        <is>
          <t>Hayır</t>
        </is>
      </c>
      <c r="K22" s="5" t="n">
        <v>1</v>
      </c>
      <c r="L22" s="5" t="inlineStr">
        <is>
          <t>Duş camında kireç/su lekesi, giderde saç, zeminde kir var mı? Konaklama kontrolündeysen misafir eşyalarını değerlendirme.</t>
        </is>
      </c>
    </row>
    <row r="23">
      <c r="A23" s="5" t="inlineStr">
        <is>
          <t>X1</t>
        </is>
      </c>
      <c r="B23" s="5" t="n">
        <v>5</v>
      </c>
      <c r="C23" s="5" t="inlineStr">
        <is>
          <t>Oda</t>
        </is>
      </c>
      <c r="D23" s="5" t="inlineStr">
        <is>
          <t>Gardırop</t>
        </is>
      </c>
      <c r="E23" s="5" t="inlineStr">
        <is>
          <t>Kapakları aç, askıları ve rafları tek karede çek. İçerisi karanlıksa feneri aç.</t>
        </is>
      </c>
      <c r="F23" s="5" t="inlineStr">
        <is>
          <t>Askılar tam
Yedek battaniye/yastık katlı
Unutulmuş eşya yok</t>
        </is>
      </c>
      <c r="G23" s="5" t="inlineStr">
        <is>
          <t>Evet</t>
        </is>
      </c>
      <c r="H23" s="5" t="inlineStr">
        <is>
          <t>Hayır</t>
        </is>
      </c>
      <c r="I23" s="5" t="inlineStr">
        <is>
          <t>Evet</t>
        </is>
      </c>
      <c r="K23" s="5" t="n">
        <v>1</v>
      </c>
      <c r="L23" s="5" t="inlineStr">
        <is>
          <t>Gardıropta unutulmuş eşya, çöp var mı? Askılar düzenli mi?</t>
        </is>
      </c>
    </row>
    <row r="24">
      <c r="A24" s="5" t="inlineStr">
        <is>
          <t>X1</t>
        </is>
      </c>
      <c r="B24" s="5" t="n">
        <v>6</v>
      </c>
      <c r="C24" s="5" t="inlineStr">
        <is>
          <t>Mutfak</t>
        </is>
      </c>
      <c r="D24" s="5" t="inlineStr">
        <is>
          <t>Mutfak tezgahı</t>
        </is>
      </c>
      <c r="E24" s="5" t="inlineStr">
        <is>
          <t>Tezgahın karşısından ocak, evye, kettle ve bulaşıklık tek karede olacak şekilde çek.</t>
        </is>
      </c>
      <c r="F24" s="5" t="inlineStr">
        <is>
          <t>Ocak temiz
Evye ve batarya temiz
Sünger ve fırça temiz
Bulaşıklık boş ve kuru
Kettle boş, kablosu toplanmış
Tuz-biber-yağ dolu
Çöp kovası boş</t>
        </is>
      </c>
      <c r="G24" s="5" t="inlineStr">
        <is>
          <t>Evet</t>
        </is>
      </c>
      <c r="H24" s="5" t="inlineStr">
        <is>
          <t>Evet</t>
        </is>
      </c>
      <c r="I24" s="5" t="inlineStr">
        <is>
          <t>Hayır</t>
        </is>
      </c>
      <c r="K24" s="5" t="n">
        <v>1</v>
      </c>
      <c r="L24" s="5" t="inlineStr">
        <is>
          <t>Tezgahta, ocakta, evyede kir, yağ, kırıntı veya bulaşık var mı? Çöp dolu mu? Konaklama kontrolündeysen misafir eşyalarını değerlendirme.</t>
        </is>
      </c>
    </row>
    <row r="25">
      <c r="A25" s="5" t="inlineStr">
        <is>
          <t>X1</t>
        </is>
      </c>
      <c r="B25" s="5" t="n">
        <v>7</v>
      </c>
      <c r="C25" s="5" t="inlineStr">
        <is>
          <t>Mutfak</t>
        </is>
      </c>
      <c r="D25" s="5" t="inlineStr">
        <is>
          <t>Çekmeceler</t>
        </is>
      </c>
      <c r="E25" s="5" t="inlineStr">
        <is>
          <t>Çekmeceleri sırayla aç, feneri aç ve her birini tam üstten çek.</t>
        </is>
      </c>
      <c r="F25" s="5" t="inlineStr">
        <is>
          <t>Çatal, kaşık, bıçak tam
Servis gereçleri yerinde
Çekmece içleri kırıntısız</t>
        </is>
      </c>
      <c r="G25" s="5" t="inlineStr">
        <is>
          <t>Evet</t>
        </is>
      </c>
      <c r="H25" s="5" t="inlineStr">
        <is>
          <t>Hayır</t>
        </is>
      </c>
      <c r="I25" s="5" t="inlineStr">
        <is>
          <t>Evet</t>
        </is>
      </c>
      <c r="K25" s="5" t="n">
        <v>2</v>
      </c>
      <c r="L25" s="5" t="inlineStr">
        <is>
          <t>Çekmece içinde kırıntı, kir, yerinden oynamış eşya var mı?</t>
        </is>
      </c>
    </row>
    <row r="26">
      <c r="A26" s="5" t="inlineStr">
        <is>
          <t>X1</t>
        </is>
      </c>
      <c r="B26" s="5" t="n">
        <v>8</v>
      </c>
      <c r="C26" s="5" t="inlineStr">
        <is>
          <t>Mutfak</t>
        </is>
      </c>
      <c r="D26" s="5" t="inlineStr">
        <is>
          <t>Dolaplar: tabak, bardak, tencere</t>
        </is>
      </c>
      <c r="E26" s="5" t="inlineStr">
        <is>
          <t>Üst ve alt dolapların kapaklarını aç, feneri aç; tabak, bardak ve tencereler görünsün.</t>
        </is>
      </c>
      <c r="F26" s="5" t="inlineStr">
        <is>
          <t>Tabak, kase, bardak, kupa sayısı tam
Bardaklarda su lekesi, kupalarda çay/kahve izi yok
Tencere ve tavalar temiz, kapaklı
Evye altında sızıntı yok</t>
        </is>
      </c>
      <c r="G26" s="5" t="inlineStr">
        <is>
          <t>Evet</t>
        </is>
      </c>
      <c r="H26" s="5" t="inlineStr">
        <is>
          <t>Hayır</t>
        </is>
      </c>
      <c r="I26" s="5" t="inlineStr">
        <is>
          <t>Evet</t>
        </is>
      </c>
      <c r="K26" s="5" t="n">
        <v>2</v>
      </c>
      <c r="L26" s="5" t="inlineStr">
        <is>
          <t>Bardaklarda leke, tabaklarda iz/çatlak, tencerelerde yemek kalıntısı var mı?</t>
        </is>
      </c>
    </row>
    <row r="27">
      <c r="A27" s="5" t="inlineStr">
        <is>
          <t>X1</t>
        </is>
      </c>
      <c r="B27" s="5" t="n">
        <v>9</v>
      </c>
      <c r="C27" s="5" t="inlineStr">
        <is>
          <t>Mutfak</t>
        </is>
      </c>
      <c r="D27" s="5" t="inlineStr">
        <is>
          <t>Buzdolabı</t>
        </is>
      </c>
      <c r="E27" s="5" t="inlineStr">
        <is>
          <t>Kapağı tamamen aç; içi ve kapak rafları görünsün.</t>
        </is>
      </c>
      <c r="F27" s="5" t="inlineStr">
        <is>
          <t>Raflar temiz
Unutulmuş yiyecek yok
Koku ve buzlanma yok</t>
        </is>
      </c>
      <c r="G27" s="5" t="inlineStr">
        <is>
          <t>Evet</t>
        </is>
      </c>
      <c r="H27" s="5" t="inlineStr">
        <is>
          <t>Hayır</t>
        </is>
      </c>
      <c r="I27" s="5" t="inlineStr">
        <is>
          <t>Hayır</t>
        </is>
      </c>
      <c r="K27" s="5" t="n">
        <v>1</v>
      </c>
      <c r="L27" s="5" t="inlineStr">
        <is>
          <t>Buzdolabında yiyecek kalıntısı, leke, buzlanma var mı?</t>
        </is>
      </c>
    </row>
    <row r="28">
      <c r="A28" s="5" t="inlineStr">
        <is>
          <t>X1</t>
        </is>
      </c>
      <c r="B28" s="5" t="n">
        <v>10</v>
      </c>
      <c r="C28" s="5" t="inlineStr">
        <is>
          <t>Oda</t>
        </is>
      </c>
      <c r="D28" s="5" t="inlineStr">
        <is>
          <t>TV ve ünite</t>
        </is>
      </c>
      <c r="E28" s="5" t="inlineStr">
        <is>
          <t>TV ve ünite raflarını önden çek.</t>
        </is>
      </c>
      <c r="F28" s="5" t="inlineStr">
        <is>
          <t>TV ekranı tozsuz
Ünite rafları tozsuz
Kumandalar yerinde</t>
        </is>
      </c>
      <c r="G28" s="5" t="inlineStr">
        <is>
          <t>Evet</t>
        </is>
      </c>
      <c r="H28" s="5" t="inlineStr">
        <is>
          <t>Evet</t>
        </is>
      </c>
      <c r="I28" s="5" t="inlineStr">
        <is>
          <t>Hayır</t>
        </is>
      </c>
      <c r="K28" s="5" t="n">
        <v>1</v>
      </c>
      <c r="L28" s="5" t="inlineStr">
        <is>
          <t>TV ve raflarda toz, leke var mı? Konaklama kontrolündeysen misafir eşyalarını değerlendirme.</t>
        </is>
      </c>
    </row>
    <row r="29">
      <c r="A29" s="5" t="inlineStr">
        <is>
          <t>X1</t>
        </is>
      </c>
      <c r="B29" s="5" t="n">
        <v>11</v>
      </c>
      <c r="C29" s="5" t="inlineStr">
        <is>
          <t>Oda</t>
        </is>
      </c>
      <c r="D29" s="5" t="inlineStr">
        <is>
          <t>Oturma alanı ve masa</t>
        </is>
      </c>
      <c r="E29" s="5" t="inlineStr">
        <is>
          <t>Pencereye doğru geniş açıyla çek; masa, koltuklar ve kanepe görünsün.</t>
        </is>
      </c>
      <c r="F29" s="5" t="inlineStr">
        <is>
          <t>Perde ve tül düzgün
Masa temiz
Koltuk/kanepe temiz, minderler düzgün
Sofa yatak toplanmış</t>
        </is>
      </c>
      <c r="G29" s="5" t="inlineStr">
        <is>
          <t>Evet</t>
        </is>
      </c>
      <c r="H29" s="5" t="inlineStr">
        <is>
          <t>Evet</t>
        </is>
      </c>
      <c r="I29" s="5" t="inlineStr">
        <is>
          <t>Hayır</t>
        </is>
      </c>
      <c r="K29" s="5" t="n">
        <v>1</v>
      </c>
      <c r="L29" s="5" t="inlineStr">
        <is>
          <t>Masada, koltuklarda kir, leke, unutulmuş eşya var mı? Konaklama kontrolündeysen misafir eşyalarını değerlendirme.</t>
        </is>
      </c>
    </row>
    <row r="30">
      <c r="A30" s="5" t="inlineStr">
        <is>
          <t>X1</t>
        </is>
      </c>
      <c r="B30" s="5" t="n">
        <v>12</v>
      </c>
      <c r="C30" s="5" t="inlineStr">
        <is>
          <t>Oda</t>
        </is>
      </c>
      <c r="D30" s="5" t="inlineStr">
        <is>
          <t>Yatak ve komodinler</t>
        </is>
      </c>
      <c r="E30" s="5" t="inlineStr">
        <is>
          <t>Yatağı ayak ucundan tamamı görünecek şekilde çek; ikinci karede yatak altını ve komodinleri çek.</t>
        </is>
      </c>
      <c r="F30" s="5" t="inlineStr">
        <is>
          <t>Çarşaf dört köşeden gergin
Yastıklar tam, kılıflar lekesiz
Yatak altında eşya/toz yok
Komodinler boş ve tozsuz</t>
        </is>
      </c>
      <c r="G30" s="5" t="inlineStr">
        <is>
          <t>Evet</t>
        </is>
      </c>
      <c r="H30" s="5" t="inlineStr">
        <is>
          <t>Evet</t>
        </is>
      </c>
      <c r="I30" s="5" t="inlineStr">
        <is>
          <t>Hayır</t>
        </is>
      </c>
      <c r="K30" s="5" t="n">
        <v>2</v>
      </c>
      <c r="L30" s="5" t="inlineStr">
        <is>
          <t>Çarşafta kırışık, leke, saç var mı? Yastıklar düzgün mü? Yatak altında eşya/toz var mı? Konaklama kontrolündeysen misafir eşyalarını değerlendirme.</t>
        </is>
      </c>
    </row>
    <row r="31">
      <c r="A31" s="5" t="inlineStr">
        <is>
          <t>X1</t>
        </is>
      </c>
      <c r="B31" s="5" t="n">
        <v>13</v>
      </c>
      <c r="C31" s="5" t="inlineStr">
        <is>
          <t>Oda</t>
        </is>
      </c>
      <c r="D31" s="5" t="inlineStr">
        <is>
          <t>Genel oda</t>
        </is>
      </c>
      <c r="E31" s="5" t="inlineStr">
        <is>
          <t>Kapı tarafından tüm odayı tek geniş karede çek. Tüm ışıklar açık.</t>
        </is>
      </c>
      <c r="F31" s="5" t="inlineStr">
        <is>
          <t>Klima çalışıyor
Çöp kovaları boş
Zemin temiz
Duvarda iz yok
Tüm aydınlatma yanıyor</t>
        </is>
      </c>
      <c r="G31" s="5" t="inlineStr">
        <is>
          <t>Evet</t>
        </is>
      </c>
      <c r="H31" s="5" t="inlineStr">
        <is>
          <t>Evet</t>
        </is>
      </c>
      <c r="I31" s="5" t="inlineStr">
        <is>
          <t>Hayır</t>
        </is>
      </c>
      <c r="K31" s="5" t="n">
        <v>1</v>
      </c>
      <c r="L31" s="5" t="inlineStr">
        <is>
          <t>Zeminde kir, çöp; yanmayan lamba; dağınıklık var mı? Konaklama kontrolündeysen misafir eşyalarını değerlendirme.</t>
        </is>
      </c>
    </row>
    <row r="32">
      <c r="A32" s="5" t="inlineStr">
        <is>
          <t>X2</t>
        </is>
      </c>
      <c r="B32" s="5" t="n">
        <v>1</v>
      </c>
      <c r="C32" s="5" t="inlineStr">
        <is>
          <t>Giriş</t>
        </is>
      </c>
      <c r="D32" s="5" t="inlineStr">
        <is>
          <t>Giriş ve kapı</t>
        </is>
      </c>
      <c r="E32" s="5" t="inlineStr">
        <is>
          <t>Kapıdan girip girişi ve koridoru tek karede çek. Tüm ışıklar açık olsun.</t>
        </is>
      </c>
      <c r="F32" s="5" t="inlineStr">
        <is>
          <t>Kapı ve şifreli kilit çalışıyor
Süpürgelik ve duvar dipleri tozsuz
Aplikler yanıyor
Zeminde leke, saç, kum yok</t>
        </is>
      </c>
      <c r="G32" s="5" t="inlineStr">
        <is>
          <t>Evet</t>
        </is>
      </c>
      <c r="H32" s="5" t="inlineStr">
        <is>
          <t>Evet</t>
        </is>
      </c>
      <c r="I32" s="5" t="inlineStr">
        <is>
          <t>Hayır</t>
        </is>
      </c>
      <c r="K32" s="5" t="n">
        <v>1</v>
      </c>
      <c r="L32" s="5" t="inlineStr">
        <is>
          <t>Zeminde görünür kir, saç, çöp var mı? Yanmayan lamba var mı? Konaklama kontrolündeysen misafir eşyalarını değerlendirme.</t>
        </is>
      </c>
    </row>
    <row r="33">
      <c r="A33" s="5" t="inlineStr">
        <is>
          <t>X2</t>
        </is>
      </c>
      <c r="B33" s="5" t="n">
        <v>2</v>
      </c>
      <c r="C33" s="5" t="inlineStr">
        <is>
          <t>Banyo</t>
        </is>
      </c>
      <c r="D33" s="5" t="inlineStr">
        <is>
          <t>Lavabo ve ayna</t>
        </is>
      </c>
      <c r="E33" s="5" t="inlineStr">
        <is>
          <t>Lavabo, batarya, ayna ve havlu rafı aynı karede olacak şekilde çek.</t>
        </is>
      </c>
      <c r="F33" s="5" t="inlineStr">
        <is>
          <t>Lavabo içi ve gider temiz
Batarya parlak, su lekesi yok
Sıvı sabun dolu
Ayna lekesiz
Havlular katlı ve tam</t>
        </is>
      </c>
      <c r="G33" s="5" t="inlineStr">
        <is>
          <t>Evet</t>
        </is>
      </c>
      <c r="H33" s="5" t="inlineStr">
        <is>
          <t>Evet</t>
        </is>
      </c>
      <c r="I33" s="5" t="inlineStr">
        <is>
          <t>Hayır</t>
        </is>
      </c>
      <c r="K33" s="5" t="n">
        <v>1</v>
      </c>
      <c r="L33" s="5" t="inlineStr">
        <is>
          <t>Lavaboda kıl, sabun kalıntısı, su lekesi var mı? Aynada leke var mı? Havlular düzgün katlı mı? Konaklama kontrolündeysen misafir eşyalarını değerlendirme.</t>
        </is>
      </c>
    </row>
    <row r="34">
      <c r="A34" s="5" t="inlineStr">
        <is>
          <t>X2</t>
        </is>
      </c>
      <c r="B34" s="5" t="n">
        <v>3</v>
      </c>
      <c r="C34" s="5" t="inlineStr">
        <is>
          <t>Banyo</t>
        </is>
      </c>
      <c r="D34" s="5" t="inlineStr">
        <is>
          <t>WC</t>
        </is>
      </c>
      <c r="E34" s="5" t="inlineStr">
        <is>
          <t>Klozet kapağı açık, tuvalet kağıdı ve yedek rulo görünecek şekilde çek.</t>
        </is>
      </c>
      <c r="F34" s="5" t="inlineStr">
        <is>
          <t>Klozet içi, kapak altı ve dış yüzey temiz
WC fırçası temiz
Tuvalet kağıdı takılı + yedek rulo
Çöp kovası boş, poşet yeni</t>
        </is>
      </c>
      <c r="G34" s="5" t="inlineStr">
        <is>
          <t>Evet</t>
        </is>
      </c>
      <c r="H34" s="5" t="inlineStr">
        <is>
          <t>Evet</t>
        </is>
      </c>
      <c r="I34" s="5" t="inlineStr">
        <is>
          <t>Hayır</t>
        </is>
      </c>
      <c r="K34" s="5" t="n">
        <v>1</v>
      </c>
      <c r="L34" s="5" t="inlineStr">
        <is>
          <t>Klozet içinde veya kapakta leke/kir var mı? Tuvalet kağıdı ve yedek rulo var mı? Çöp kovası boş mu?</t>
        </is>
      </c>
    </row>
    <row r="35">
      <c r="A35" s="5" t="inlineStr">
        <is>
          <t>X2</t>
        </is>
      </c>
      <c r="B35" s="5" t="n">
        <v>4</v>
      </c>
      <c r="C35" s="5" t="inlineStr">
        <is>
          <t>Banyo</t>
        </is>
      </c>
      <c r="D35" s="5" t="inlineStr">
        <is>
          <t>Duş</t>
        </is>
      </c>
      <c r="E35" s="5" t="inlineStr">
        <is>
          <t>Duş camını ışığa karşı çek (kireç böyle görünür); dispenserler ve gider görünsün.</t>
        </is>
      </c>
      <c r="F35" s="5" t="inlineStr">
        <is>
          <t>Camda kireç ve su lekesi yok
Duş seti askıda
Şampuan/duş jeli dolu
Giderde saç yok</t>
        </is>
      </c>
      <c r="G35" s="5" t="inlineStr">
        <is>
          <t>Evet</t>
        </is>
      </c>
      <c r="H35" s="5" t="inlineStr">
        <is>
          <t>Evet</t>
        </is>
      </c>
      <c r="I35" s="5" t="inlineStr">
        <is>
          <t>Hayır</t>
        </is>
      </c>
      <c r="K35" s="5" t="n">
        <v>1</v>
      </c>
      <c r="L35" s="5" t="inlineStr">
        <is>
          <t>Duş camında kireç/su lekesi, giderde saç, zeminde kir var mı? Konaklama kontrolündeysen misafir eşyalarını değerlendirme.</t>
        </is>
      </c>
    </row>
    <row r="36">
      <c r="A36" s="5" t="inlineStr">
        <is>
          <t>X2</t>
        </is>
      </c>
      <c r="B36" s="5" t="n">
        <v>5</v>
      </c>
      <c r="C36" s="5" t="inlineStr">
        <is>
          <t>Oda</t>
        </is>
      </c>
      <c r="D36" s="5" t="inlineStr">
        <is>
          <t>Gardırop</t>
        </is>
      </c>
      <c r="E36" s="5" t="inlineStr">
        <is>
          <t>Kapakları aç, askıları ve rafları tek karede çek. İçerisi karanlıksa feneri aç.</t>
        </is>
      </c>
      <c r="F36" s="5" t="inlineStr">
        <is>
          <t>Askılar tam
Yedek battaniye/yastık katlı
Unutulmuş eşya yok</t>
        </is>
      </c>
      <c r="G36" s="5" t="inlineStr">
        <is>
          <t>Evet</t>
        </is>
      </c>
      <c r="H36" s="5" t="inlineStr">
        <is>
          <t>Hayır</t>
        </is>
      </c>
      <c r="I36" s="5" t="inlineStr">
        <is>
          <t>Evet</t>
        </is>
      </c>
      <c r="K36" s="5" t="n">
        <v>1</v>
      </c>
      <c r="L36" s="5" t="inlineStr">
        <is>
          <t>Gardıropta unutulmuş eşya, çöp var mı? Askılar düzenli mi?</t>
        </is>
      </c>
    </row>
    <row r="37">
      <c r="A37" s="5" t="inlineStr">
        <is>
          <t>X2</t>
        </is>
      </c>
      <c r="B37" s="5" t="n">
        <v>6</v>
      </c>
      <c r="C37" s="5" t="inlineStr">
        <is>
          <t>Mutfak</t>
        </is>
      </c>
      <c r="D37" s="5" t="inlineStr">
        <is>
          <t>Mutfak tezgahı</t>
        </is>
      </c>
      <c r="E37" s="5" t="inlineStr">
        <is>
          <t>Tezgahın karşısından ocak, evye, kettle ve bulaşıklık tek karede olacak şekilde çek.</t>
        </is>
      </c>
      <c r="F37" s="5" t="inlineStr">
        <is>
          <t>Ocak temiz
Evye ve batarya temiz
Sünger ve fırça temiz
Bulaşıklık boş ve kuru
Kettle boş, kablosu toplanmış
Tuz-biber-yağ dolu
Çöp kovası boş</t>
        </is>
      </c>
      <c r="G37" s="5" t="inlineStr">
        <is>
          <t>Evet</t>
        </is>
      </c>
      <c r="H37" s="5" t="inlineStr">
        <is>
          <t>Evet</t>
        </is>
      </c>
      <c r="I37" s="5" t="inlineStr">
        <is>
          <t>Hayır</t>
        </is>
      </c>
      <c r="K37" s="5" t="n">
        <v>1</v>
      </c>
      <c r="L37" s="5" t="inlineStr">
        <is>
          <t>Tezgahta, ocakta, evyede kir, yağ, kırıntı veya bulaşık var mı? Çöp dolu mu? Konaklama kontrolündeysen misafir eşyalarını değerlendirme.</t>
        </is>
      </c>
    </row>
    <row r="38">
      <c r="A38" s="5" t="inlineStr">
        <is>
          <t>X2</t>
        </is>
      </c>
      <c r="B38" s="5" t="n">
        <v>7</v>
      </c>
      <c r="C38" s="5" t="inlineStr">
        <is>
          <t>Mutfak</t>
        </is>
      </c>
      <c r="D38" s="5" t="inlineStr">
        <is>
          <t>Çekmeceler</t>
        </is>
      </c>
      <c r="E38" s="5" t="inlineStr">
        <is>
          <t>Çekmeceleri sırayla aç, feneri aç ve her birini tam üstten çek.</t>
        </is>
      </c>
      <c r="F38" s="5" t="inlineStr">
        <is>
          <t>Çatal, kaşık, bıçak tam
Servis gereçleri yerinde
Çekmece içleri kırıntısız</t>
        </is>
      </c>
      <c r="G38" s="5" t="inlineStr">
        <is>
          <t>Evet</t>
        </is>
      </c>
      <c r="H38" s="5" t="inlineStr">
        <is>
          <t>Hayır</t>
        </is>
      </c>
      <c r="I38" s="5" t="inlineStr">
        <is>
          <t>Evet</t>
        </is>
      </c>
      <c r="K38" s="5" t="n">
        <v>2</v>
      </c>
      <c r="L38" s="5" t="inlineStr">
        <is>
          <t>Çekmece içinde kırıntı, kir, yerinden oynamış eşya var mı?</t>
        </is>
      </c>
    </row>
    <row r="39">
      <c r="A39" s="5" t="inlineStr">
        <is>
          <t>X2</t>
        </is>
      </c>
      <c r="B39" s="5" t="n">
        <v>8</v>
      </c>
      <c r="C39" s="5" t="inlineStr">
        <is>
          <t>Mutfak</t>
        </is>
      </c>
      <c r="D39" s="5" t="inlineStr">
        <is>
          <t>Dolaplar: tabak, bardak, tencere</t>
        </is>
      </c>
      <c r="E39" s="5" t="inlineStr">
        <is>
          <t>Üst ve alt dolapların kapaklarını aç, feneri aç; tabak, bardak ve tencereler görünsün.</t>
        </is>
      </c>
      <c r="F39" s="5" t="inlineStr">
        <is>
          <t>Tabak, kase, bardak, kupa sayısı tam
Bardaklarda su lekesi, kupalarda çay/kahve izi yok
Tencere ve tavalar temiz, kapaklı
Evye altında sızıntı yok</t>
        </is>
      </c>
      <c r="G39" s="5" t="inlineStr">
        <is>
          <t>Evet</t>
        </is>
      </c>
      <c r="H39" s="5" t="inlineStr">
        <is>
          <t>Hayır</t>
        </is>
      </c>
      <c r="I39" s="5" t="inlineStr">
        <is>
          <t>Evet</t>
        </is>
      </c>
      <c r="K39" s="5" t="n">
        <v>2</v>
      </c>
      <c r="L39" s="5" t="inlineStr">
        <is>
          <t>Bardaklarda leke, tabaklarda iz/çatlak, tencerelerde yemek kalıntısı var mı?</t>
        </is>
      </c>
    </row>
    <row r="40">
      <c r="A40" s="5" t="inlineStr">
        <is>
          <t>X2</t>
        </is>
      </c>
      <c r="B40" s="5" t="n">
        <v>9</v>
      </c>
      <c r="C40" s="5" t="inlineStr">
        <is>
          <t>Mutfak</t>
        </is>
      </c>
      <c r="D40" s="5" t="inlineStr">
        <is>
          <t>Buzdolabı</t>
        </is>
      </c>
      <c r="E40" s="5" t="inlineStr">
        <is>
          <t>Kapağı tamamen aç; içi ve kapak rafları görünsün.</t>
        </is>
      </c>
      <c r="F40" s="5" t="inlineStr">
        <is>
          <t>Raflar temiz
Unutulmuş yiyecek yok
Koku ve buzlanma yok</t>
        </is>
      </c>
      <c r="G40" s="5" t="inlineStr">
        <is>
          <t>Evet</t>
        </is>
      </c>
      <c r="H40" s="5" t="inlineStr">
        <is>
          <t>Hayır</t>
        </is>
      </c>
      <c r="I40" s="5" t="inlineStr">
        <is>
          <t>Hayır</t>
        </is>
      </c>
      <c r="K40" s="5" t="n">
        <v>1</v>
      </c>
      <c r="L40" s="5" t="inlineStr">
        <is>
          <t>Buzdolabında yiyecek kalıntısı, leke, buzlanma var mı?</t>
        </is>
      </c>
    </row>
    <row r="41">
      <c r="A41" s="5" t="inlineStr">
        <is>
          <t>X2</t>
        </is>
      </c>
      <c r="B41" s="5" t="n">
        <v>10</v>
      </c>
      <c r="C41" s="5" t="inlineStr">
        <is>
          <t>Oda</t>
        </is>
      </c>
      <c r="D41" s="5" t="inlineStr">
        <is>
          <t>TV ve ünite</t>
        </is>
      </c>
      <c r="E41" s="5" t="inlineStr">
        <is>
          <t>TV ve ünite raflarını önden çek.</t>
        </is>
      </c>
      <c r="F41" s="5" t="inlineStr">
        <is>
          <t>TV ekranı tozsuz
Ünite rafları tozsuz
Kumandalar yerinde</t>
        </is>
      </c>
      <c r="G41" s="5" t="inlineStr">
        <is>
          <t>Evet</t>
        </is>
      </c>
      <c r="H41" s="5" t="inlineStr">
        <is>
          <t>Evet</t>
        </is>
      </c>
      <c r="I41" s="5" t="inlineStr">
        <is>
          <t>Hayır</t>
        </is>
      </c>
      <c r="K41" s="5" t="n">
        <v>1</v>
      </c>
      <c r="L41" s="5" t="inlineStr">
        <is>
          <t>TV ve raflarda toz, leke var mı? Konaklama kontrolündeysen misafir eşyalarını değerlendirme.</t>
        </is>
      </c>
    </row>
    <row r="42">
      <c r="A42" s="5" t="inlineStr">
        <is>
          <t>X2</t>
        </is>
      </c>
      <c r="B42" s="5" t="n">
        <v>11</v>
      </c>
      <c r="C42" s="5" t="inlineStr">
        <is>
          <t>Oda</t>
        </is>
      </c>
      <c r="D42" s="5" t="inlineStr">
        <is>
          <t>Oturma alanı ve masa</t>
        </is>
      </c>
      <c r="E42" s="5" t="inlineStr">
        <is>
          <t>Pencereye doğru geniş açıyla çek; masa, koltuklar ve kanepe görünsün.</t>
        </is>
      </c>
      <c r="F42" s="5" t="inlineStr">
        <is>
          <t>Perde ve tül düzgün
Masa temiz
Koltuk/kanepe temiz, minderler düzgün
Sofa yatak toplanmış</t>
        </is>
      </c>
      <c r="G42" s="5" t="inlineStr">
        <is>
          <t>Evet</t>
        </is>
      </c>
      <c r="H42" s="5" t="inlineStr">
        <is>
          <t>Evet</t>
        </is>
      </c>
      <c r="I42" s="5" t="inlineStr">
        <is>
          <t>Hayır</t>
        </is>
      </c>
      <c r="K42" s="5" t="n">
        <v>1</v>
      </c>
      <c r="L42" s="5" t="inlineStr">
        <is>
          <t>Masada, koltuklarda kir, leke, unutulmuş eşya var mı? Konaklama kontrolündeysen misafir eşyalarını değerlendirme.</t>
        </is>
      </c>
    </row>
    <row r="43">
      <c r="A43" s="5" t="inlineStr">
        <is>
          <t>X2</t>
        </is>
      </c>
      <c r="B43" s="5" t="n">
        <v>12</v>
      </c>
      <c r="C43" s="5" t="inlineStr">
        <is>
          <t>Oda</t>
        </is>
      </c>
      <c r="D43" s="5" t="inlineStr">
        <is>
          <t>Yatak ve komodinler</t>
        </is>
      </c>
      <c r="E43" s="5" t="inlineStr">
        <is>
          <t>Yatağı ayak ucundan tamamı görünecek şekilde çek; ikinci karede yatak altını ve komodinleri çek.</t>
        </is>
      </c>
      <c r="F43" s="5" t="inlineStr">
        <is>
          <t>Çarşaf dört köşeden gergin
Yastıklar tam, kılıflar lekesiz
Yatak altında eşya/toz yok
Komodinler boş ve tozsuz</t>
        </is>
      </c>
      <c r="G43" s="5" t="inlineStr">
        <is>
          <t>Evet</t>
        </is>
      </c>
      <c r="H43" s="5" t="inlineStr">
        <is>
          <t>Evet</t>
        </is>
      </c>
      <c r="I43" s="5" t="inlineStr">
        <is>
          <t>Hayır</t>
        </is>
      </c>
      <c r="K43" s="5" t="n">
        <v>2</v>
      </c>
      <c r="L43" s="5" t="inlineStr">
        <is>
          <t>Çarşafta kırışık, leke, saç var mı? Yastıklar düzgün mü? Yatak altında eşya/toz var mı? Konaklama kontrolündeysen misafir eşyalarını değerlendirme.</t>
        </is>
      </c>
    </row>
    <row r="44">
      <c r="A44" s="5" t="inlineStr">
        <is>
          <t>X2</t>
        </is>
      </c>
      <c r="B44" s="5" t="n">
        <v>13</v>
      </c>
      <c r="C44" s="5" t="inlineStr">
        <is>
          <t>Oda</t>
        </is>
      </c>
      <c r="D44" s="5" t="inlineStr">
        <is>
          <t>Genel oda</t>
        </is>
      </c>
      <c r="E44" s="5" t="inlineStr">
        <is>
          <t>Kapı tarafından tüm odayı tek geniş karede çek. Tüm ışıklar açık.</t>
        </is>
      </c>
      <c r="F44" s="5" t="inlineStr">
        <is>
          <t>Klima çalışıyor
Çöp kovaları boş
Zemin temiz
Duvarda iz yok
Tüm aydınlatma yanıyor</t>
        </is>
      </c>
      <c r="G44" s="5" t="inlineStr">
        <is>
          <t>Evet</t>
        </is>
      </c>
      <c r="H44" s="5" t="inlineStr">
        <is>
          <t>Evet</t>
        </is>
      </c>
      <c r="I44" s="5" t="inlineStr">
        <is>
          <t>Hayır</t>
        </is>
      </c>
      <c r="K44" s="5" t="n">
        <v>1</v>
      </c>
      <c r="L44" s="5" t="inlineStr">
        <is>
          <t>Zeminde kir, çöp; yanmayan lamba; dağınıklık var mı? Konaklama kontrolündeysen misafir eşyalarını değerlendirme.</t>
        </is>
      </c>
    </row>
    <row r="45">
      <c r="A45" s="5" t="inlineStr">
        <is>
          <t>X4</t>
        </is>
      </c>
      <c r="B45" s="5" t="n">
        <v>1</v>
      </c>
      <c r="C45" s="5" t="inlineStr">
        <is>
          <t>Giriş</t>
        </is>
      </c>
      <c r="D45" s="5" t="inlineStr">
        <is>
          <t>Giriş ve kapı</t>
        </is>
      </c>
      <c r="E45" s="5" t="inlineStr">
        <is>
          <t>Kapıdan girip girişi ve koridoru tek karede çek. Tüm ışıklar açık olsun.</t>
        </is>
      </c>
      <c r="F45" s="5" t="inlineStr">
        <is>
          <t>Kapı ve şifreli kilit çalışıyor
Süpürgelik ve duvar dipleri tozsuz
Aplikler yanıyor
Zeminde leke, saç, kum yok</t>
        </is>
      </c>
      <c r="G45" s="5" t="inlineStr">
        <is>
          <t>Evet</t>
        </is>
      </c>
      <c r="H45" s="5" t="inlineStr">
        <is>
          <t>Evet</t>
        </is>
      </c>
      <c r="I45" s="5" t="inlineStr">
        <is>
          <t>Hayır</t>
        </is>
      </c>
      <c r="K45" s="5" t="n">
        <v>1</v>
      </c>
      <c r="L45" s="5" t="inlineStr">
        <is>
          <t>Zeminde görünür kir, saç, çöp var mı? Yanmayan lamba var mı? Konaklama kontrolündeysen misafir eşyalarını değerlendirme.</t>
        </is>
      </c>
    </row>
    <row r="46">
      <c r="A46" s="5" t="inlineStr">
        <is>
          <t>X4</t>
        </is>
      </c>
      <c r="B46" s="5" t="n">
        <v>2</v>
      </c>
      <c r="C46" s="5" t="inlineStr">
        <is>
          <t>Banyo</t>
        </is>
      </c>
      <c r="D46" s="5" t="inlineStr">
        <is>
          <t>Lavabo ve ayna</t>
        </is>
      </c>
      <c r="E46" s="5" t="inlineStr">
        <is>
          <t>Lavabo, batarya, ayna ve havlu rafı aynı karede olacak şekilde çek.</t>
        </is>
      </c>
      <c r="F46" s="5" t="inlineStr">
        <is>
          <t>Lavabo içi ve gider temiz
Batarya parlak, su lekesi yok
Sıvı sabun dolu
Ayna lekesiz
Havlular katlı ve tam</t>
        </is>
      </c>
      <c r="G46" s="5" t="inlineStr">
        <is>
          <t>Evet</t>
        </is>
      </c>
      <c r="H46" s="5" t="inlineStr">
        <is>
          <t>Evet</t>
        </is>
      </c>
      <c r="I46" s="5" t="inlineStr">
        <is>
          <t>Hayır</t>
        </is>
      </c>
      <c r="K46" s="5" t="n">
        <v>1</v>
      </c>
      <c r="L46" s="5" t="inlineStr">
        <is>
          <t>Lavaboda kıl, sabun kalıntısı, su lekesi var mı? Aynada leke var mı? Havlular düzgün katlı mı? Konaklama kontrolündeysen misafir eşyalarını değerlendirme.</t>
        </is>
      </c>
    </row>
    <row r="47">
      <c r="A47" s="5" t="inlineStr">
        <is>
          <t>X4</t>
        </is>
      </c>
      <c r="B47" s="5" t="n">
        <v>3</v>
      </c>
      <c r="C47" s="5" t="inlineStr">
        <is>
          <t>Banyo</t>
        </is>
      </c>
      <c r="D47" s="5" t="inlineStr">
        <is>
          <t>WC</t>
        </is>
      </c>
      <c r="E47" s="5" t="inlineStr">
        <is>
          <t>Klozet kapağı açık, tuvalet kağıdı ve yedek rulo görünecek şekilde çek.</t>
        </is>
      </c>
      <c r="F47" s="5" t="inlineStr">
        <is>
          <t>Klozet içi, kapak altı ve dış yüzey temiz
WC fırçası temiz
Tuvalet kağıdı takılı + yedek rulo
Çöp kovası boş, poşet yeni</t>
        </is>
      </c>
      <c r="G47" s="5" t="inlineStr">
        <is>
          <t>Evet</t>
        </is>
      </c>
      <c r="H47" s="5" t="inlineStr">
        <is>
          <t>Evet</t>
        </is>
      </c>
      <c r="I47" s="5" t="inlineStr">
        <is>
          <t>Hayır</t>
        </is>
      </c>
      <c r="K47" s="5" t="n">
        <v>1</v>
      </c>
      <c r="L47" s="5" t="inlineStr">
        <is>
          <t>Klozet içinde veya kapakta leke/kir var mı? Tuvalet kağıdı ve yedek rulo var mı? Çöp kovası boş mu?</t>
        </is>
      </c>
    </row>
    <row r="48">
      <c r="A48" s="5" t="inlineStr">
        <is>
          <t>X4</t>
        </is>
      </c>
      <c r="B48" s="5" t="n">
        <v>4</v>
      </c>
      <c r="C48" s="5" t="inlineStr">
        <is>
          <t>Banyo</t>
        </is>
      </c>
      <c r="D48" s="5" t="inlineStr">
        <is>
          <t>Duş</t>
        </is>
      </c>
      <c r="E48" s="5" t="inlineStr">
        <is>
          <t>Duş camını ışığa karşı çek (kireç böyle görünür); dispenserler ve gider görünsün.</t>
        </is>
      </c>
      <c r="F48" s="5" t="inlineStr">
        <is>
          <t>Camda kireç ve su lekesi yok
Duş seti askıda
Şampuan/duş jeli dolu
Giderde saç yok</t>
        </is>
      </c>
      <c r="G48" s="5" t="inlineStr">
        <is>
          <t>Evet</t>
        </is>
      </c>
      <c r="H48" s="5" t="inlineStr">
        <is>
          <t>Evet</t>
        </is>
      </c>
      <c r="I48" s="5" t="inlineStr">
        <is>
          <t>Hayır</t>
        </is>
      </c>
      <c r="K48" s="5" t="n">
        <v>1</v>
      </c>
      <c r="L48" s="5" t="inlineStr">
        <is>
          <t>Duş camında kireç/su lekesi, giderde saç, zeminde kir var mı? Konaklama kontrolündeysen misafir eşyalarını değerlendirme.</t>
        </is>
      </c>
    </row>
    <row r="49">
      <c r="A49" s="5" t="inlineStr">
        <is>
          <t>X4</t>
        </is>
      </c>
      <c r="B49" s="5" t="n">
        <v>5</v>
      </c>
      <c r="C49" s="5" t="inlineStr">
        <is>
          <t>Oda</t>
        </is>
      </c>
      <c r="D49" s="5" t="inlineStr">
        <is>
          <t>Gardırop</t>
        </is>
      </c>
      <c r="E49" s="5" t="inlineStr">
        <is>
          <t>Kapakları aç, askıları ve rafları tek karede çek. İçerisi karanlıksa feneri aç.</t>
        </is>
      </c>
      <c r="F49" s="5" t="inlineStr">
        <is>
          <t>Askılar tam
Yedek battaniye/yastık katlı
Unutulmuş eşya yok</t>
        </is>
      </c>
      <c r="G49" s="5" t="inlineStr">
        <is>
          <t>Evet</t>
        </is>
      </c>
      <c r="H49" s="5" t="inlineStr">
        <is>
          <t>Hayır</t>
        </is>
      </c>
      <c r="I49" s="5" t="inlineStr">
        <is>
          <t>Evet</t>
        </is>
      </c>
      <c r="K49" s="5" t="n">
        <v>1</v>
      </c>
      <c r="L49" s="5" t="inlineStr">
        <is>
          <t>Gardıropta unutulmuş eşya, çöp var mı? Askılar düzenli mi?</t>
        </is>
      </c>
    </row>
    <row r="50">
      <c r="A50" s="5" t="inlineStr">
        <is>
          <t>X4</t>
        </is>
      </c>
      <c r="B50" s="5" t="n">
        <v>6</v>
      </c>
      <c r="C50" s="5" t="inlineStr">
        <is>
          <t>Mutfak</t>
        </is>
      </c>
      <c r="D50" s="5" t="inlineStr">
        <is>
          <t>Mutfak tezgahı</t>
        </is>
      </c>
      <c r="E50" s="5" t="inlineStr">
        <is>
          <t>Tezgahın karşısından ocak, evye, kettle ve bulaşıklık tek karede olacak şekilde çek.</t>
        </is>
      </c>
      <c r="F50" s="5" t="inlineStr">
        <is>
          <t>Ocak temiz
Evye ve batarya temiz
Sünger ve fırça temiz
Bulaşıklık boş ve kuru
Kettle boş, kablosu toplanmış
Tuz-biber-yağ dolu
Çöp kovası boş</t>
        </is>
      </c>
      <c r="G50" s="5" t="inlineStr">
        <is>
          <t>Evet</t>
        </is>
      </c>
      <c r="H50" s="5" t="inlineStr">
        <is>
          <t>Evet</t>
        </is>
      </c>
      <c r="I50" s="5" t="inlineStr">
        <is>
          <t>Hayır</t>
        </is>
      </c>
      <c r="K50" s="5" t="n">
        <v>1</v>
      </c>
      <c r="L50" s="5" t="inlineStr">
        <is>
          <t>Tezgahta, ocakta, evyede kir, yağ, kırıntı veya bulaşık var mı? Çöp dolu mu? Konaklama kontrolündeysen misafir eşyalarını değerlendirme.</t>
        </is>
      </c>
    </row>
    <row r="51">
      <c r="A51" s="5" t="inlineStr">
        <is>
          <t>X4</t>
        </is>
      </c>
      <c r="B51" s="5" t="n">
        <v>7</v>
      </c>
      <c r="C51" s="5" t="inlineStr">
        <is>
          <t>Mutfak</t>
        </is>
      </c>
      <c r="D51" s="5" t="inlineStr">
        <is>
          <t>Çekmeceler</t>
        </is>
      </c>
      <c r="E51" s="5" t="inlineStr">
        <is>
          <t>Çekmeceleri sırayla aç, feneri aç ve her birini tam üstten çek.</t>
        </is>
      </c>
      <c r="F51" s="5" t="inlineStr">
        <is>
          <t>Çatal, kaşık, bıçak tam
Servis gereçleri yerinde
Çekmece içleri kırıntısız</t>
        </is>
      </c>
      <c r="G51" s="5" t="inlineStr">
        <is>
          <t>Evet</t>
        </is>
      </c>
      <c r="H51" s="5" t="inlineStr">
        <is>
          <t>Hayır</t>
        </is>
      </c>
      <c r="I51" s="5" t="inlineStr">
        <is>
          <t>Evet</t>
        </is>
      </c>
      <c r="K51" s="5" t="n">
        <v>2</v>
      </c>
      <c r="L51" s="5" t="inlineStr">
        <is>
          <t>Çekmece içinde kırıntı, kir, yerinden oynamış eşya var mı?</t>
        </is>
      </c>
    </row>
    <row r="52">
      <c r="A52" s="5" t="inlineStr">
        <is>
          <t>X4</t>
        </is>
      </c>
      <c r="B52" s="5" t="n">
        <v>8</v>
      </c>
      <c r="C52" s="5" t="inlineStr">
        <is>
          <t>Mutfak</t>
        </is>
      </c>
      <c r="D52" s="5" t="inlineStr">
        <is>
          <t>Dolaplar: tabak, bardak, tencere</t>
        </is>
      </c>
      <c r="E52" s="5" t="inlineStr">
        <is>
          <t>Üst ve alt dolapların kapaklarını aç, feneri aç; tabak, bardak ve tencereler görünsün.</t>
        </is>
      </c>
      <c r="F52" s="5" t="inlineStr">
        <is>
          <t>Tabak, kase, bardak, kupa sayısı tam
Bardaklarda su lekesi, kupalarda çay/kahve izi yok
Tencere ve tavalar temiz, kapaklı
Evye altında sızıntı yok</t>
        </is>
      </c>
      <c r="G52" s="5" t="inlineStr">
        <is>
          <t>Evet</t>
        </is>
      </c>
      <c r="H52" s="5" t="inlineStr">
        <is>
          <t>Hayır</t>
        </is>
      </c>
      <c r="I52" s="5" t="inlineStr">
        <is>
          <t>Evet</t>
        </is>
      </c>
      <c r="K52" s="5" t="n">
        <v>2</v>
      </c>
      <c r="L52" s="5" t="inlineStr">
        <is>
          <t>Bardaklarda leke, tabaklarda iz/çatlak, tencerelerde yemek kalıntısı var mı?</t>
        </is>
      </c>
    </row>
    <row r="53">
      <c r="A53" s="5" t="inlineStr">
        <is>
          <t>X4</t>
        </is>
      </c>
      <c r="B53" s="5" t="n">
        <v>9</v>
      </c>
      <c r="C53" s="5" t="inlineStr">
        <is>
          <t>Mutfak</t>
        </is>
      </c>
      <c r="D53" s="5" t="inlineStr">
        <is>
          <t>Buzdolabı</t>
        </is>
      </c>
      <c r="E53" s="5" t="inlineStr">
        <is>
          <t>Kapağı tamamen aç; içi ve kapak rafları görünsün.</t>
        </is>
      </c>
      <c r="F53" s="5" t="inlineStr">
        <is>
          <t>Raflar temiz
Unutulmuş yiyecek yok
Koku ve buzlanma yok</t>
        </is>
      </c>
      <c r="G53" s="5" t="inlineStr">
        <is>
          <t>Evet</t>
        </is>
      </c>
      <c r="H53" s="5" t="inlineStr">
        <is>
          <t>Hayır</t>
        </is>
      </c>
      <c r="I53" s="5" t="inlineStr">
        <is>
          <t>Hayır</t>
        </is>
      </c>
      <c r="K53" s="5" t="n">
        <v>1</v>
      </c>
      <c r="L53" s="5" t="inlineStr">
        <is>
          <t>Buzdolabında yiyecek kalıntısı, leke, buzlanma var mı?</t>
        </is>
      </c>
    </row>
    <row r="54">
      <c r="A54" s="5" t="inlineStr">
        <is>
          <t>X4</t>
        </is>
      </c>
      <c r="B54" s="5" t="n">
        <v>10</v>
      </c>
      <c r="C54" s="5" t="inlineStr">
        <is>
          <t>Oda</t>
        </is>
      </c>
      <c r="D54" s="5" t="inlineStr">
        <is>
          <t>TV ve ünite</t>
        </is>
      </c>
      <c r="E54" s="5" t="inlineStr">
        <is>
          <t>TV ve ünite raflarını önden çek.</t>
        </is>
      </c>
      <c r="F54" s="5" t="inlineStr">
        <is>
          <t>TV ekranı tozsuz
Ünite rafları tozsuz
Kumandalar yerinde</t>
        </is>
      </c>
      <c r="G54" s="5" t="inlineStr">
        <is>
          <t>Evet</t>
        </is>
      </c>
      <c r="H54" s="5" t="inlineStr">
        <is>
          <t>Evet</t>
        </is>
      </c>
      <c r="I54" s="5" t="inlineStr">
        <is>
          <t>Hayır</t>
        </is>
      </c>
      <c r="K54" s="5" t="n">
        <v>1</v>
      </c>
      <c r="L54" s="5" t="inlineStr">
        <is>
          <t>TV ve raflarda toz, leke var mı? Konaklama kontrolündeysen misafir eşyalarını değerlendirme.</t>
        </is>
      </c>
    </row>
    <row r="55">
      <c r="A55" s="5" t="inlineStr">
        <is>
          <t>X4</t>
        </is>
      </c>
      <c r="B55" s="5" t="n">
        <v>11</v>
      </c>
      <c r="C55" s="5" t="inlineStr">
        <is>
          <t>Oda</t>
        </is>
      </c>
      <c r="D55" s="5" t="inlineStr">
        <is>
          <t>Oturma alanı ve masa</t>
        </is>
      </c>
      <c r="E55" s="5" t="inlineStr">
        <is>
          <t>Pencereye doğru geniş açıyla çek; masa, koltuklar ve kanepe görünsün.</t>
        </is>
      </c>
      <c r="F55" s="5" t="inlineStr">
        <is>
          <t>Perde ve tül düzgün
Masa temiz
Koltuk/kanepe temiz, minderler düzgün</t>
        </is>
      </c>
      <c r="G55" s="5" t="inlineStr">
        <is>
          <t>Evet</t>
        </is>
      </c>
      <c r="H55" s="5" t="inlineStr">
        <is>
          <t>Evet</t>
        </is>
      </c>
      <c r="I55" s="5" t="inlineStr">
        <is>
          <t>Hayır</t>
        </is>
      </c>
      <c r="K55" s="5" t="n">
        <v>1</v>
      </c>
      <c r="L55" s="5" t="inlineStr">
        <is>
          <t>Masada, koltuklarda kir, leke, unutulmuş eşya var mı? Konaklama kontrolündeysen misafir eşyalarını değerlendirme.</t>
        </is>
      </c>
    </row>
    <row r="56">
      <c r="A56" s="5" t="inlineStr">
        <is>
          <t>X4</t>
        </is>
      </c>
      <c r="B56" s="5" t="n">
        <v>12</v>
      </c>
      <c r="C56" s="5" t="inlineStr">
        <is>
          <t>Oda</t>
        </is>
      </c>
      <c r="D56" s="5" t="inlineStr">
        <is>
          <t>Yatak ve komodinler</t>
        </is>
      </c>
      <c r="E56" s="5" t="inlineStr">
        <is>
          <t>Yatağı ayak ucundan tamamı görünecek şekilde çek; ikinci karede yatak altını ve komodinleri çek.</t>
        </is>
      </c>
      <c r="F56" s="5" t="inlineStr">
        <is>
          <t>Çarşaf dört köşeden gergin
Yastıklar tam, kılıflar lekesiz
Yatak altında eşya/toz yok
Komodinler boş ve tozsuz</t>
        </is>
      </c>
      <c r="G56" s="5" t="inlineStr">
        <is>
          <t>Evet</t>
        </is>
      </c>
      <c r="H56" s="5" t="inlineStr">
        <is>
          <t>Evet</t>
        </is>
      </c>
      <c r="I56" s="5" t="inlineStr">
        <is>
          <t>Hayır</t>
        </is>
      </c>
      <c r="K56" s="5" t="n">
        <v>2</v>
      </c>
      <c r="L56" s="5" t="inlineStr">
        <is>
          <t>Çarşafta kırışık, leke, saç var mı? Yastıklar düzgün mü? Yatak altında eşya/toz var mı? Konaklama kontrolündeysen misafir eşyalarını değerlendirme.</t>
        </is>
      </c>
    </row>
    <row r="57">
      <c r="A57" s="5" t="inlineStr">
        <is>
          <t>X4</t>
        </is>
      </c>
      <c r="B57" s="5" t="n">
        <v>13</v>
      </c>
      <c r="C57" s="5" t="inlineStr">
        <is>
          <t>Oda</t>
        </is>
      </c>
      <c r="D57" s="5" t="inlineStr">
        <is>
          <t>Genel oda</t>
        </is>
      </c>
      <c r="E57" s="5" t="inlineStr">
        <is>
          <t>Kapı tarafından tüm odayı tek geniş karede çek. Tüm ışıklar açık.</t>
        </is>
      </c>
      <c r="F57" s="5" t="inlineStr">
        <is>
          <t>Klima çalışıyor
Çöp kovaları boş
Zemin temiz
Duvarda iz yok
Tüm aydınlatma yanıyor</t>
        </is>
      </c>
      <c r="G57" s="5" t="inlineStr">
        <is>
          <t>Evet</t>
        </is>
      </c>
      <c r="H57" s="5" t="inlineStr">
        <is>
          <t>Evet</t>
        </is>
      </c>
      <c r="I57" s="5" t="inlineStr">
        <is>
          <t>Hayır</t>
        </is>
      </c>
      <c r="K57" s="5" t="n">
        <v>1</v>
      </c>
      <c r="L57" s="5" t="inlineStr">
        <is>
          <t>Zeminde kir, çöp; yanmayan lamba; dağınıklık var mı? Konaklama kontrolündeysen misafir eşyalarını değerlendirme.</t>
        </is>
      </c>
    </row>
    <row r="58">
      <c r="A58" s="5" t="inlineStr">
        <is>
          <t>PH</t>
        </is>
      </c>
      <c r="B58" s="5" t="n">
        <v>1</v>
      </c>
      <c r="C58" s="5" t="inlineStr">
        <is>
          <t>Giriş</t>
        </is>
      </c>
      <c r="D58" s="5" t="inlineStr">
        <is>
          <t>Giriş ve kapı</t>
        </is>
      </c>
      <c r="E58" s="5" t="inlineStr">
        <is>
          <t>Kapıdan girip girişi ve koridoru tek karede çek. Tüm ışıklar açık olsun.</t>
        </is>
      </c>
      <c r="F58" s="5" t="inlineStr">
        <is>
          <t>Kapı ve şifreli kilit çalışıyor
Süpürgelik ve duvar dipleri tozsuz
Aplikler yanıyor
Zeminde leke, saç, kum yok</t>
        </is>
      </c>
      <c r="G58" s="5" t="inlineStr">
        <is>
          <t>Evet</t>
        </is>
      </c>
      <c r="H58" s="5" t="inlineStr">
        <is>
          <t>Evet</t>
        </is>
      </c>
      <c r="I58" s="5" t="inlineStr">
        <is>
          <t>Hayır</t>
        </is>
      </c>
      <c r="K58" s="5" t="n">
        <v>1</v>
      </c>
      <c r="L58" s="5" t="inlineStr">
        <is>
          <t>Zeminde görünür kir, saç, çöp var mı? Yanmayan lamba var mı? Konaklama kontrolündeysen misafir eşyalarını değerlendirme.</t>
        </is>
      </c>
    </row>
    <row r="59">
      <c r="A59" s="5" t="inlineStr">
        <is>
          <t>PH</t>
        </is>
      </c>
      <c r="B59" s="5" t="n">
        <v>2</v>
      </c>
      <c r="C59" s="5" t="inlineStr">
        <is>
          <t>Banyo</t>
        </is>
      </c>
      <c r="D59" s="5" t="inlineStr">
        <is>
          <t>Lavabo ve ayna</t>
        </is>
      </c>
      <c r="E59" s="5" t="inlineStr">
        <is>
          <t>Lavabo, batarya, ayna ve havlu rafı aynı karede olacak şekilde çek.</t>
        </is>
      </c>
      <c r="F59" s="5" t="inlineStr">
        <is>
          <t>Lavabo içi ve gider temiz
Batarya parlak, su lekesi yok
Sıvı sabun dolu
Ayna lekesiz
Havlular katlı ve tam
Bornozlar asılı</t>
        </is>
      </c>
      <c r="G59" s="5" t="inlineStr">
        <is>
          <t>Evet</t>
        </is>
      </c>
      <c r="H59" s="5" t="inlineStr">
        <is>
          <t>Evet</t>
        </is>
      </c>
      <c r="I59" s="5" t="inlineStr">
        <is>
          <t>Hayır</t>
        </is>
      </c>
      <c r="K59" s="5" t="n">
        <v>1</v>
      </c>
      <c r="L59" s="5" t="inlineStr">
        <is>
          <t>Lavaboda kıl, sabun kalıntısı, su lekesi var mı? Aynada leke var mı? Havlular düzgün katlı mı? Konaklama kontrolündeysen misafir eşyalarını değerlendirme.</t>
        </is>
      </c>
    </row>
    <row r="60">
      <c r="A60" s="5" t="inlineStr">
        <is>
          <t>PH</t>
        </is>
      </c>
      <c r="B60" s="5" t="n">
        <v>3</v>
      </c>
      <c r="C60" s="5" t="inlineStr">
        <is>
          <t>Banyo</t>
        </is>
      </c>
      <c r="D60" s="5" t="inlineStr">
        <is>
          <t>WC</t>
        </is>
      </c>
      <c r="E60" s="5" t="inlineStr">
        <is>
          <t>Klozet kapağı açık, tuvalet kağıdı ve yedek rulo görünecek şekilde çek.</t>
        </is>
      </c>
      <c r="F60" s="5" t="inlineStr">
        <is>
          <t>Klozet içi, kapak altı ve dış yüzey temiz
WC fırçası temiz
Tuvalet kağıdı takılı + yedek rulo
Çöp kovası boş, poşet yeni</t>
        </is>
      </c>
      <c r="G60" s="5" t="inlineStr">
        <is>
          <t>Evet</t>
        </is>
      </c>
      <c r="H60" s="5" t="inlineStr">
        <is>
          <t>Evet</t>
        </is>
      </c>
      <c r="I60" s="5" t="inlineStr">
        <is>
          <t>Hayır</t>
        </is>
      </c>
      <c r="K60" s="5" t="n">
        <v>1</v>
      </c>
      <c r="L60" s="5" t="inlineStr">
        <is>
          <t>Klozet içinde veya kapakta leke/kir var mı? Tuvalet kağıdı ve yedek rulo var mı? Çöp kovası boş mu?</t>
        </is>
      </c>
    </row>
    <row r="61">
      <c r="A61" s="5" t="inlineStr">
        <is>
          <t>PH</t>
        </is>
      </c>
      <c r="B61" s="5" t="n">
        <v>4</v>
      </c>
      <c r="C61" s="5" t="inlineStr">
        <is>
          <t>Banyo</t>
        </is>
      </c>
      <c r="D61" s="5" t="inlineStr">
        <is>
          <t>Duş</t>
        </is>
      </c>
      <c r="E61" s="5" t="inlineStr">
        <is>
          <t>Duş camını ışığa karşı çek (kireç böyle görünür); dispenserler ve gider görünsün.</t>
        </is>
      </c>
      <c r="F61" s="5" t="inlineStr">
        <is>
          <t>Camda kireç ve su lekesi yok
Duş seti askıda
Şampuan/duş jeli dolu
Giderde saç yok</t>
        </is>
      </c>
      <c r="G61" s="5" t="inlineStr">
        <is>
          <t>Evet</t>
        </is>
      </c>
      <c r="H61" s="5" t="inlineStr">
        <is>
          <t>Evet</t>
        </is>
      </c>
      <c r="I61" s="5" t="inlineStr">
        <is>
          <t>Hayır</t>
        </is>
      </c>
      <c r="K61" s="5" t="n">
        <v>1</v>
      </c>
      <c r="L61" s="5" t="inlineStr">
        <is>
          <t>Duş camında kireç/su lekesi, giderde saç, zeminde kir var mı? Konaklama kontrolündeysen misafir eşyalarını değerlendirme.</t>
        </is>
      </c>
    </row>
    <row r="62">
      <c r="A62" s="5" t="inlineStr">
        <is>
          <t>PH</t>
        </is>
      </c>
      <c r="B62" s="5" t="n">
        <v>5</v>
      </c>
      <c r="C62" s="5" t="inlineStr">
        <is>
          <t>Banyo</t>
        </is>
      </c>
      <c r="D62" s="5" t="inlineStr">
        <is>
          <t>Küvet</t>
        </is>
      </c>
      <c r="E62" s="5" t="inlineStr">
        <is>
          <t>Küveti üstten, gider ve batarya görünecek şekilde çek.</t>
        </is>
      </c>
      <c r="F62" s="5" t="inlineStr">
        <is>
          <t>Küvet içi temiz, kireç halkası yok
Giderde saç yok
Batarya parlak</t>
        </is>
      </c>
      <c r="G62" s="5" t="inlineStr">
        <is>
          <t>Evet</t>
        </is>
      </c>
      <c r="H62" s="5" t="inlineStr">
        <is>
          <t>Evet</t>
        </is>
      </c>
      <c r="I62" s="5" t="inlineStr">
        <is>
          <t>Hayır</t>
        </is>
      </c>
      <c r="K62" s="5" t="n">
        <v>1</v>
      </c>
      <c r="L62" s="5" t="inlineStr">
        <is>
          <t>Küvette kir halkası, saç, kireç var mı?</t>
        </is>
      </c>
    </row>
    <row r="63">
      <c r="A63" s="5" t="inlineStr">
        <is>
          <t>PH</t>
        </is>
      </c>
      <c r="B63" s="5" t="n">
        <v>6</v>
      </c>
      <c r="C63" s="5" t="inlineStr">
        <is>
          <t>Oda</t>
        </is>
      </c>
      <c r="D63" s="5" t="inlineStr">
        <is>
          <t>Gardırop</t>
        </is>
      </c>
      <c r="E63" s="5" t="inlineStr">
        <is>
          <t>Kapakları aç, askıları ve rafları tek karede çek. İçerisi karanlıksa feneri aç.</t>
        </is>
      </c>
      <c r="F63" s="5" t="inlineStr">
        <is>
          <t>Askılar tam
Yedek battaniye/yastık katlı
Unutulmuş eşya yok</t>
        </is>
      </c>
      <c r="G63" s="5" t="inlineStr">
        <is>
          <t>Evet</t>
        </is>
      </c>
      <c r="H63" s="5" t="inlineStr">
        <is>
          <t>Hayır</t>
        </is>
      </c>
      <c r="I63" s="5" t="inlineStr">
        <is>
          <t>Evet</t>
        </is>
      </c>
      <c r="K63" s="5" t="n">
        <v>1</v>
      </c>
      <c r="L63" s="5" t="inlineStr">
        <is>
          <t>Gardıropta unutulmuş eşya, çöp var mı? Askılar düzenli mi?</t>
        </is>
      </c>
    </row>
    <row r="64">
      <c r="A64" s="5" t="inlineStr">
        <is>
          <t>PH</t>
        </is>
      </c>
      <c r="B64" s="5" t="n">
        <v>7</v>
      </c>
      <c r="C64" s="5" t="inlineStr">
        <is>
          <t>Mutfak</t>
        </is>
      </c>
      <c r="D64" s="5" t="inlineStr">
        <is>
          <t>Mutfak tezgahı</t>
        </is>
      </c>
      <c r="E64" s="5" t="inlineStr">
        <is>
          <t>Tezgahın karşısından ocak, evye, kettle ve bulaşıklık tek karede olacak şekilde çek.</t>
        </is>
      </c>
      <c r="F64" s="5" t="inlineStr">
        <is>
          <t>Ocak temiz
Evye ve batarya temiz
Sünger ve fırça temiz
Bulaşıklık boş ve kuru
Kettle boş, kablosu toplanmış
Tuz-biber-yağ dolu
Çöp kovası boş</t>
        </is>
      </c>
      <c r="G64" s="5" t="inlineStr">
        <is>
          <t>Evet</t>
        </is>
      </c>
      <c r="H64" s="5" t="inlineStr">
        <is>
          <t>Evet</t>
        </is>
      </c>
      <c r="I64" s="5" t="inlineStr">
        <is>
          <t>Hayır</t>
        </is>
      </c>
      <c r="K64" s="5" t="n">
        <v>1</v>
      </c>
      <c r="L64" s="5" t="inlineStr">
        <is>
          <t>Tezgahta, ocakta, evyede kir, yağ, kırıntı veya bulaşık var mı? Çöp dolu mu? Konaklama kontrolündeysen misafir eşyalarını değerlendirme.</t>
        </is>
      </c>
    </row>
    <row r="65">
      <c r="A65" s="5" t="inlineStr">
        <is>
          <t>PH</t>
        </is>
      </c>
      <c r="B65" s="5" t="n">
        <v>8</v>
      </c>
      <c r="C65" s="5" t="inlineStr">
        <is>
          <t>Mutfak</t>
        </is>
      </c>
      <c r="D65" s="5" t="inlineStr">
        <is>
          <t>Çekmeceler</t>
        </is>
      </c>
      <c r="E65" s="5" t="inlineStr">
        <is>
          <t>Çekmeceleri sırayla aç, feneri aç ve her birini tam üstten çek.</t>
        </is>
      </c>
      <c r="F65" s="5" t="inlineStr">
        <is>
          <t>Çatal, kaşık, bıçak tam
Servis gereçleri yerinde
Çekmece içleri kırıntısız</t>
        </is>
      </c>
      <c r="G65" s="5" t="inlineStr">
        <is>
          <t>Evet</t>
        </is>
      </c>
      <c r="H65" s="5" t="inlineStr">
        <is>
          <t>Hayır</t>
        </is>
      </c>
      <c r="I65" s="5" t="inlineStr">
        <is>
          <t>Evet</t>
        </is>
      </c>
      <c r="K65" s="5" t="n">
        <v>2</v>
      </c>
      <c r="L65" s="5" t="inlineStr">
        <is>
          <t>Çekmece içinde kırıntı, kir, yerinden oynamış eşya var mı?</t>
        </is>
      </c>
    </row>
    <row r="66">
      <c r="A66" s="5" t="inlineStr">
        <is>
          <t>PH</t>
        </is>
      </c>
      <c r="B66" s="5" t="n">
        <v>9</v>
      </c>
      <c r="C66" s="5" t="inlineStr">
        <is>
          <t>Mutfak</t>
        </is>
      </c>
      <c r="D66" s="5" t="inlineStr">
        <is>
          <t>Dolaplar: tabak, bardak, tencere</t>
        </is>
      </c>
      <c r="E66" s="5" t="inlineStr">
        <is>
          <t>Üst ve alt dolapların kapaklarını aç, feneri aç; tabak, bardak ve tencereler görünsün.</t>
        </is>
      </c>
      <c r="F66" s="5" t="inlineStr">
        <is>
          <t>Tabak, kase, bardak, kupa sayısı tam
Bardaklarda su lekesi, kupalarda çay/kahve izi yok
Tencere ve tavalar temiz, kapaklı
Evye altında sızıntı yok</t>
        </is>
      </c>
      <c r="G66" s="5" t="inlineStr">
        <is>
          <t>Evet</t>
        </is>
      </c>
      <c r="H66" s="5" t="inlineStr">
        <is>
          <t>Hayır</t>
        </is>
      </c>
      <c r="I66" s="5" t="inlineStr">
        <is>
          <t>Evet</t>
        </is>
      </c>
      <c r="K66" s="5" t="n">
        <v>2</v>
      </c>
      <c r="L66" s="5" t="inlineStr">
        <is>
          <t>Bardaklarda leke, tabaklarda iz/çatlak, tencerelerde yemek kalıntısı var mı?</t>
        </is>
      </c>
    </row>
    <row r="67">
      <c r="A67" s="5" t="inlineStr">
        <is>
          <t>PH</t>
        </is>
      </c>
      <c r="B67" s="5" t="n">
        <v>10</v>
      </c>
      <c r="C67" s="5" t="inlineStr">
        <is>
          <t>Mutfak</t>
        </is>
      </c>
      <c r="D67" s="5" t="inlineStr">
        <is>
          <t>Buzdolabı</t>
        </is>
      </c>
      <c r="E67" s="5" t="inlineStr">
        <is>
          <t>Kapağı tamamen aç; içi ve kapak rafları görünsün.</t>
        </is>
      </c>
      <c r="F67" s="5" t="inlineStr">
        <is>
          <t>Raflar temiz
Unutulmuş yiyecek yok
Koku ve buzlanma yok</t>
        </is>
      </c>
      <c r="G67" s="5" t="inlineStr">
        <is>
          <t>Evet</t>
        </is>
      </c>
      <c r="H67" s="5" t="inlineStr">
        <is>
          <t>Hayır</t>
        </is>
      </c>
      <c r="I67" s="5" t="inlineStr">
        <is>
          <t>Hayır</t>
        </is>
      </c>
      <c r="K67" s="5" t="n">
        <v>1</v>
      </c>
      <c r="L67" s="5" t="inlineStr">
        <is>
          <t>Buzdolabında yiyecek kalıntısı, leke, buzlanma var mı?</t>
        </is>
      </c>
    </row>
    <row r="68">
      <c r="A68" s="5" t="inlineStr">
        <is>
          <t>PH</t>
        </is>
      </c>
      <c r="B68" s="5" t="n">
        <v>11</v>
      </c>
      <c r="C68" s="5" t="inlineStr">
        <is>
          <t>Mutfak</t>
        </is>
      </c>
      <c r="D68" s="5" t="inlineStr">
        <is>
          <t>Fırın ve mikrodalga</t>
        </is>
      </c>
      <c r="E68" s="5" t="inlineStr">
        <is>
          <t>Fırın ve mikrodalga kapağını açıp içini çek.</t>
        </is>
      </c>
      <c r="F68" s="5" t="inlineStr">
        <is>
          <t>İçi temiz, yağ ve yemek kalıntısı yok
Tabla yerinde</t>
        </is>
      </c>
      <c r="G68" s="5" t="inlineStr">
        <is>
          <t>Evet</t>
        </is>
      </c>
      <c r="H68" s="5" t="inlineStr">
        <is>
          <t>Hayır</t>
        </is>
      </c>
      <c r="I68" s="5" t="inlineStr">
        <is>
          <t>Evet</t>
        </is>
      </c>
      <c r="K68" s="5" t="n">
        <v>1</v>
      </c>
      <c r="L68" s="5" t="inlineStr">
        <is>
          <t>İçeride yağ, yanık, yemek kalıntısı var mı?</t>
        </is>
      </c>
    </row>
    <row r="69">
      <c r="A69" s="5" t="inlineStr">
        <is>
          <t>PH</t>
        </is>
      </c>
      <c r="B69" s="5" t="n">
        <v>12</v>
      </c>
      <c r="C69" s="5" t="inlineStr">
        <is>
          <t>Mutfak</t>
        </is>
      </c>
      <c r="D69" s="5" t="inlineStr">
        <is>
          <t>Kahve makinesi ve bulaşık makinesi</t>
        </is>
      </c>
      <c r="E69" s="5" t="inlineStr">
        <is>
          <t>Kahve makinesi ve bulaşık makinesi görünsün; bulaşık makinesinin kapağını açıp çek.</t>
        </is>
      </c>
      <c r="F69" s="5" t="inlineStr">
        <is>
          <t>Kahve makinesi temiz, haznesi boş
Bulaşık makinesi boş ve temiz</t>
        </is>
      </c>
      <c r="G69" s="5" t="inlineStr">
        <is>
          <t>Evet</t>
        </is>
      </c>
      <c r="H69" s="5" t="inlineStr">
        <is>
          <t>Hayır</t>
        </is>
      </c>
      <c r="I69" s="5" t="inlineStr">
        <is>
          <t>Hayır</t>
        </is>
      </c>
      <c r="K69" s="5" t="n">
        <v>1</v>
      </c>
      <c r="L69" s="5" t="inlineStr">
        <is>
          <t>Makinede kirli bulaşık veya kahve kalıntısı var mı?</t>
        </is>
      </c>
    </row>
    <row r="70">
      <c r="A70" s="5" t="inlineStr">
        <is>
          <t>PH</t>
        </is>
      </c>
      <c r="B70" s="5" t="n">
        <v>13</v>
      </c>
      <c r="C70" s="5" t="inlineStr">
        <is>
          <t>Oda</t>
        </is>
      </c>
      <c r="D70" s="5" t="inlineStr">
        <is>
          <t>TV ve ünite</t>
        </is>
      </c>
      <c r="E70" s="5" t="inlineStr">
        <is>
          <t>TV ve ünite raflarını önden çek.</t>
        </is>
      </c>
      <c r="F70" s="5" t="inlineStr">
        <is>
          <t>TV ekranı tozsuz
Ünite rafları tozsuz
Kumandalar yerinde</t>
        </is>
      </c>
      <c r="G70" s="5" t="inlineStr">
        <is>
          <t>Evet</t>
        </is>
      </c>
      <c r="H70" s="5" t="inlineStr">
        <is>
          <t>Evet</t>
        </is>
      </c>
      <c r="I70" s="5" t="inlineStr">
        <is>
          <t>Hayır</t>
        </is>
      </c>
      <c r="K70" s="5" t="n">
        <v>1</v>
      </c>
      <c r="L70" s="5" t="inlineStr">
        <is>
          <t>TV ve raflarda toz, leke var mı? Konaklama kontrolündeysen misafir eşyalarını değerlendirme.</t>
        </is>
      </c>
    </row>
    <row r="71">
      <c r="A71" s="5" t="inlineStr">
        <is>
          <t>PH</t>
        </is>
      </c>
      <c r="B71" s="5" t="n">
        <v>14</v>
      </c>
      <c r="C71" s="5" t="inlineStr">
        <is>
          <t>Oda</t>
        </is>
      </c>
      <c r="D71" s="5" t="inlineStr">
        <is>
          <t>Oturma alanı ve masa</t>
        </is>
      </c>
      <c r="E71" s="5" t="inlineStr">
        <is>
          <t>Pencereye doğru geniş açıyla çek; masa, koltuklar ve kanepe görünsün.</t>
        </is>
      </c>
      <c r="F71" s="5" t="inlineStr">
        <is>
          <t>Perde ve tül düzgün
Masa temiz
Koltuk/kanepe temiz, minderler düzgün</t>
        </is>
      </c>
      <c r="G71" s="5" t="inlineStr">
        <is>
          <t>Evet</t>
        </is>
      </c>
      <c r="H71" s="5" t="inlineStr">
        <is>
          <t>Evet</t>
        </is>
      </c>
      <c r="I71" s="5" t="inlineStr">
        <is>
          <t>Hayır</t>
        </is>
      </c>
      <c r="K71" s="5" t="n">
        <v>1</v>
      </c>
      <c r="L71" s="5" t="inlineStr">
        <is>
          <t>Masada, koltuklarda kir, leke, unutulmuş eşya var mı? Konaklama kontrolündeysen misafir eşyalarını değerlendirme.</t>
        </is>
      </c>
    </row>
    <row r="72">
      <c r="A72" s="5" t="inlineStr">
        <is>
          <t>PH</t>
        </is>
      </c>
      <c r="B72" s="5" t="n">
        <v>15</v>
      </c>
      <c r="C72" s="5" t="inlineStr">
        <is>
          <t>Oda</t>
        </is>
      </c>
      <c r="D72" s="5" t="inlineStr">
        <is>
          <t>Yatak ve komodinler</t>
        </is>
      </c>
      <c r="E72" s="5" t="inlineStr">
        <is>
          <t>Yatağı ayak ucundan tamamı görünecek şekilde çek; ikinci karede yatak altını ve komodinleri çek.</t>
        </is>
      </c>
      <c r="F72" s="5" t="inlineStr">
        <is>
          <t>Çarşaf dört köşeden gergin
Yastıklar tam, kılıflar lekesiz
Yatak altında eşya/toz yok
Komodinler boş ve tozsuz</t>
        </is>
      </c>
      <c r="G72" s="5" t="inlineStr">
        <is>
          <t>Evet</t>
        </is>
      </c>
      <c r="H72" s="5" t="inlineStr">
        <is>
          <t>Evet</t>
        </is>
      </c>
      <c r="I72" s="5" t="inlineStr">
        <is>
          <t>Hayır</t>
        </is>
      </c>
      <c r="K72" s="5" t="n">
        <v>2</v>
      </c>
      <c r="L72" s="5" t="inlineStr">
        <is>
          <t>Çarşafta kırışık, leke, saç var mı? Yastıklar düzgün mü? Yatak altında eşya/toz var mı? Konaklama kontrolündeysen misafir eşyalarını değerlendirme.</t>
        </is>
      </c>
    </row>
    <row r="73">
      <c r="A73" s="5" t="inlineStr">
        <is>
          <t>PH</t>
        </is>
      </c>
      <c r="B73" s="5" t="n">
        <v>16</v>
      </c>
      <c r="C73" s="5" t="inlineStr">
        <is>
          <t>Dış alan</t>
        </is>
      </c>
      <c r="D73" s="5" t="inlineStr">
        <is>
          <t>Teras</t>
        </is>
      </c>
      <c r="E73" s="5" t="inlineStr">
        <is>
          <t>Terasın tamamını geniş açıyla çek.</t>
        </is>
      </c>
      <c r="F73" s="5" t="inlineStr">
        <is>
          <t>Zemin süpürülmüş
Oturma grubu temiz
Çöp yok</t>
        </is>
      </c>
      <c r="G73" s="5" t="inlineStr">
        <is>
          <t>Evet</t>
        </is>
      </c>
      <c r="H73" s="5" t="inlineStr">
        <is>
          <t>Evet</t>
        </is>
      </c>
      <c r="I73" s="5" t="inlineStr">
        <is>
          <t>Hayır</t>
        </is>
      </c>
      <c r="K73" s="5" t="n">
        <v>1</v>
      </c>
      <c r="L73" s="5" t="inlineStr">
        <is>
          <t>Terasta çöp, yaprak, kir var mı? Konaklama kontrolündeysen misafir eşyalarını değerlendirme.</t>
        </is>
      </c>
    </row>
    <row r="74">
      <c r="A74" s="5" t="inlineStr">
        <is>
          <t>PH</t>
        </is>
      </c>
      <c r="B74" s="5" t="n">
        <v>17</v>
      </c>
      <c r="C74" s="5" t="inlineStr">
        <is>
          <t>Dış alan</t>
        </is>
      </c>
      <c r="D74" s="5" t="inlineStr">
        <is>
          <t>Barbekü</t>
        </is>
      </c>
      <c r="E74" s="5" t="inlineStr">
        <is>
          <t>Barbeküyü kapağı açık çek.</t>
        </is>
      </c>
      <c r="F74" s="5" t="inlineStr">
        <is>
          <t>Izgara temiz
Kül boşaltılmış</t>
        </is>
      </c>
      <c r="G74" s="5" t="inlineStr">
        <is>
          <t>Evet</t>
        </is>
      </c>
      <c r="H74" s="5" t="inlineStr">
        <is>
          <t>Hayır</t>
        </is>
      </c>
      <c r="I74" s="5" t="inlineStr">
        <is>
          <t>Hayır</t>
        </is>
      </c>
      <c r="K74" s="5" t="n">
        <v>1</v>
      </c>
      <c r="L74" s="5" t="inlineStr">
        <is>
          <t>Izgarada yağ/yemek kalıntısı veya kül var mı?</t>
        </is>
      </c>
    </row>
    <row r="75">
      <c r="A75" s="5" t="inlineStr">
        <is>
          <t>PH</t>
        </is>
      </c>
      <c r="B75" s="5" t="n">
        <v>18</v>
      </c>
      <c r="C75" s="5" t="inlineStr">
        <is>
          <t>Oda</t>
        </is>
      </c>
      <c r="D75" s="5" t="inlineStr">
        <is>
          <t>Genel oda</t>
        </is>
      </c>
      <c r="E75" s="5" t="inlineStr">
        <is>
          <t>Kapı tarafından tüm odayı tek geniş karede çek. Tüm ışıklar açık.</t>
        </is>
      </c>
      <c r="F75" s="5" t="inlineStr">
        <is>
          <t>Klima çalışıyor
Çöp kovaları boş
Zemin temiz
Duvarda iz yok
Tüm aydınlatma yanıyor</t>
        </is>
      </c>
      <c r="G75" s="5" t="inlineStr">
        <is>
          <t>Evet</t>
        </is>
      </c>
      <c r="H75" s="5" t="inlineStr">
        <is>
          <t>Evet</t>
        </is>
      </c>
      <c r="I75" s="5" t="inlineStr">
        <is>
          <t>Hayır</t>
        </is>
      </c>
      <c r="K75" s="5" t="n">
        <v>1</v>
      </c>
      <c r="L75" s="5" t="inlineStr">
        <is>
          <t>Zeminde kir, çöp; yanmayan lamba; dağınıklık var mı? Konaklama kontrolündeysen misafir eşyalarını değerlendirme.</t>
        </is>
      </c>
    </row>
    <row r="76">
      <c r="A76" s="5" t="inlineStr">
        <is>
          <t>BGS</t>
        </is>
      </c>
      <c r="B76" s="5" t="n">
        <v>1</v>
      </c>
      <c r="C76" s="5" t="inlineStr">
        <is>
          <t>Giriş</t>
        </is>
      </c>
      <c r="D76" s="5" t="inlineStr">
        <is>
          <t>Giriş ve kapı</t>
        </is>
      </c>
      <c r="E76" s="5" t="inlineStr">
        <is>
          <t>Kapıdan girip girişi ve koridoru tek karede çek. Tüm ışıklar açık olsun.</t>
        </is>
      </c>
      <c r="F76" s="5" t="inlineStr">
        <is>
          <t>Kapı ve şifreli kilit çalışıyor
Süpürgelik ve duvar dipleri tozsuz
Aplikler yanıyor
Zeminde leke, saç, kum yok</t>
        </is>
      </c>
      <c r="G76" s="5" t="inlineStr">
        <is>
          <t>Evet</t>
        </is>
      </c>
      <c r="H76" s="5" t="inlineStr">
        <is>
          <t>Evet</t>
        </is>
      </c>
      <c r="I76" s="5" t="inlineStr">
        <is>
          <t>Hayır</t>
        </is>
      </c>
      <c r="K76" s="5" t="n">
        <v>1</v>
      </c>
      <c r="L76" s="5" t="inlineStr">
        <is>
          <t>Zeminde görünür kir, saç, çöp var mı? Yanmayan lamba var mı? Konaklama kontrolündeysen misafir eşyalarını değerlendirme.</t>
        </is>
      </c>
    </row>
    <row r="77">
      <c r="A77" s="5" t="inlineStr">
        <is>
          <t>BGS</t>
        </is>
      </c>
      <c r="B77" s="5" t="n">
        <v>2</v>
      </c>
      <c r="C77" s="5" t="inlineStr">
        <is>
          <t>Banyo</t>
        </is>
      </c>
      <c r="D77" s="5" t="inlineStr">
        <is>
          <t>Lavabo ve ayna</t>
        </is>
      </c>
      <c r="E77" s="5" t="inlineStr">
        <is>
          <t>Lavabo, batarya, ayna ve havlu rafı aynı karede olacak şekilde çek.</t>
        </is>
      </c>
      <c r="F77" s="5" t="inlineStr">
        <is>
          <t>Lavabo içi ve gider temiz
Batarya parlak, su lekesi yok
Sıvı sabun dolu
Ayna lekesiz
Havlular katlı ve tam</t>
        </is>
      </c>
      <c r="G77" s="5" t="inlineStr">
        <is>
          <t>Evet</t>
        </is>
      </c>
      <c r="H77" s="5" t="inlineStr">
        <is>
          <t>Evet</t>
        </is>
      </c>
      <c r="I77" s="5" t="inlineStr">
        <is>
          <t>Hayır</t>
        </is>
      </c>
      <c r="K77" s="5" t="n">
        <v>1</v>
      </c>
      <c r="L77" s="5" t="inlineStr">
        <is>
          <t>Lavaboda kıl, sabun kalıntısı, su lekesi var mı? Aynada leke var mı? Havlular düzgün katlı mı? Konaklama kontrolündeysen misafir eşyalarını değerlendirme.</t>
        </is>
      </c>
    </row>
    <row r="78">
      <c r="A78" s="5" t="inlineStr">
        <is>
          <t>BGS</t>
        </is>
      </c>
      <c r="B78" s="5" t="n">
        <v>3</v>
      </c>
      <c r="C78" s="5" t="inlineStr">
        <is>
          <t>Banyo</t>
        </is>
      </c>
      <c r="D78" s="5" t="inlineStr">
        <is>
          <t>WC</t>
        </is>
      </c>
      <c r="E78" s="5" t="inlineStr">
        <is>
          <t>Klozet kapağı açık, tuvalet kağıdı ve yedek rulo görünecek şekilde çek.</t>
        </is>
      </c>
      <c r="F78" s="5" t="inlineStr">
        <is>
          <t>Klozet içi, kapak altı ve dış yüzey temiz
WC fırçası temiz
Tuvalet kağıdı takılı + yedek rulo
Çöp kovası boş, poşet yeni</t>
        </is>
      </c>
      <c r="G78" s="5" t="inlineStr">
        <is>
          <t>Evet</t>
        </is>
      </c>
      <c r="H78" s="5" t="inlineStr">
        <is>
          <t>Evet</t>
        </is>
      </c>
      <c r="I78" s="5" t="inlineStr">
        <is>
          <t>Hayır</t>
        </is>
      </c>
      <c r="K78" s="5" t="n">
        <v>1</v>
      </c>
      <c r="L78" s="5" t="inlineStr">
        <is>
          <t>Klozet içinde veya kapakta leke/kir var mı? Tuvalet kağıdı ve yedek rulo var mı? Çöp kovası boş mu?</t>
        </is>
      </c>
    </row>
    <row r="79">
      <c r="A79" s="5" t="inlineStr">
        <is>
          <t>BGS</t>
        </is>
      </c>
      <c r="B79" s="5" t="n">
        <v>4</v>
      </c>
      <c r="C79" s="5" t="inlineStr">
        <is>
          <t>Banyo</t>
        </is>
      </c>
      <c r="D79" s="5" t="inlineStr">
        <is>
          <t>Duş</t>
        </is>
      </c>
      <c r="E79" s="5" t="inlineStr">
        <is>
          <t>Duş camını ışığa karşı çek (kireç böyle görünür); dispenserler ve gider görünsün.</t>
        </is>
      </c>
      <c r="F79" s="5" t="inlineStr">
        <is>
          <t>Camda kireç ve su lekesi yok
Duş seti askıda
Şampuan/duş jeli dolu
Giderde saç yok</t>
        </is>
      </c>
      <c r="G79" s="5" t="inlineStr">
        <is>
          <t>Evet</t>
        </is>
      </c>
      <c r="H79" s="5" t="inlineStr">
        <is>
          <t>Evet</t>
        </is>
      </c>
      <c r="I79" s="5" t="inlineStr">
        <is>
          <t>Hayır</t>
        </is>
      </c>
      <c r="K79" s="5" t="n">
        <v>1</v>
      </c>
      <c r="L79" s="5" t="inlineStr">
        <is>
          <t>Duş camında kireç/su lekesi, giderde saç, zeminde kir var mı? Konaklama kontrolündeysen misafir eşyalarını değerlendirme.</t>
        </is>
      </c>
    </row>
    <row r="80">
      <c r="A80" s="5" t="inlineStr">
        <is>
          <t>BGS</t>
        </is>
      </c>
      <c r="B80" s="5" t="n">
        <v>5</v>
      </c>
      <c r="C80" s="5" t="inlineStr">
        <is>
          <t>Oda</t>
        </is>
      </c>
      <c r="D80" s="5" t="inlineStr">
        <is>
          <t>Gardırop</t>
        </is>
      </c>
      <c r="E80" s="5" t="inlineStr">
        <is>
          <t>Kapakları aç, askıları ve rafları tek karede çek. İçerisi karanlıksa feneri aç.</t>
        </is>
      </c>
      <c r="F80" s="5" t="inlineStr">
        <is>
          <t>Askılar tam
Yedek battaniye/yastık katlı
Unutulmuş eşya yok</t>
        </is>
      </c>
      <c r="G80" s="5" t="inlineStr">
        <is>
          <t>Evet</t>
        </is>
      </c>
      <c r="H80" s="5" t="inlineStr">
        <is>
          <t>Hayır</t>
        </is>
      </c>
      <c r="I80" s="5" t="inlineStr">
        <is>
          <t>Evet</t>
        </is>
      </c>
      <c r="K80" s="5" t="n">
        <v>1</v>
      </c>
      <c r="L80" s="5" t="inlineStr">
        <is>
          <t>Gardıropta unutulmuş eşya, çöp var mı? Askılar düzenli mi?</t>
        </is>
      </c>
    </row>
    <row r="81">
      <c r="A81" s="5" t="inlineStr">
        <is>
          <t>BGS</t>
        </is>
      </c>
      <c r="B81" s="5" t="n">
        <v>6</v>
      </c>
      <c r="C81" s="5" t="inlineStr">
        <is>
          <t>Mutfak</t>
        </is>
      </c>
      <c r="D81" s="5" t="inlineStr">
        <is>
          <t>Mutfak tezgahı</t>
        </is>
      </c>
      <c r="E81" s="5" t="inlineStr">
        <is>
          <t>Tezgahın karşısından ocak, evye, kettle ve bulaşıklık tek karede olacak şekilde çek.</t>
        </is>
      </c>
      <c r="F81" s="5" t="inlineStr">
        <is>
          <t>Ocak temiz
Evye ve batarya temiz
Sünger ve fırça temiz
Bulaşıklık boş ve kuru
Kettle boş, kablosu toplanmış
Tuz-biber-yağ dolu
Çöp kovası boş</t>
        </is>
      </c>
      <c r="G81" s="5" t="inlineStr">
        <is>
          <t>Evet</t>
        </is>
      </c>
      <c r="H81" s="5" t="inlineStr">
        <is>
          <t>Evet</t>
        </is>
      </c>
      <c r="I81" s="5" t="inlineStr">
        <is>
          <t>Hayır</t>
        </is>
      </c>
      <c r="K81" s="5" t="n">
        <v>1</v>
      </c>
      <c r="L81" s="5" t="inlineStr">
        <is>
          <t>Tezgahta, ocakta, evyede kir, yağ, kırıntı veya bulaşık var mı? Çöp dolu mu? Konaklama kontrolündeysen misafir eşyalarını değerlendirme.</t>
        </is>
      </c>
    </row>
    <row r="82">
      <c r="A82" s="5" t="inlineStr">
        <is>
          <t>BGS</t>
        </is>
      </c>
      <c r="B82" s="5" t="n">
        <v>7</v>
      </c>
      <c r="C82" s="5" t="inlineStr">
        <is>
          <t>Mutfak</t>
        </is>
      </c>
      <c r="D82" s="5" t="inlineStr">
        <is>
          <t>Çekmeceler</t>
        </is>
      </c>
      <c r="E82" s="5" t="inlineStr">
        <is>
          <t>Çekmeceleri sırayla aç, feneri aç ve her birini tam üstten çek.</t>
        </is>
      </c>
      <c r="F82" s="5" t="inlineStr">
        <is>
          <t>Çatal, kaşık, bıçak tam
Servis gereçleri yerinde
Çekmece içleri kırıntısız</t>
        </is>
      </c>
      <c r="G82" s="5" t="inlineStr">
        <is>
          <t>Evet</t>
        </is>
      </c>
      <c r="H82" s="5" t="inlineStr">
        <is>
          <t>Hayır</t>
        </is>
      </c>
      <c r="I82" s="5" t="inlineStr">
        <is>
          <t>Evet</t>
        </is>
      </c>
      <c r="K82" s="5" t="n">
        <v>2</v>
      </c>
      <c r="L82" s="5" t="inlineStr">
        <is>
          <t>Çekmece içinde kırıntı, kir, yerinden oynamış eşya var mı?</t>
        </is>
      </c>
    </row>
    <row r="83">
      <c r="A83" s="5" t="inlineStr">
        <is>
          <t>BGS</t>
        </is>
      </c>
      <c r="B83" s="5" t="n">
        <v>8</v>
      </c>
      <c r="C83" s="5" t="inlineStr">
        <is>
          <t>Mutfak</t>
        </is>
      </c>
      <c r="D83" s="5" t="inlineStr">
        <is>
          <t>Dolaplar: tabak, bardak, tencere</t>
        </is>
      </c>
      <c r="E83" s="5" t="inlineStr">
        <is>
          <t>Üst ve alt dolapların kapaklarını aç, feneri aç; tabak, bardak ve tencereler görünsün.</t>
        </is>
      </c>
      <c r="F83" s="5" t="inlineStr">
        <is>
          <t>Tabak, kase, bardak, kupa sayısı tam
Bardaklarda su lekesi, kupalarda çay/kahve izi yok
Tencere ve tavalar temiz, kapaklı
Evye altında sızıntı yok</t>
        </is>
      </c>
      <c r="G83" s="5" t="inlineStr">
        <is>
          <t>Evet</t>
        </is>
      </c>
      <c r="H83" s="5" t="inlineStr">
        <is>
          <t>Hayır</t>
        </is>
      </c>
      <c r="I83" s="5" t="inlineStr">
        <is>
          <t>Evet</t>
        </is>
      </c>
      <c r="K83" s="5" t="n">
        <v>2</v>
      </c>
      <c r="L83" s="5" t="inlineStr">
        <is>
          <t>Bardaklarda leke, tabaklarda iz/çatlak, tencerelerde yemek kalıntısı var mı?</t>
        </is>
      </c>
    </row>
    <row r="84">
      <c r="A84" s="5" t="inlineStr">
        <is>
          <t>BGS</t>
        </is>
      </c>
      <c r="B84" s="5" t="n">
        <v>9</v>
      </c>
      <c r="C84" s="5" t="inlineStr">
        <is>
          <t>Mutfak</t>
        </is>
      </c>
      <c r="D84" s="5" t="inlineStr">
        <is>
          <t>Buzdolabı</t>
        </is>
      </c>
      <c r="E84" s="5" t="inlineStr">
        <is>
          <t>Kapağı tamamen aç; içi ve kapak rafları görünsün.</t>
        </is>
      </c>
      <c r="F84" s="5" t="inlineStr">
        <is>
          <t>Raflar temiz
Unutulmuş yiyecek yok
Koku ve buzlanma yok</t>
        </is>
      </c>
      <c r="G84" s="5" t="inlineStr">
        <is>
          <t>Evet</t>
        </is>
      </c>
      <c r="H84" s="5" t="inlineStr">
        <is>
          <t>Hayır</t>
        </is>
      </c>
      <c r="I84" s="5" t="inlineStr">
        <is>
          <t>Hayır</t>
        </is>
      </c>
      <c r="K84" s="5" t="n">
        <v>1</v>
      </c>
      <c r="L84" s="5" t="inlineStr">
        <is>
          <t>Buzdolabında yiyecek kalıntısı, leke, buzlanma var mı?</t>
        </is>
      </c>
    </row>
    <row r="85">
      <c r="A85" s="5" t="inlineStr">
        <is>
          <t>BGS</t>
        </is>
      </c>
      <c r="B85" s="5" t="n">
        <v>10</v>
      </c>
      <c r="C85" s="5" t="inlineStr">
        <is>
          <t>Oda</t>
        </is>
      </c>
      <c r="D85" s="5" t="inlineStr">
        <is>
          <t>TV ve ünite</t>
        </is>
      </c>
      <c r="E85" s="5" t="inlineStr">
        <is>
          <t>TV ve ünite raflarını önden çek.</t>
        </is>
      </c>
      <c r="F85" s="5" t="inlineStr">
        <is>
          <t>TV ekranı tozsuz
Ünite rafları tozsuz
Kumandalar yerinde</t>
        </is>
      </c>
      <c r="G85" s="5" t="inlineStr">
        <is>
          <t>Evet</t>
        </is>
      </c>
      <c r="H85" s="5" t="inlineStr">
        <is>
          <t>Evet</t>
        </is>
      </c>
      <c r="I85" s="5" t="inlineStr">
        <is>
          <t>Hayır</t>
        </is>
      </c>
      <c r="K85" s="5" t="n">
        <v>1</v>
      </c>
      <c r="L85" s="5" t="inlineStr">
        <is>
          <t>TV ve raflarda toz, leke var mı? Konaklama kontrolündeysen misafir eşyalarını değerlendirme.</t>
        </is>
      </c>
    </row>
    <row r="86">
      <c r="A86" s="5" t="inlineStr">
        <is>
          <t>BGS</t>
        </is>
      </c>
      <c r="B86" s="5" t="n">
        <v>11</v>
      </c>
      <c r="C86" s="5" t="inlineStr">
        <is>
          <t>Oda</t>
        </is>
      </c>
      <c r="D86" s="5" t="inlineStr">
        <is>
          <t>Oturma alanı ve masa</t>
        </is>
      </c>
      <c r="E86" s="5" t="inlineStr">
        <is>
          <t>Pencereye doğru geniş açıyla çek; masa, koltuklar ve kanepe görünsün.</t>
        </is>
      </c>
      <c r="F86" s="5" t="inlineStr">
        <is>
          <t>Perde ve tül düzgün
Masa temiz
Koltuk/kanepe temiz, minderler düzgün
Sofa yatak toplanmış</t>
        </is>
      </c>
      <c r="G86" s="5" t="inlineStr">
        <is>
          <t>Evet</t>
        </is>
      </c>
      <c r="H86" s="5" t="inlineStr">
        <is>
          <t>Evet</t>
        </is>
      </c>
      <c r="I86" s="5" t="inlineStr">
        <is>
          <t>Hayır</t>
        </is>
      </c>
      <c r="K86" s="5" t="n">
        <v>1</v>
      </c>
      <c r="L86" s="5" t="inlineStr">
        <is>
          <t>Masada, koltuklarda kir, leke, unutulmuş eşya var mı? Konaklama kontrolündeysen misafir eşyalarını değerlendirme.</t>
        </is>
      </c>
    </row>
    <row r="87">
      <c r="A87" s="5" t="inlineStr">
        <is>
          <t>BGS</t>
        </is>
      </c>
      <c r="B87" s="5" t="n">
        <v>12</v>
      </c>
      <c r="C87" s="5" t="inlineStr">
        <is>
          <t>Oda</t>
        </is>
      </c>
      <c r="D87" s="5" t="inlineStr">
        <is>
          <t>Yatak ve komodinler</t>
        </is>
      </c>
      <c r="E87" s="5" t="inlineStr">
        <is>
          <t>Yatağı ayak ucundan tamamı görünecek şekilde çek; ikinci karede yatak altını ve komodinleri çek.</t>
        </is>
      </c>
      <c r="F87" s="5" t="inlineStr">
        <is>
          <t>Çarşaf dört köşeden gergin
Yastıklar tam, kılıflar lekesiz
Yatak altında eşya/toz yok
Komodinler boş ve tozsuz</t>
        </is>
      </c>
      <c r="G87" s="5" t="inlineStr">
        <is>
          <t>Evet</t>
        </is>
      </c>
      <c r="H87" s="5" t="inlineStr">
        <is>
          <t>Evet</t>
        </is>
      </c>
      <c r="I87" s="5" t="inlineStr">
        <is>
          <t>Hayır</t>
        </is>
      </c>
      <c r="K87" s="5" t="n">
        <v>2</v>
      </c>
      <c r="L87" s="5" t="inlineStr">
        <is>
          <t>Çarşafta kırışık, leke, saç var mı? Yastıklar düzgün mü? Yatak altında eşya/toz var mı? Konaklama kontrolündeysen misafir eşyalarını değerlendirme.</t>
        </is>
      </c>
    </row>
    <row r="88">
      <c r="A88" s="5" t="inlineStr">
        <is>
          <t>BGS</t>
        </is>
      </c>
      <c r="B88" s="5" t="n">
        <v>13</v>
      </c>
      <c r="C88" s="5" t="inlineStr">
        <is>
          <t>Dış alan</t>
        </is>
      </c>
      <c r="D88" s="5" t="inlineStr">
        <is>
          <t>Balkon</t>
        </is>
      </c>
      <c r="E88" s="5" t="inlineStr">
        <is>
          <t>Balkon kapısından balkonun tamamını çek.</t>
        </is>
      </c>
      <c r="F88" s="5" t="inlineStr">
        <is>
          <t>Zemin süpürülmüş
Masa ve sandalyeler temiz
Kül tablası boş</t>
        </is>
      </c>
      <c r="G88" s="5" t="inlineStr">
        <is>
          <t>Evet</t>
        </is>
      </c>
      <c r="H88" s="5" t="inlineStr">
        <is>
          <t>Evet</t>
        </is>
      </c>
      <c r="I88" s="5" t="inlineStr">
        <is>
          <t>Hayır</t>
        </is>
      </c>
      <c r="K88" s="5" t="n">
        <v>1</v>
      </c>
      <c r="L88" s="5" t="inlineStr">
        <is>
          <t>Balkonda çöp, izmarit, kir var mı? Konaklama kontrolündeysen misafir eşyalarını değerlendirme.</t>
        </is>
      </c>
    </row>
    <row r="89">
      <c r="A89" s="5" t="inlineStr">
        <is>
          <t>BGS</t>
        </is>
      </c>
      <c r="B89" s="5" t="n">
        <v>14</v>
      </c>
      <c r="C89" s="5" t="inlineStr">
        <is>
          <t>Dış alan</t>
        </is>
      </c>
      <c r="D89" s="5" t="inlineStr">
        <is>
          <t>Bahçe</t>
        </is>
      </c>
      <c r="E89" s="5" t="inlineStr">
        <is>
          <t>Bahçeyi kapıdan geniş açıyla çek.</t>
        </is>
      </c>
      <c r="F89" s="5" t="inlineStr">
        <is>
          <t>Çöp yok
Bahçe mobilyaları düzenli</t>
        </is>
      </c>
      <c r="G89" s="5" t="inlineStr">
        <is>
          <t>Evet</t>
        </is>
      </c>
      <c r="H89" s="5" t="inlineStr">
        <is>
          <t>Hayır</t>
        </is>
      </c>
      <c r="I89" s="5" t="inlineStr">
        <is>
          <t>Hayır</t>
        </is>
      </c>
      <c r="K89" s="5" t="n">
        <v>1</v>
      </c>
      <c r="L89" s="5" t="inlineStr">
        <is>
          <t>Bahçede çöp var mı, mobilyalar dağınık mı?</t>
        </is>
      </c>
    </row>
    <row r="90">
      <c r="A90" s="5" t="inlineStr">
        <is>
          <t>BGS</t>
        </is>
      </c>
      <c r="B90" s="5" t="n">
        <v>15</v>
      </c>
      <c r="C90" s="5" t="inlineStr">
        <is>
          <t>Oda</t>
        </is>
      </c>
      <c r="D90" s="5" t="inlineStr">
        <is>
          <t>Genel oda</t>
        </is>
      </c>
      <c r="E90" s="5" t="inlineStr">
        <is>
          <t>Kapı tarafından tüm odayı tek geniş karede çek. Tüm ışıklar açık.</t>
        </is>
      </c>
      <c r="F90" s="5" t="inlineStr">
        <is>
          <t>Klima çalışıyor
Çöp kovaları boş
Zemin temiz
Duvarda iz yok
Tüm aydınlatma yanıyor</t>
        </is>
      </c>
      <c r="G90" s="5" t="inlineStr">
        <is>
          <t>Evet</t>
        </is>
      </c>
      <c r="H90" s="5" t="inlineStr">
        <is>
          <t>Evet</t>
        </is>
      </c>
      <c r="I90" s="5" t="inlineStr">
        <is>
          <t>Hayır</t>
        </is>
      </c>
      <c r="K90" s="5" t="n">
        <v>1</v>
      </c>
      <c r="L90" s="5" t="inlineStr">
        <is>
          <t>Zeminde kir, çöp; yanmayan lamba; dağınıklık var mı? Konaklama kontrolündeysen misafir eşyalarını değerlendirme.</t>
        </is>
      </c>
    </row>
    <row r="91">
      <c r="A91" s="5" t="inlineStr">
        <is>
          <t>BSAB</t>
        </is>
      </c>
      <c r="B91" s="5" t="n">
        <v>1</v>
      </c>
      <c r="C91" s="5" t="inlineStr">
        <is>
          <t>Giriş</t>
        </is>
      </c>
      <c r="D91" s="5" t="inlineStr">
        <is>
          <t>Giriş ve kapı</t>
        </is>
      </c>
      <c r="E91" s="5" t="inlineStr">
        <is>
          <t>Kapıdan girip girişi ve koridoru tek karede çek. Tüm ışıklar açık olsun.</t>
        </is>
      </c>
      <c r="F91" s="5" t="inlineStr">
        <is>
          <t>Kapı ve şifreli kilit çalışıyor
Süpürgelik ve duvar dipleri tozsuz
Aplikler yanıyor
Zeminde leke, saç, kum yok</t>
        </is>
      </c>
      <c r="G91" s="5" t="inlineStr">
        <is>
          <t>Evet</t>
        </is>
      </c>
      <c r="H91" s="5" t="inlineStr">
        <is>
          <t>Evet</t>
        </is>
      </c>
      <c r="I91" s="5" t="inlineStr">
        <is>
          <t>Hayır</t>
        </is>
      </c>
      <c r="K91" s="5" t="n">
        <v>1</v>
      </c>
      <c r="L91" s="5" t="inlineStr">
        <is>
          <t>Zeminde görünür kir, saç, çöp var mı? Yanmayan lamba var mı? Konaklama kontrolündeysen misafir eşyalarını değerlendirme.</t>
        </is>
      </c>
    </row>
    <row r="92">
      <c r="A92" s="5" t="inlineStr">
        <is>
          <t>BSAB</t>
        </is>
      </c>
      <c r="B92" s="5" t="n">
        <v>2</v>
      </c>
      <c r="C92" s="5" t="inlineStr">
        <is>
          <t>Banyo</t>
        </is>
      </c>
      <c r="D92" s="5" t="inlineStr">
        <is>
          <t>Lavabo ve ayna</t>
        </is>
      </c>
      <c r="E92" s="5" t="inlineStr">
        <is>
          <t>Lavabo, batarya, ayna ve havlu rafı aynı karede olacak şekilde çek.</t>
        </is>
      </c>
      <c r="F92" s="5" t="inlineStr">
        <is>
          <t>Lavabo içi ve gider temiz
Batarya parlak, su lekesi yok
Sıvı sabun dolu
Ayna lekesiz
Havlular katlı ve tam</t>
        </is>
      </c>
      <c r="G92" s="5" t="inlineStr">
        <is>
          <t>Evet</t>
        </is>
      </c>
      <c r="H92" s="5" t="inlineStr">
        <is>
          <t>Evet</t>
        </is>
      </c>
      <c r="I92" s="5" t="inlineStr">
        <is>
          <t>Hayır</t>
        </is>
      </c>
      <c r="K92" s="5" t="n">
        <v>1</v>
      </c>
      <c r="L92" s="5" t="inlineStr">
        <is>
          <t>Lavaboda kıl, sabun kalıntısı, su lekesi var mı? Aynada leke var mı? Havlular düzgün katlı mı? Konaklama kontrolündeysen misafir eşyalarını değerlendirme.</t>
        </is>
      </c>
    </row>
    <row r="93">
      <c r="A93" s="5" t="inlineStr">
        <is>
          <t>BSAB</t>
        </is>
      </c>
      <c r="B93" s="5" t="n">
        <v>3</v>
      </c>
      <c r="C93" s="5" t="inlineStr">
        <is>
          <t>Banyo</t>
        </is>
      </c>
      <c r="D93" s="5" t="inlineStr">
        <is>
          <t>WC</t>
        </is>
      </c>
      <c r="E93" s="5" t="inlineStr">
        <is>
          <t>Klozet kapağı açık, tuvalet kağıdı ve yedek rulo görünecek şekilde çek.</t>
        </is>
      </c>
      <c r="F93" s="5" t="inlineStr">
        <is>
          <t>Klozet içi, kapak altı ve dış yüzey temiz
WC fırçası temiz
Tuvalet kağıdı takılı + yedek rulo
Çöp kovası boş, poşet yeni</t>
        </is>
      </c>
      <c r="G93" s="5" t="inlineStr">
        <is>
          <t>Evet</t>
        </is>
      </c>
      <c r="H93" s="5" t="inlineStr">
        <is>
          <t>Evet</t>
        </is>
      </c>
      <c r="I93" s="5" t="inlineStr">
        <is>
          <t>Hayır</t>
        </is>
      </c>
      <c r="K93" s="5" t="n">
        <v>1</v>
      </c>
      <c r="L93" s="5" t="inlineStr">
        <is>
          <t>Klozet içinde veya kapakta leke/kir var mı? Tuvalet kağıdı ve yedek rulo var mı? Çöp kovası boş mu?</t>
        </is>
      </c>
    </row>
    <row r="94">
      <c r="A94" s="5" t="inlineStr">
        <is>
          <t>BSAB</t>
        </is>
      </c>
      <c r="B94" s="5" t="n">
        <v>4</v>
      </c>
      <c r="C94" s="5" t="inlineStr">
        <is>
          <t>Banyo</t>
        </is>
      </c>
      <c r="D94" s="5" t="inlineStr">
        <is>
          <t>Duş</t>
        </is>
      </c>
      <c r="E94" s="5" t="inlineStr">
        <is>
          <t>Duş camını ışığa karşı çek (kireç böyle görünür); dispenserler ve gider görünsün.</t>
        </is>
      </c>
      <c r="F94" s="5" t="inlineStr">
        <is>
          <t>Camda kireç ve su lekesi yok
Duş seti askıda
Şampuan/duş jeli dolu
Giderde saç yok</t>
        </is>
      </c>
      <c r="G94" s="5" t="inlineStr">
        <is>
          <t>Evet</t>
        </is>
      </c>
      <c r="H94" s="5" t="inlineStr">
        <is>
          <t>Evet</t>
        </is>
      </c>
      <c r="I94" s="5" t="inlineStr">
        <is>
          <t>Hayır</t>
        </is>
      </c>
      <c r="K94" s="5" t="n">
        <v>1</v>
      </c>
      <c r="L94" s="5" t="inlineStr">
        <is>
          <t>Duş camında kireç/su lekesi, giderde saç, zeminde kir var mı? Konaklama kontrolündeysen misafir eşyalarını değerlendirme.</t>
        </is>
      </c>
    </row>
    <row r="95">
      <c r="A95" s="5" t="inlineStr">
        <is>
          <t>BSAB</t>
        </is>
      </c>
      <c r="B95" s="5" t="n">
        <v>5</v>
      </c>
      <c r="C95" s="5" t="inlineStr">
        <is>
          <t>Oda</t>
        </is>
      </c>
      <c r="D95" s="5" t="inlineStr">
        <is>
          <t>Gardırop</t>
        </is>
      </c>
      <c r="E95" s="5" t="inlineStr">
        <is>
          <t>Kapakları aç, askıları ve rafları tek karede çek. İçerisi karanlıksa feneri aç.</t>
        </is>
      </c>
      <c r="F95" s="5" t="inlineStr">
        <is>
          <t>Askılar tam
Yedek battaniye/yastık katlı
Unutulmuş eşya yok</t>
        </is>
      </c>
      <c r="G95" s="5" t="inlineStr">
        <is>
          <t>Evet</t>
        </is>
      </c>
      <c r="H95" s="5" t="inlineStr">
        <is>
          <t>Hayır</t>
        </is>
      </c>
      <c r="I95" s="5" t="inlineStr">
        <is>
          <t>Evet</t>
        </is>
      </c>
      <c r="K95" s="5" t="n">
        <v>1</v>
      </c>
      <c r="L95" s="5" t="inlineStr">
        <is>
          <t>Gardıropta unutulmuş eşya, çöp var mı? Askılar düzenli mi?</t>
        </is>
      </c>
    </row>
    <row r="96">
      <c r="A96" s="5" t="inlineStr">
        <is>
          <t>BSAB</t>
        </is>
      </c>
      <c r="B96" s="5" t="n">
        <v>6</v>
      </c>
      <c r="C96" s="5" t="inlineStr">
        <is>
          <t>Mutfak</t>
        </is>
      </c>
      <c r="D96" s="5" t="inlineStr">
        <is>
          <t>Mutfak tezgahı</t>
        </is>
      </c>
      <c r="E96" s="5" t="inlineStr">
        <is>
          <t>Tezgahın karşısından ocak, evye, kettle ve bulaşıklık tek karede olacak şekilde çek.</t>
        </is>
      </c>
      <c r="F96" s="5" t="inlineStr">
        <is>
          <t>Ocak temiz
Evye ve batarya temiz
Sünger ve fırça temiz
Bulaşıklık boş ve kuru
Kettle boş, kablosu toplanmış
Tuz-biber-yağ dolu
Çöp kovası boş</t>
        </is>
      </c>
      <c r="G96" s="5" t="inlineStr">
        <is>
          <t>Evet</t>
        </is>
      </c>
      <c r="H96" s="5" t="inlineStr">
        <is>
          <t>Evet</t>
        </is>
      </c>
      <c r="I96" s="5" t="inlineStr">
        <is>
          <t>Hayır</t>
        </is>
      </c>
      <c r="K96" s="5" t="n">
        <v>1</v>
      </c>
      <c r="L96" s="5" t="inlineStr">
        <is>
          <t>Tezgahta, ocakta, evyede kir, yağ, kırıntı veya bulaşık var mı? Çöp dolu mu? Konaklama kontrolündeysen misafir eşyalarını değerlendirme.</t>
        </is>
      </c>
    </row>
    <row r="97">
      <c r="A97" s="5" t="inlineStr">
        <is>
          <t>BSAB</t>
        </is>
      </c>
      <c r="B97" s="5" t="n">
        <v>7</v>
      </c>
      <c r="C97" s="5" t="inlineStr">
        <is>
          <t>Mutfak</t>
        </is>
      </c>
      <c r="D97" s="5" t="inlineStr">
        <is>
          <t>Çekmeceler</t>
        </is>
      </c>
      <c r="E97" s="5" t="inlineStr">
        <is>
          <t>Çekmeceleri sırayla aç, feneri aç ve her birini tam üstten çek.</t>
        </is>
      </c>
      <c r="F97" s="5" t="inlineStr">
        <is>
          <t>Çatal, kaşık, bıçak tam
Servis gereçleri yerinde
Çekmece içleri kırıntısız</t>
        </is>
      </c>
      <c r="G97" s="5" t="inlineStr">
        <is>
          <t>Evet</t>
        </is>
      </c>
      <c r="H97" s="5" t="inlineStr">
        <is>
          <t>Hayır</t>
        </is>
      </c>
      <c r="I97" s="5" t="inlineStr">
        <is>
          <t>Evet</t>
        </is>
      </c>
      <c r="K97" s="5" t="n">
        <v>2</v>
      </c>
      <c r="L97" s="5" t="inlineStr">
        <is>
          <t>Çekmece içinde kırıntı, kir, yerinden oynamış eşya var mı?</t>
        </is>
      </c>
    </row>
    <row r="98">
      <c r="A98" s="5" t="inlineStr">
        <is>
          <t>BSAB</t>
        </is>
      </c>
      <c r="B98" s="5" t="n">
        <v>8</v>
      </c>
      <c r="C98" s="5" t="inlineStr">
        <is>
          <t>Mutfak</t>
        </is>
      </c>
      <c r="D98" s="5" t="inlineStr">
        <is>
          <t>Dolaplar: tabak, bardak, tencere</t>
        </is>
      </c>
      <c r="E98" s="5" t="inlineStr">
        <is>
          <t>Üst ve alt dolapların kapaklarını aç, feneri aç; tabak, bardak ve tencereler görünsün.</t>
        </is>
      </c>
      <c r="F98" s="5" t="inlineStr">
        <is>
          <t>Tabak, kase, bardak, kupa sayısı tam
Bardaklarda su lekesi, kupalarda çay/kahve izi yok
Tencere ve tavalar temiz, kapaklı
Evye altında sızıntı yok</t>
        </is>
      </c>
      <c r="G98" s="5" t="inlineStr">
        <is>
          <t>Evet</t>
        </is>
      </c>
      <c r="H98" s="5" t="inlineStr">
        <is>
          <t>Hayır</t>
        </is>
      </c>
      <c r="I98" s="5" t="inlineStr">
        <is>
          <t>Evet</t>
        </is>
      </c>
      <c r="K98" s="5" t="n">
        <v>2</v>
      </c>
      <c r="L98" s="5" t="inlineStr">
        <is>
          <t>Bardaklarda leke, tabaklarda iz/çatlak, tencerelerde yemek kalıntısı var mı?</t>
        </is>
      </c>
    </row>
    <row r="99">
      <c r="A99" s="5" t="inlineStr">
        <is>
          <t>BSAB</t>
        </is>
      </c>
      <c r="B99" s="5" t="n">
        <v>9</v>
      </c>
      <c r="C99" s="5" t="inlineStr">
        <is>
          <t>Mutfak</t>
        </is>
      </c>
      <c r="D99" s="5" t="inlineStr">
        <is>
          <t>Buzdolabı</t>
        </is>
      </c>
      <c r="E99" s="5" t="inlineStr">
        <is>
          <t>Kapağı tamamen aç; içi ve kapak rafları görünsün.</t>
        </is>
      </c>
      <c r="F99" s="5" t="inlineStr">
        <is>
          <t>Raflar temiz
Unutulmuş yiyecek yok
Koku ve buzlanma yok</t>
        </is>
      </c>
      <c r="G99" s="5" t="inlineStr">
        <is>
          <t>Evet</t>
        </is>
      </c>
      <c r="H99" s="5" t="inlineStr">
        <is>
          <t>Hayır</t>
        </is>
      </c>
      <c r="I99" s="5" t="inlineStr">
        <is>
          <t>Hayır</t>
        </is>
      </c>
      <c r="K99" s="5" t="n">
        <v>1</v>
      </c>
      <c r="L99" s="5" t="inlineStr">
        <is>
          <t>Buzdolabında yiyecek kalıntısı, leke, buzlanma var mı?</t>
        </is>
      </c>
    </row>
    <row r="100">
      <c r="A100" s="5" t="inlineStr">
        <is>
          <t>BSAB</t>
        </is>
      </c>
      <c r="B100" s="5" t="n">
        <v>10</v>
      </c>
      <c r="C100" s="5" t="inlineStr">
        <is>
          <t>Oda</t>
        </is>
      </c>
      <c r="D100" s="5" t="inlineStr">
        <is>
          <t>TV ve ünite</t>
        </is>
      </c>
      <c r="E100" s="5" t="inlineStr">
        <is>
          <t>TV ve ünite raflarını önden çek.</t>
        </is>
      </c>
      <c r="F100" s="5" t="inlineStr">
        <is>
          <t>TV ekranı tozsuz
Ünite rafları tozsuz
Kumandalar yerinde</t>
        </is>
      </c>
      <c r="G100" s="5" t="inlineStr">
        <is>
          <t>Evet</t>
        </is>
      </c>
      <c r="H100" s="5" t="inlineStr">
        <is>
          <t>Evet</t>
        </is>
      </c>
      <c r="I100" s="5" t="inlineStr">
        <is>
          <t>Hayır</t>
        </is>
      </c>
      <c r="K100" s="5" t="n">
        <v>1</v>
      </c>
      <c r="L100" s="5" t="inlineStr">
        <is>
          <t>TV ve raflarda toz, leke var mı? Konaklama kontrolündeysen misafir eşyalarını değerlendirme.</t>
        </is>
      </c>
    </row>
    <row r="101">
      <c r="A101" s="5" t="inlineStr">
        <is>
          <t>BSAB</t>
        </is>
      </c>
      <c r="B101" s="5" t="n">
        <v>11</v>
      </c>
      <c r="C101" s="5" t="inlineStr">
        <is>
          <t>Oda</t>
        </is>
      </c>
      <c r="D101" s="5" t="inlineStr">
        <is>
          <t>Oturma alanı ve masa</t>
        </is>
      </c>
      <c r="E101" s="5" t="inlineStr">
        <is>
          <t>Pencereye doğru geniş açıyla çek; masa, koltuklar ve kanepe görünsün.</t>
        </is>
      </c>
      <c r="F101" s="5" t="inlineStr">
        <is>
          <t>Perde ve tül düzgün
Masa temiz
Koltuk/kanepe temiz, minderler düzgün</t>
        </is>
      </c>
      <c r="G101" s="5" t="inlineStr">
        <is>
          <t>Evet</t>
        </is>
      </c>
      <c r="H101" s="5" t="inlineStr">
        <is>
          <t>Evet</t>
        </is>
      </c>
      <c r="I101" s="5" t="inlineStr">
        <is>
          <t>Hayır</t>
        </is>
      </c>
      <c r="K101" s="5" t="n">
        <v>1</v>
      </c>
      <c r="L101" s="5" t="inlineStr">
        <is>
          <t>Masada, koltuklarda kir, leke, unutulmuş eşya var mı? Konaklama kontrolündeysen misafir eşyalarını değerlendirme.</t>
        </is>
      </c>
    </row>
    <row r="102">
      <c r="A102" s="5" t="inlineStr">
        <is>
          <t>BSAB</t>
        </is>
      </c>
      <c r="B102" s="5" t="n">
        <v>12</v>
      </c>
      <c r="C102" s="5" t="inlineStr">
        <is>
          <t>Oda</t>
        </is>
      </c>
      <c r="D102" s="5" t="inlineStr">
        <is>
          <t>Yatak ve komodinler</t>
        </is>
      </c>
      <c r="E102" s="5" t="inlineStr">
        <is>
          <t>Yatağı ayak ucundan tamamı görünecek şekilde çek; ikinci karede yatak altını ve komodinleri çek.</t>
        </is>
      </c>
      <c r="F102" s="5" t="inlineStr">
        <is>
          <t>Çarşaf dört köşeden gergin
Yastıklar tam, kılıflar lekesiz
Yatak altında eşya/toz yok
Komodinler boş ve tozsuz</t>
        </is>
      </c>
      <c r="G102" s="5" t="inlineStr">
        <is>
          <t>Evet</t>
        </is>
      </c>
      <c r="H102" s="5" t="inlineStr">
        <is>
          <t>Evet</t>
        </is>
      </c>
      <c r="I102" s="5" t="inlineStr">
        <is>
          <t>Hayır</t>
        </is>
      </c>
      <c r="K102" s="5" t="n">
        <v>2</v>
      </c>
      <c r="L102" s="5" t="inlineStr">
        <is>
          <t>Çarşafta kırışık, leke, saç var mı? Yastıklar düzgün mü? Yatak altında eşya/toz var mı? Konaklama kontrolündeysen misafir eşyalarını değerlendirme.</t>
        </is>
      </c>
    </row>
    <row r="103">
      <c r="A103" s="5" t="inlineStr">
        <is>
          <t>BSAB</t>
        </is>
      </c>
      <c r="B103" s="5" t="n">
        <v>13</v>
      </c>
      <c r="C103" s="5" t="inlineStr">
        <is>
          <t>Dış alan</t>
        </is>
      </c>
      <c r="D103" s="5" t="inlineStr">
        <is>
          <t>Balkon</t>
        </is>
      </c>
      <c r="E103" s="5" t="inlineStr">
        <is>
          <t>Balkon kapısından balkonun tamamını çek.</t>
        </is>
      </c>
      <c r="F103" s="5" t="inlineStr">
        <is>
          <t>Zemin süpürülmüş
Masa ve sandalyeler temiz
Kül tablası boş</t>
        </is>
      </c>
      <c r="G103" s="5" t="inlineStr">
        <is>
          <t>Evet</t>
        </is>
      </c>
      <c r="H103" s="5" t="inlineStr">
        <is>
          <t>Evet</t>
        </is>
      </c>
      <c r="I103" s="5" t="inlineStr">
        <is>
          <t>Hayır</t>
        </is>
      </c>
      <c r="K103" s="5" t="n">
        <v>1</v>
      </c>
      <c r="L103" s="5" t="inlineStr">
        <is>
          <t>Balkonda çöp, izmarit, kir var mı? Konaklama kontrolündeysen misafir eşyalarını değerlendirme.</t>
        </is>
      </c>
    </row>
    <row r="104">
      <c r="A104" s="5" t="inlineStr">
        <is>
          <t>BSAB</t>
        </is>
      </c>
      <c r="B104" s="5" t="n">
        <v>14</v>
      </c>
      <c r="C104" s="5" t="inlineStr">
        <is>
          <t>Oda</t>
        </is>
      </c>
      <c r="D104" s="5" t="inlineStr">
        <is>
          <t>Genel oda</t>
        </is>
      </c>
      <c r="E104" s="5" t="inlineStr">
        <is>
          <t>Kapı tarafından tüm odayı tek geniş karede çek. Tüm ışıklar açık.</t>
        </is>
      </c>
      <c r="F104" s="5" t="inlineStr">
        <is>
          <t>Klima çalışıyor
Çöp kovaları boş
Zemin temiz
Duvarda iz yok
Tüm aydınlatma yanıyor</t>
        </is>
      </c>
      <c r="G104" s="5" t="inlineStr">
        <is>
          <t>Evet</t>
        </is>
      </c>
      <c r="H104" s="5" t="inlineStr">
        <is>
          <t>Evet</t>
        </is>
      </c>
      <c r="I104" s="5" t="inlineStr">
        <is>
          <t>Hayır</t>
        </is>
      </c>
      <c r="K104" s="5" t="n">
        <v>1</v>
      </c>
      <c r="L104" s="5" t="inlineStr">
        <is>
          <t>Zeminde kir, çöp; yanmayan lamba; dağınıklık var mı? Konaklama kontrolündeysen misafir eşyalarını değerlendirme.</t>
        </is>
      </c>
    </row>
    <row r="105">
      <c r="A105" s="5" t="inlineStr">
        <is>
          <t>BSA</t>
        </is>
      </c>
      <c r="B105" s="5" t="n">
        <v>1</v>
      </c>
      <c r="C105" s="5" t="inlineStr">
        <is>
          <t>Giriş</t>
        </is>
      </c>
      <c r="D105" s="5" t="inlineStr">
        <is>
          <t>Giriş ve kapı</t>
        </is>
      </c>
      <c r="E105" s="5" t="inlineStr">
        <is>
          <t>Kapıdan girip girişi ve koridoru tek karede çek. Tüm ışıklar açık olsun.</t>
        </is>
      </c>
      <c r="F105" s="5" t="inlineStr">
        <is>
          <t>Kapı ve şifreli kilit çalışıyor
Süpürgelik ve duvar dipleri tozsuz
Aplikler yanıyor
Zeminde leke, saç, kum yok</t>
        </is>
      </c>
      <c r="G105" s="5" t="inlineStr">
        <is>
          <t>Evet</t>
        </is>
      </c>
      <c r="H105" s="5" t="inlineStr">
        <is>
          <t>Evet</t>
        </is>
      </c>
      <c r="I105" s="5" t="inlineStr">
        <is>
          <t>Hayır</t>
        </is>
      </c>
      <c r="K105" s="5" t="n">
        <v>1</v>
      </c>
      <c r="L105" s="5" t="inlineStr">
        <is>
          <t>Zeminde görünür kir, saç, çöp var mı? Yanmayan lamba var mı? Konaklama kontrolündeysen misafir eşyalarını değerlendirme.</t>
        </is>
      </c>
    </row>
    <row r="106">
      <c r="A106" s="5" t="inlineStr">
        <is>
          <t>BSA</t>
        </is>
      </c>
      <c r="B106" s="5" t="n">
        <v>2</v>
      </c>
      <c r="C106" s="5" t="inlineStr">
        <is>
          <t>Banyo</t>
        </is>
      </c>
      <c r="D106" s="5" t="inlineStr">
        <is>
          <t>Lavabo ve ayna</t>
        </is>
      </c>
      <c r="E106" s="5" t="inlineStr">
        <is>
          <t>Lavabo, batarya, ayna ve havlu rafı aynı karede olacak şekilde çek.</t>
        </is>
      </c>
      <c r="F106" s="5" t="inlineStr">
        <is>
          <t>Lavabo içi ve gider temiz
Batarya parlak, su lekesi yok
Sıvı sabun dolu
Ayna lekesiz
Havlular katlı ve tam</t>
        </is>
      </c>
      <c r="G106" s="5" t="inlineStr">
        <is>
          <t>Evet</t>
        </is>
      </c>
      <c r="H106" s="5" t="inlineStr">
        <is>
          <t>Evet</t>
        </is>
      </c>
      <c r="I106" s="5" t="inlineStr">
        <is>
          <t>Hayır</t>
        </is>
      </c>
      <c r="K106" s="5" t="n">
        <v>1</v>
      </c>
      <c r="L106" s="5" t="inlineStr">
        <is>
          <t>Lavaboda kıl, sabun kalıntısı, su lekesi var mı? Aynada leke var mı? Havlular düzgün katlı mı? Konaklama kontrolündeysen misafir eşyalarını değerlendirme.</t>
        </is>
      </c>
    </row>
    <row r="107">
      <c r="A107" s="5" t="inlineStr">
        <is>
          <t>BSA</t>
        </is>
      </c>
      <c r="B107" s="5" t="n">
        <v>3</v>
      </c>
      <c r="C107" s="5" t="inlineStr">
        <is>
          <t>Banyo</t>
        </is>
      </c>
      <c r="D107" s="5" t="inlineStr">
        <is>
          <t>WC</t>
        </is>
      </c>
      <c r="E107" s="5" t="inlineStr">
        <is>
          <t>Klozet kapağı açık, tuvalet kağıdı ve yedek rulo görünecek şekilde çek.</t>
        </is>
      </c>
      <c r="F107" s="5" t="inlineStr">
        <is>
          <t>Klozet içi, kapak altı ve dış yüzey temiz
WC fırçası temiz
Tuvalet kağıdı takılı + yedek rulo
Çöp kovası boş, poşet yeni</t>
        </is>
      </c>
      <c r="G107" s="5" t="inlineStr">
        <is>
          <t>Evet</t>
        </is>
      </c>
      <c r="H107" s="5" t="inlineStr">
        <is>
          <t>Evet</t>
        </is>
      </c>
      <c r="I107" s="5" t="inlineStr">
        <is>
          <t>Hayır</t>
        </is>
      </c>
      <c r="K107" s="5" t="n">
        <v>1</v>
      </c>
      <c r="L107" s="5" t="inlineStr">
        <is>
          <t>Klozet içinde veya kapakta leke/kir var mı? Tuvalet kağıdı ve yedek rulo var mı? Çöp kovası boş mu?</t>
        </is>
      </c>
    </row>
    <row r="108">
      <c r="A108" s="5" t="inlineStr">
        <is>
          <t>BSA</t>
        </is>
      </c>
      <c r="B108" s="5" t="n">
        <v>4</v>
      </c>
      <c r="C108" s="5" t="inlineStr">
        <is>
          <t>Banyo</t>
        </is>
      </c>
      <c r="D108" s="5" t="inlineStr">
        <is>
          <t>Duş</t>
        </is>
      </c>
      <c r="E108" s="5" t="inlineStr">
        <is>
          <t>Duş camını ışığa karşı çek (kireç böyle görünür); dispenserler ve gider görünsün.</t>
        </is>
      </c>
      <c r="F108" s="5" t="inlineStr">
        <is>
          <t>Camda kireç ve su lekesi yok
Duş seti askıda
Şampuan/duş jeli dolu
Giderde saç yok</t>
        </is>
      </c>
      <c r="G108" s="5" t="inlineStr">
        <is>
          <t>Evet</t>
        </is>
      </c>
      <c r="H108" s="5" t="inlineStr">
        <is>
          <t>Evet</t>
        </is>
      </c>
      <c r="I108" s="5" t="inlineStr">
        <is>
          <t>Hayır</t>
        </is>
      </c>
      <c r="K108" s="5" t="n">
        <v>1</v>
      </c>
      <c r="L108" s="5" t="inlineStr">
        <is>
          <t>Duş camında kireç/su lekesi, giderde saç, zeminde kir var mı? Konaklama kontrolündeysen misafir eşyalarını değerlendirme.</t>
        </is>
      </c>
    </row>
    <row r="109">
      <c r="A109" s="5" t="inlineStr">
        <is>
          <t>BSA</t>
        </is>
      </c>
      <c r="B109" s="5" t="n">
        <v>5</v>
      </c>
      <c r="C109" s="5" t="inlineStr">
        <is>
          <t>Oda</t>
        </is>
      </c>
      <c r="D109" s="5" t="inlineStr">
        <is>
          <t>Gardırop</t>
        </is>
      </c>
      <c r="E109" s="5" t="inlineStr">
        <is>
          <t>Kapakları aç, askıları ve rafları tek karede çek. İçerisi karanlıksa feneri aç.</t>
        </is>
      </c>
      <c r="F109" s="5" t="inlineStr">
        <is>
          <t>Askılar tam
Yedek battaniye/yastık katlı
Unutulmuş eşya yok</t>
        </is>
      </c>
      <c r="G109" s="5" t="inlineStr">
        <is>
          <t>Evet</t>
        </is>
      </c>
      <c r="H109" s="5" t="inlineStr">
        <is>
          <t>Hayır</t>
        </is>
      </c>
      <c r="I109" s="5" t="inlineStr">
        <is>
          <t>Evet</t>
        </is>
      </c>
      <c r="K109" s="5" t="n">
        <v>1</v>
      </c>
      <c r="L109" s="5" t="inlineStr">
        <is>
          <t>Gardıropta unutulmuş eşya, çöp var mı? Askılar düzenli mi?</t>
        </is>
      </c>
    </row>
    <row r="110">
      <c r="A110" s="5" t="inlineStr">
        <is>
          <t>BSA</t>
        </is>
      </c>
      <c r="B110" s="5" t="n">
        <v>6</v>
      </c>
      <c r="C110" s="5" t="inlineStr">
        <is>
          <t>Mutfak</t>
        </is>
      </c>
      <c r="D110" s="5" t="inlineStr">
        <is>
          <t>Mutfak tezgahı</t>
        </is>
      </c>
      <c r="E110" s="5" t="inlineStr">
        <is>
          <t>Tezgahın karşısından ocak, evye, kettle ve bulaşıklık tek karede olacak şekilde çek.</t>
        </is>
      </c>
      <c r="F110" s="5" t="inlineStr">
        <is>
          <t>Ocak temiz
Evye ve batarya temiz
Sünger ve fırça temiz
Bulaşıklık boş ve kuru
Kettle boş, kablosu toplanmış
Tuz-biber-yağ dolu
Çöp kovası boş</t>
        </is>
      </c>
      <c r="G110" s="5" t="inlineStr">
        <is>
          <t>Evet</t>
        </is>
      </c>
      <c r="H110" s="5" t="inlineStr">
        <is>
          <t>Evet</t>
        </is>
      </c>
      <c r="I110" s="5" t="inlineStr">
        <is>
          <t>Hayır</t>
        </is>
      </c>
      <c r="K110" s="5" t="n">
        <v>1</v>
      </c>
      <c r="L110" s="5" t="inlineStr">
        <is>
          <t>Tezgahta, ocakta, evyede kir, yağ, kırıntı veya bulaşık var mı? Çöp dolu mu? Konaklama kontrolündeysen misafir eşyalarını değerlendirme.</t>
        </is>
      </c>
    </row>
    <row r="111">
      <c r="A111" s="5" t="inlineStr">
        <is>
          <t>BSA</t>
        </is>
      </c>
      <c r="B111" s="5" t="n">
        <v>7</v>
      </c>
      <c r="C111" s="5" t="inlineStr">
        <is>
          <t>Mutfak</t>
        </is>
      </c>
      <c r="D111" s="5" t="inlineStr">
        <is>
          <t>Çekmeceler</t>
        </is>
      </c>
      <c r="E111" s="5" t="inlineStr">
        <is>
          <t>Çekmeceleri sırayla aç, feneri aç ve her birini tam üstten çek.</t>
        </is>
      </c>
      <c r="F111" s="5" t="inlineStr">
        <is>
          <t>Çatal, kaşık, bıçak tam
Servis gereçleri yerinde
Çekmece içleri kırıntısız</t>
        </is>
      </c>
      <c r="G111" s="5" t="inlineStr">
        <is>
          <t>Evet</t>
        </is>
      </c>
      <c r="H111" s="5" t="inlineStr">
        <is>
          <t>Hayır</t>
        </is>
      </c>
      <c r="I111" s="5" t="inlineStr">
        <is>
          <t>Evet</t>
        </is>
      </c>
      <c r="K111" s="5" t="n">
        <v>2</v>
      </c>
      <c r="L111" s="5" t="inlineStr">
        <is>
          <t>Çekmece içinde kırıntı, kir, yerinden oynamış eşya var mı?</t>
        </is>
      </c>
    </row>
    <row r="112">
      <c r="A112" s="5" t="inlineStr">
        <is>
          <t>BSA</t>
        </is>
      </c>
      <c r="B112" s="5" t="n">
        <v>8</v>
      </c>
      <c r="C112" s="5" t="inlineStr">
        <is>
          <t>Mutfak</t>
        </is>
      </c>
      <c r="D112" s="5" t="inlineStr">
        <is>
          <t>Dolaplar: tabak, bardak, tencere</t>
        </is>
      </c>
      <c r="E112" s="5" t="inlineStr">
        <is>
          <t>Üst ve alt dolapların kapaklarını aç, feneri aç; tabak, bardak ve tencereler görünsün.</t>
        </is>
      </c>
      <c r="F112" s="5" t="inlineStr">
        <is>
          <t>Tabak, kase, bardak, kupa sayısı tam
Bardaklarda su lekesi, kupalarda çay/kahve izi yok
Tencere ve tavalar temiz, kapaklı
Evye altında sızıntı yok</t>
        </is>
      </c>
      <c r="G112" s="5" t="inlineStr">
        <is>
          <t>Evet</t>
        </is>
      </c>
      <c r="H112" s="5" t="inlineStr">
        <is>
          <t>Hayır</t>
        </is>
      </c>
      <c r="I112" s="5" t="inlineStr">
        <is>
          <t>Evet</t>
        </is>
      </c>
      <c r="K112" s="5" t="n">
        <v>2</v>
      </c>
      <c r="L112" s="5" t="inlineStr">
        <is>
          <t>Bardaklarda leke, tabaklarda iz/çatlak, tencerelerde yemek kalıntısı var mı?</t>
        </is>
      </c>
    </row>
    <row r="113">
      <c r="A113" s="5" t="inlineStr">
        <is>
          <t>BSA</t>
        </is>
      </c>
      <c r="B113" s="5" t="n">
        <v>9</v>
      </c>
      <c r="C113" s="5" t="inlineStr">
        <is>
          <t>Mutfak</t>
        </is>
      </c>
      <c r="D113" s="5" t="inlineStr">
        <is>
          <t>Buzdolabı</t>
        </is>
      </c>
      <c r="E113" s="5" t="inlineStr">
        <is>
          <t>Kapağı tamamen aç; içi ve kapak rafları görünsün.</t>
        </is>
      </c>
      <c r="F113" s="5" t="inlineStr">
        <is>
          <t>Raflar temiz
Unutulmuş yiyecek yok
Koku ve buzlanma yok</t>
        </is>
      </c>
      <c r="G113" s="5" t="inlineStr">
        <is>
          <t>Evet</t>
        </is>
      </c>
      <c r="H113" s="5" t="inlineStr">
        <is>
          <t>Hayır</t>
        </is>
      </c>
      <c r="I113" s="5" t="inlineStr">
        <is>
          <t>Hayır</t>
        </is>
      </c>
      <c r="K113" s="5" t="n">
        <v>1</v>
      </c>
      <c r="L113" s="5" t="inlineStr">
        <is>
          <t>Buzdolabında yiyecek kalıntısı, leke, buzlanma var mı?</t>
        </is>
      </c>
    </row>
    <row r="114">
      <c r="A114" s="5" t="inlineStr">
        <is>
          <t>BSA</t>
        </is>
      </c>
      <c r="B114" s="5" t="n">
        <v>10</v>
      </c>
      <c r="C114" s="5" t="inlineStr">
        <is>
          <t>Mutfak</t>
        </is>
      </c>
      <c r="D114" s="5" t="inlineStr">
        <is>
          <t>Mikrodalga</t>
        </is>
      </c>
      <c r="E114" s="5" t="inlineStr">
        <is>
          <t>Mikrodalga kapağını açıp içini çek.</t>
        </is>
      </c>
      <c r="F114" s="5" t="inlineStr">
        <is>
          <t>İçi temiz, yağ ve yemek kalıntısı yok
Tabla yerinde</t>
        </is>
      </c>
      <c r="G114" s="5" t="inlineStr">
        <is>
          <t>Evet</t>
        </is>
      </c>
      <c r="H114" s="5" t="inlineStr">
        <is>
          <t>Hayır</t>
        </is>
      </c>
      <c r="I114" s="5" t="inlineStr">
        <is>
          <t>Evet</t>
        </is>
      </c>
      <c r="K114" s="5" t="n">
        <v>1</v>
      </c>
      <c r="L114" s="5" t="inlineStr">
        <is>
          <t>İçeride yağ, yanık, yemek kalıntısı var mı?</t>
        </is>
      </c>
    </row>
    <row r="115">
      <c r="A115" s="5" t="inlineStr">
        <is>
          <t>BSA</t>
        </is>
      </c>
      <c r="B115" s="5" t="n">
        <v>11</v>
      </c>
      <c r="C115" s="5" t="inlineStr">
        <is>
          <t>Mutfak</t>
        </is>
      </c>
      <c r="D115" s="5" t="inlineStr">
        <is>
          <t>Çamaşır makinesi</t>
        </is>
      </c>
      <c r="E115" s="5" t="inlineStr">
        <is>
          <t>Kapağını açıp tamburu çek.</t>
        </is>
      </c>
      <c r="F115" s="5" t="inlineStr">
        <is>
          <t>Tambur boş
Kapak lastiği temiz</t>
        </is>
      </c>
      <c r="G115" s="5" t="inlineStr">
        <is>
          <t>Evet</t>
        </is>
      </c>
      <c r="H115" s="5" t="inlineStr">
        <is>
          <t>Hayır</t>
        </is>
      </c>
      <c r="I115" s="5" t="inlineStr">
        <is>
          <t>Evet</t>
        </is>
      </c>
      <c r="K115" s="5" t="n">
        <v>1</v>
      </c>
      <c r="L115" s="5" t="inlineStr">
        <is>
          <t>Tamburda unutulmuş çamaşır var mı?</t>
        </is>
      </c>
    </row>
    <row r="116">
      <c r="A116" s="5" t="inlineStr">
        <is>
          <t>BSA</t>
        </is>
      </c>
      <c r="B116" s="5" t="n">
        <v>12</v>
      </c>
      <c r="C116" s="5" t="inlineStr">
        <is>
          <t>Oda</t>
        </is>
      </c>
      <c r="D116" s="5" t="inlineStr">
        <is>
          <t>TV ve ünite</t>
        </is>
      </c>
      <c r="E116" s="5" t="inlineStr">
        <is>
          <t>TV ve ünite raflarını önden çek.</t>
        </is>
      </c>
      <c r="F116" s="5" t="inlineStr">
        <is>
          <t>TV ekranı tozsuz
Ünite rafları tozsuz
Kumandalar yerinde</t>
        </is>
      </c>
      <c r="G116" s="5" t="inlineStr">
        <is>
          <t>Evet</t>
        </is>
      </c>
      <c r="H116" s="5" t="inlineStr">
        <is>
          <t>Evet</t>
        </is>
      </c>
      <c r="I116" s="5" t="inlineStr">
        <is>
          <t>Hayır</t>
        </is>
      </c>
      <c r="K116" s="5" t="n">
        <v>1</v>
      </c>
      <c r="L116" s="5" t="inlineStr">
        <is>
          <t>TV ve raflarda toz, leke var mı? Konaklama kontrolündeysen misafir eşyalarını değerlendirme.</t>
        </is>
      </c>
    </row>
    <row r="117">
      <c r="A117" s="5" t="inlineStr">
        <is>
          <t>BSA</t>
        </is>
      </c>
      <c r="B117" s="5" t="n">
        <v>13</v>
      </c>
      <c r="C117" s="5" t="inlineStr">
        <is>
          <t>Oda</t>
        </is>
      </c>
      <c r="D117" s="5" t="inlineStr">
        <is>
          <t>Oturma alanı ve masa</t>
        </is>
      </c>
      <c r="E117" s="5" t="inlineStr">
        <is>
          <t>Pencereye doğru geniş açıyla çek; masa, koltuklar ve kanepe görünsün.</t>
        </is>
      </c>
      <c r="F117" s="5" t="inlineStr">
        <is>
          <t>Perde ve tül düzgün
Masa temiz
Koltuk/kanepe temiz, minderler düzgün</t>
        </is>
      </c>
      <c r="G117" s="5" t="inlineStr">
        <is>
          <t>Evet</t>
        </is>
      </c>
      <c r="H117" s="5" t="inlineStr">
        <is>
          <t>Evet</t>
        </is>
      </c>
      <c r="I117" s="5" t="inlineStr">
        <is>
          <t>Hayır</t>
        </is>
      </c>
      <c r="K117" s="5" t="n">
        <v>1</v>
      </c>
      <c r="L117" s="5" t="inlineStr">
        <is>
          <t>Masada, koltuklarda kir, leke, unutulmuş eşya var mı? Konaklama kontrolündeysen misafir eşyalarını değerlendirme.</t>
        </is>
      </c>
    </row>
    <row r="118">
      <c r="A118" s="5" t="inlineStr">
        <is>
          <t>BSA</t>
        </is>
      </c>
      <c r="B118" s="5" t="n">
        <v>14</v>
      </c>
      <c r="C118" s="5" t="inlineStr">
        <is>
          <t>Oda</t>
        </is>
      </c>
      <c r="D118" s="5" t="inlineStr">
        <is>
          <t>Yatak ve komodinler</t>
        </is>
      </c>
      <c r="E118" s="5" t="inlineStr">
        <is>
          <t>Yatağı ayak ucundan tamamı görünecek şekilde çek; ikinci karede yatak altını ve komodinleri çek.</t>
        </is>
      </c>
      <c r="F118" s="5" t="inlineStr">
        <is>
          <t>Çarşaf dört köşeden gergin
Yastıklar tam, kılıflar lekesiz
Yatak altında eşya/toz yok
Komodinler boş ve tozsuz</t>
        </is>
      </c>
      <c r="G118" s="5" t="inlineStr">
        <is>
          <t>Evet</t>
        </is>
      </c>
      <c r="H118" s="5" t="inlineStr">
        <is>
          <t>Evet</t>
        </is>
      </c>
      <c r="I118" s="5" t="inlineStr">
        <is>
          <t>Hayır</t>
        </is>
      </c>
      <c r="K118" s="5" t="n">
        <v>2</v>
      </c>
      <c r="L118" s="5" t="inlineStr">
        <is>
          <t>Çarşafta kırışık, leke, saç var mı? Yastıklar düzgün mü? Yatak altında eşya/toz var mı? Konaklama kontrolündeysen misafir eşyalarını değerlendirme.</t>
        </is>
      </c>
    </row>
    <row r="119">
      <c r="A119" s="5" t="inlineStr">
        <is>
          <t>BSA</t>
        </is>
      </c>
      <c r="B119" s="5" t="n">
        <v>15</v>
      </c>
      <c r="C119" s="5" t="inlineStr">
        <is>
          <t>Oda</t>
        </is>
      </c>
      <c r="D119" s="5" t="inlineStr">
        <is>
          <t>Genel oda</t>
        </is>
      </c>
      <c r="E119" s="5" t="inlineStr">
        <is>
          <t>Kapı tarafından tüm odayı tek geniş karede çek. Tüm ışıklar açık.</t>
        </is>
      </c>
      <c r="F119" s="5" t="inlineStr">
        <is>
          <t>Klima çalışıyor
Çöp kovaları boş
Zemin temiz
Duvarda iz yok
Tüm aydınlatma yanıyor</t>
        </is>
      </c>
      <c r="G119" s="5" t="inlineStr">
        <is>
          <t>Evet</t>
        </is>
      </c>
      <c r="H119" s="5" t="inlineStr">
        <is>
          <t>Evet</t>
        </is>
      </c>
      <c r="I119" s="5" t="inlineStr">
        <is>
          <t>Hayır</t>
        </is>
      </c>
      <c r="K119" s="5" t="n">
        <v>1</v>
      </c>
      <c r="L119" s="5" t="inlineStr">
        <is>
          <t>Zeminde kir, çöp; yanmayan lamba; dağınıklık var mı? Konaklama kontrolündeysen misafir eşyalarını değerlendirme.</t>
        </is>
      </c>
    </row>
    <row r="120">
      <c r="A120" s="5" t="inlineStr">
        <is>
          <t>EDR</t>
        </is>
      </c>
      <c r="B120" s="5" t="n">
        <v>1</v>
      </c>
      <c r="C120" s="5" t="inlineStr">
        <is>
          <t>Giriş</t>
        </is>
      </c>
      <c r="D120" s="5" t="inlineStr">
        <is>
          <t>Giriş ve kapı</t>
        </is>
      </c>
      <c r="E120" s="5" t="inlineStr">
        <is>
          <t>Kapıdan girip girişi ve koridoru tek karede çek. Tüm ışıklar açık olsun.</t>
        </is>
      </c>
      <c r="F120" s="5" t="inlineStr">
        <is>
          <t>Kapı ve şifreli kilit çalışıyor
Süpürgelik ve duvar dipleri tozsuz
Aplikler yanıyor
Zeminde leke, saç, kum yok</t>
        </is>
      </c>
      <c r="G120" s="5" t="inlineStr">
        <is>
          <t>Evet</t>
        </is>
      </c>
      <c r="H120" s="5" t="inlineStr">
        <is>
          <t>Evet</t>
        </is>
      </c>
      <c r="I120" s="5" t="inlineStr">
        <is>
          <t>Hayır</t>
        </is>
      </c>
      <c r="K120" s="5" t="n">
        <v>1</v>
      </c>
      <c r="L120" s="5" t="inlineStr">
        <is>
          <t>Zeminde görünür kir, saç, çöp var mı? Yanmayan lamba var mı? Konaklama kontrolündeysen misafir eşyalarını değerlendirme.</t>
        </is>
      </c>
    </row>
    <row r="121">
      <c r="A121" s="5" t="inlineStr">
        <is>
          <t>EDR</t>
        </is>
      </c>
      <c r="B121" s="5" t="n">
        <v>2</v>
      </c>
      <c r="C121" s="5" t="inlineStr">
        <is>
          <t>Banyo</t>
        </is>
      </c>
      <c r="D121" s="5" t="inlineStr">
        <is>
          <t>Lavabo ve ayna</t>
        </is>
      </c>
      <c r="E121" s="5" t="inlineStr">
        <is>
          <t>Lavabo, batarya, ayna ve havlu rafı aynı karede olacak şekilde çek.</t>
        </is>
      </c>
      <c r="F121" s="5" t="inlineStr">
        <is>
          <t>Lavabo içi ve gider temiz
Batarya parlak, su lekesi yok
Sıvı sabun dolu
Ayna lekesiz
Havlular katlı ve tam</t>
        </is>
      </c>
      <c r="G121" s="5" t="inlineStr">
        <is>
          <t>Evet</t>
        </is>
      </c>
      <c r="H121" s="5" t="inlineStr">
        <is>
          <t>Evet</t>
        </is>
      </c>
      <c r="I121" s="5" t="inlineStr">
        <is>
          <t>Hayır</t>
        </is>
      </c>
      <c r="K121" s="5" t="n">
        <v>1</v>
      </c>
      <c r="L121" s="5" t="inlineStr">
        <is>
          <t>Lavaboda kıl, sabun kalıntısı, su lekesi var mı? Aynada leke var mı? Havlular düzgün katlı mı? Konaklama kontrolündeysen misafir eşyalarını değerlendirme.</t>
        </is>
      </c>
    </row>
    <row r="122">
      <c r="A122" s="5" t="inlineStr">
        <is>
          <t>EDR</t>
        </is>
      </c>
      <c r="B122" s="5" t="n">
        <v>3</v>
      </c>
      <c r="C122" s="5" t="inlineStr">
        <is>
          <t>Banyo</t>
        </is>
      </c>
      <c r="D122" s="5" t="inlineStr">
        <is>
          <t>WC</t>
        </is>
      </c>
      <c r="E122" s="5" t="inlineStr">
        <is>
          <t>Klozet kapağı açık, tuvalet kağıdı ve yedek rulo görünecek şekilde çek.</t>
        </is>
      </c>
      <c r="F122" s="5" t="inlineStr">
        <is>
          <t>Klozet içi, kapak altı ve dış yüzey temiz
WC fırçası temiz
Tuvalet kağıdı takılı + yedek rulo
Çöp kovası boş, poşet yeni</t>
        </is>
      </c>
      <c r="G122" s="5" t="inlineStr">
        <is>
          <t>Evet</t>
        </is>
      </c>
      <c r="H122" s="5" t="inlineStr">
        <is>
          <t>Evet</t>
        </is>
      </c>
      <c r="I122" s="5" t="inlineStr">
        <is>
          <t>Hayır</t>
        </is>
      </c>
      <c r="K122" s="5" t="n">
        <v>1</v>
      </c>
      <c r="L122" s="5" t="inlineStr">
        <is>
          <t>Klozet içinde veya kapakta leke/kir var mı? Tuvalet kağıdı ve yedek rulo var mı? Çöp kovası boş mu?</t>
        </is>
      </c>
    </row>
    <row r="123">
      <c r="A123" s="5" t="inlineStr">
        <is>
          <t>EDR</t>
        </is>
      </c>
      <c r="B123" s="5" t="n">
        <v>4</v>
      </c>
      <c r="C123" s="5" t="inlineStr">
        <is>
          <t>Banyo</t>
        </is>
      </c>
      <c r="D123" s="5" t="inlineStr">
        <is>
          <t>Duş</t>
        </is>
      </c>
      <c r="E123" s="5" t="inlineStr">
        <is>
          <t>Duş camını ışığa karşı çek (kireç böyle görünür); dispenserler ve gider görünsün.</t>
        </is>
      </c>
      <c r="F123" s="5" t="inlineStr">
        <is>
          <t>Camda kireç ve su lekesi yok
Duş seti askıda
Şampuan/duş jeli dolu
Giderde saç yok</t>
        </is>
      </c>
      <c r="G123" s="5" t="inlineStr">
        <is>
          <t>Evet</t>
        </is>
      </c>
      <c r="H123" s="5" t="inlineStr">
        <is>
          <t>Evet</t>
        </is>
      </c>
      <c r="I123" s="5" t="inlineStr">
        <is>
          <t>Hayır</t>
        </is>
      </c>
      <c r="K123" s="5" t="n">
        <v>1</v>
      </c>
      <c r="L123" s="5" t="inlineStr">
        <is>
          <t>Duş camında kireç/su lekesi, giderde saç, zeminde kir var mı? Konaklama kontrolündeysen misafir eşyalarını değerlendirme.</t>
        </is>
      </c>
    </row>
    <row r="124">
      <c r="A124" s="5" t="inlineStr">
        <is>
          <t>EDR</t>
        </is>
      </c>
      <c r="B124" s="5" t="n">
        <v>5</v>
      </c>
      <c r="C124" s="5" t="inlineStr">
        <is>
          <t>Oda</t>
        </is>
      </c>
      <c r="D124" s="5" t="inlineStr">
        <is>
          <t>Gardırop</t>
        </is>
      </c>
      <c r="E124" s="5" t="inlineStr">
        <is>
          <t>Kapakları aç, askıları ve rafları tek karede çek. İçerisi karanlıksa feneri aç.</t>
        </is>
      </c>
      <c r="F124" s="5" t="inlineStr">
        <is>
          <t>Askılar tam
Yedek battaniye/yastık katlı
Unutulmuş eşya yok</t>
        </is>
      </c>
      <c r="G124" s="5" t="inlineStr">
        <is>
          <t>Evet</t>
        </is>
      </c>
      <c r="H124" s="5" t="inlineStr">
        <is>
          <t>Hayır</t>
        </is>
      </c>
      <c r="I124" s="5" t="inlineStr">
        <is>
          <t>Evet</t>
        </is>
      </c>
      <c r="K124" s="5" t="n">
        <v>1</v>
      </c>
      <c r="L124" s="5" t="inlineStr">
        <is>
          <t>Gardıropta unutulmuş eşya, çöp var mı? Askılar düzenli mi?</t>
        </is>
      </c>
    </row>
    <row r="125">
      <c r="A125" s="5" t="inlineStr">
        <is>
          <t>EDR</t>
        </is>
      </c>
      <c r="B125" s="5" t="n">
        <v>6</v>
      </c>
      <c r="C125" s="5" t="inlineStr">
        <is>
          <t>Oda</t>
        </is>
      </c>
      <c r="D125" s="5" t="inlineStr">
        <is>
          <t>Kasa</t>
        </is>
      </c>
      <c r="E125" s="5" t="inlineStr">
        <is>
          <t>Kasa kapağını açıp içini çek.</t>
        </is>
      </c>
      <c r="F125" s="5" t="inlineStr">
        <is>
          <t>Kasa boş
Kasa açık bırakılmış, kilitli değil</t>
        </is>
      </c>
      <c r="G125" s="5" t="inlineStr">
        <is>
          <t>Evet</t>
        </is>
      </c>
      <c r="H125" s="5" t="inlineStr">
        <is>
          <t>Hayır</t>
        </is>
      </c>
      <c r="I125" s="5" t="inlineStr">
        <is>
          <t>Evet</t>
        </is>
      </c>
      <c r="K125" s="5" t="n">
        <v>1</v>
      </c>
      <c r="L125" s="5" t="inlineStr">
        <is>
          <t>Kasanın içinde eşya var mı? Kapak açık mı?</t>
        </is>
      </c>
    </row>
    <row r="126">
      <c r="A126" s="5" t="inlineStr">
        <is>
          <t>EDR</t>
        </is>
      </c>
      <c r="B126" s="5" t="n">
        <v>7</v>
      </c>
      <c r="C126" s="5" t="inlineStr">
        <is>
          <t>Oda</t>
        </is>
      </c>
      <c r="D126" s="5" t="inlineStr">
        <is>
          <t>Kettle ve ikram</t>
        </is>
      </c>
      <c r="E126" s="5" t="inlineStr">
        <is>
          <t>Kettle, bardaklar ve ikram tepsisini tek karede çek.</t>
        </is>
      </c>
      <c r="F126" s="5" t="inlineStr">
        <is>
          <t>Kettle boş ve temiz
Bardaklar lekesiz
İkram tepsisi tam</t>
        </is>
      </c>
      <c r="G126" s="5" t="inlineStr">
        <is>
          <t>Evet</t>
        </is>
      </c>
      <c r="H126" s="5" t="inlineStr">
        <is>
          <t>Evet</t>
        </is>
      </c>
      <c r="I126" s="5" t="inlineStr">
        <is>
          <t>Hayır</t>
        </is>
      </c>
      <c r="K126" s="5" t="n">
        <v>1</v>
      </c>
      <c r="L126" s="5" t="inlineStr">
        <is>
          <t>Bardaklarda leke, kettle içinde su/kireç var mı? İkram eksik mi?</t>
        </is>
      </c>
    </row>
    <row r="127">
      <c r="A127" s="5" t="inlineStr">
        <is>
          <t>EDR</t>
        </is>
      </c>
      <c r="B127" s="5" t="n">
        <v>8</v>
      </c>
      <c r="C127" s="5" t="inlineStr">
        <is>
          <t>Oda</t>
        </is>
      </c>
      <c r="D127" s="5" t="inlineStr">
        <is>
          <t>TV ve ünite</t>
        </is>
      </c>
      <c r="E127" s="5" t="inlineStr">
        <is>
          <t>TV ve ünite raflarını önden çek.</t>
        </is>
      </c>
      <c r="F127" s="5" t="inlineStr">
        <is>
          <t>TV ekranı tozsuz
Ünite rafları tozsuz
Kumandalar yerinde</t>
        </is>
      </c>
      <c r="G127" s="5" t="inlineStr">
        <is>
          <t>Evet</t>
        </is>
      </c>
      <c r="H127" s="5" t="inlineStr">
        <is>
          <t>Evet</t>
        </is>
      </c>
      <c r="I127" s="5" t="inlineStr">
        <is>
          <t>Hayır</t>
        </is>
      </c>
      <c r="K127" s="5" t="n">
        <v>1</v>
      </c>
      <c r="L127" s="5" t="inlineStr">
        <is>
          <t>TV ve raflarda toz, leke var mı? Konaklama kontrolündeysen misafir eşyalarını değerlendirme.</t>
        </is>
      </c>
    </row>
    <row r="128">
      <c r="A128" s="5" t="inlineStr">
        <is>
          <t>EDR</t>
        </is>
      </c>
      <c r="B128" s="5" t="n">
        <v>9</v>
      </c>
      <c r="C128" s="5" t="inlineStr">
        <is>
          <t>Oda</t>
        </is>
      </c>
      <c r="D128" s="5" t="inlineStr">
        <is>
          <t>Yatak ve komodinler</t>
        </is>
      </c>
      <c r="E128" s="5" t="inlineStr">
        <is>
          <t>Yatağı ayak ucundan tamamı görünecek şekilde çek; ikinci karede yatak altını ve komodinleri çek.</t>
        </is>
      </c>
      <c r="F128" s="5" t="inlineStr">
        <is>
          <t>Çarşaf dört köşeden gergin
Yastıklar tam, kılıflar lekesiz
Yatak altında eşya/toz yok
Komodinler boş ve tozsuz</t>
        </is>
      </c>
      <c r="G128" s="5" t="inlineStr">
        <is>
          <t>Evet</t>
        </is>
      </c>
      <c r="H128" s="5" t="inlineStr">
        <is>
          <t>Evet</t>
        </is>
      </c>
      <c r="I128" s="5" t="inlineStr">
        <is>
          <t>Hayır</t>
        </is>
      </c>
      <c r="K128" s="5" t="n">
        <v>2</v>
      </c>
      <c r="L128" s="5" t="inlineStr">
        <is>
          <t>Çarşafta kırışık, leke, saç var mı? Yastıklar düzgün mü? Yatak altında eşya/toz var mı? Konaklama kontrolündeysen misafir eşyalarını değerlendirme.</t>
        </is>
      </c>
    </row>
    <row r="129">
      <c r="A129" s="5" t="inlineStr">
        <is>
          <t>EDR</t>
        </is>
      </c>
      <c r="B129" s="5" t="n">
        <v>10</v>
      </c>
      <c r="C129" s="5" t="inlineStr">
        <is>
          <t>Oda</t>
        </is>
      </c>
      <c r="D129" s="5" t="inlineStr">
        <is>
          <t>Genel oda</t>
        </is>
      </c>
      <c r="E129" s="5" t="inlineStr">
        <is>
          <t>Kapı tarafından tüm odayı tek geniş karede çek. Tüm ışıklar açık.</t>
        </is>
      </c>
      <c r="F129" s="5" t="inlineStr">
        <is>
          <t>Klima çalışıyor
Çöp kovaları boş
Zemin temiz
Duvarda iz yok
Tüm aydınlatma yanıyor</t>
        </is>
      </c>
      <c r="G129" s="5" t="inlineStr">
        <is>
          <t>Evet</t>
        </is>
      </c>
      <c r="H129" s="5" t="inlineStr">
        <is>
          <t>Evet</t>
        </is>
      </c>
      <c r="I129" s="5" t="inlineStr">
        <is>
          <t>Hayır</t>
        </is>
      </c>
      <c r="K129" s="5" t="n">
        <v>1</v>
      </c>
      <c r="L129" s="5" t="inlineStr">
        <is>
          <t>Zeminde kir, çöp; yanmayan lamba; dağınıklık var mı? Konaklama kontrolündeysen misafir eşyalarını değerlendirme.</t>
        </is>
      </c>
    </row>
    <row r="130">
      <c r="A130" s="5" t="inlineStr">
        <is>
          <t>DSSW</t>
        </is>
      </c>
      <c r="B130" s="5" t="n">
        <v>1</v>
      </c>
      <c r="C130" s="5" t="inlineStr">
        <is>
          <t>Giriş</t>
        </is>
      </c>
      <c r="D130" s="5" t="inlineStr">
        <is>
          <t>Giriş ve kapı</t>
        </is>
      </c>
      <c r="E130" s="5" t="inlineStr">
        <is>
          <t>Kapıdan girip girişi ve koridoru tek karede çek. Tüm ışıklar açık olsun.</t>
        </is>
      </c>
      <c r="F130" s="5" t="inlineStr">
        <is>
          <t>Kapı ve şifreli kilit çalışıyor
Süpürgelik ve duvar dipleri tozsuz
Aplikler yanıyor
Zeminde leke, saç, kum yok</t>
        </is>
      </c>
      <c r="G130" s="5" t="inlineStr">
        <is>
          <t>Evet</t>
        </is>
      </c>
      <c r="H130" s="5" t="inlineStr">
        <is>
          <t>Evet</t>
        </is>
      </c>
      <c r="I130" s="5" t="inlineStr">
        <is>
          <t>Hayır</t>
        </is>
      </c>
      <c r="K130" s="5" t="n">
        <v>1</v>
      </c>
      <c r="L130" s="5" t="inlineStr">
        <is>
          <t>Zeminde görünür kir, saç, çöp var mı? Yanmayan lamba var mı? Konaklama kontrolündeysen misafir eşyalarını değerlendirme.</t>
        </is>
      </c>
    </row>
    <row r="131">
      <c r="A131" s="5" t="inlineStr">
        <is>
          <t>DSSW</t>
        </is>
      </c>
      <c r="B131" s="5" t="n">
        <v>2</v>
      </c>
      <c r="C131" s="5" t="inlineStr">
        <is>
          <t>Banyo</t>
        </is>
      </c>
      <c r="D131" s="5" t="inlineStr">
        <is>
          <t>Lavabo ve ayna</t>
        </is>
      </c>
      <c r="E131" s="5" t="inlineStr">
        <is>
          <t>Lavabo, batarya, ayna ve havlu rafı aynı karede olacak şekilde çek.</t>
        </is>
      </c>
      <c r="F131" s="5" t="inlineStr">
        <is>
          <t>Lavabo içi ve gider temiz
Batarya parlak, su lekesi yok
Sıvı sabun dolu
Ayna lekesiz
Havlular katlı ve tam</t>
        </is>
      </c>
      <c r="G131" s="5" t="inlineStr">
        <is>
          <t>Evet</t>
        </is>
      </c>
      <c r="H131" s="5" t="inlineStr">
        <is>
          <t>Evet</t>
        </is>
      </c>
      <c r="I131" s="5" t="inlineStr">
        <is>
          <t>Hayır</t>
        </is>
      </c>
      <c r="K131" s="5" t="n">
        <v>1</v>
      </c>
      <c r="L131" s="5" t="inlineStr">
        <is>
          <t>Lavaboda kıl, sabun kalıntısı, su lekesi var mı? Aynada leke var mı? Havlular düzgün katlı mı? Konaklama kontrolündeysen misafir eşyalarını değerlendirme.</t>
        </is>
      </c>
    </row>
    <row r="132">
      <c r="A132" s="5" t="inlineStr">
        <is>
          <t>DSSW</t>
        </is>
      </c>
      <c r="B132" s="5" t="n">
        <v>3</v>
      </c>
      <c r="C132" s="5" t="inlineStr">
        <is>
          <t>Banyo</t>
        </is>
      </c>
      <c r="D132" s="5" t="inlineStr">
        <is>
          <t>WC</t>
        </is>
      </c>
      <c r="E132" s="5" t="inlineStr">
        <is>
          <t>Klozet kapağı açık, tuvalet kağıdı ve yedek rulo görünecek şekilde çek.</t>
        </is>
      </c>
      <c r="F132" s="5" t="inlineStr">
        <is>
          <t>Klozet içi, kapak altı ve dış yüzey temiz
WC fırçası temiz
Tuvalet kağıdı takılı + yedek rulo
Çöp kovası boş, poşet yeni</t>
        </is>
      </c>
      <c r="G132" s="5" t="inlineStr">
        <is>
          <t>Evet</t>
        </is>
      </c>
      <c r="H132" s="5" t="inlineStr">
        <is>
          <t>Evet</t>
        </is>
      </c>
      <c r="I132" s="5" t="inlineStr">
        <is>
          <t>Hayır</t>
        </is>
      </c>
      <c r="K132" s="5" t="n">
        <v>1</v>
      </c>
      <c r="L132" s="5" t="inlineStr">
        <is>
          <t>Klozet içinde veya kapakta leke/kir var mı? Tuvalet kağıdı ve yedek rulo var mı? Çöp kovası boş mu?</t>
        </is>
      </c>
    </row>
    <row r="133">
      <c r="A133" s="5" t="inlineStr">
        <is>
          <t>DSSW</t>
        </is>
      </c>
      <c r="B133" s="5" t="n">
        <v>4</v>
      </c>
      <c r="C133" s="5" t="inlineStr">
        <is>
          <t>Banyo</t>
        </is>
      </c>
      <c r="D133" s="5" t="inlineStr">
        <is>
          <t>Duş</t>
        </is>
      </c>
      <c r="E133" s="5" t="inlineStr">
        <is>
          <t>Duş camını ışığa karşı çek (kireç böyle görünür); dispenserler ve gider görünsün.</t>
        </is>
      </c>
      <c r="F133" s="5" t="inlineStr">
        <is>
          <t>Camda kireç ve su lekesi yok
Duş seti askıda
Şampuan/duş jeli dolu
Giderde saç yok</t>
        </is>
      </c>
      <c r="G133" s="5" t="inlineStr">
        <is>
          <t>Evet</t>
        </is>
      </c>
      <c r="H133" s="5" t="inlineStr">
        <is>
          <t>Evet</t>
        </is>
      </c>
      <c r="I133" s="5" t="inlineStr">
        <is>
          <t>Hayır</t>
        </is>
      </c>
      <c r="K133" s="5" t="n">
        <v>1</v>
      </c>
      <c r="L133" s="5" t="inlineStr">
        <is>
          <t>Duş camında kireç/su lekesi, giderde saç, zeminde kir var mı? Konaklama kontrolündeysen misafir eşyalarını değerlendirme.</t>
        </is>
      </c>
    </row>
    <row r="134">
      <c r="A134" s="5" t="inlineStr">
        <is>
          <t>DSSW</t>
        </is>
      </c>
      <c r="B134" s="5" t="n">
        <v>5</v>
      </c>
      <c r="C134" s="5" t="inlineStr">
        <is>
          <t>Oda</t>
        </is>
      </c>
      <c r="D134" s="5" t="inlineStr">
        <is>
          <t>Gardırop</t>
        </is>
      </c>
      <c r="E134" s="5" t="inlineStr">
        <is>
          <t>Kapakları aç, askıları ve rafları tek karede çek. İçerisi karanlıksa feneri aç.</t>
        </is>
      </c>
      <c r="F134" s="5" t="inlineStr">
        <is>
          <t>Askılar tam
Yedek battaniye/yastık katlı
Unutulmuş eşya yok</t>
        </is>
      </c>
      <c r="G134" s="5" t="inlineStr">
        <is>
          <t>Evet</t>
        </is>
      </c>
      <c r="H134" s="5" t="inlineStr">
        <is>
          <t>Hayır</t>
        </is>
      </c>
      <c r="I134" s="5" t="inlineStr">
        <is>
          <t>Evet</t>
        </is>
      </c>
      <c r="K134" s="5" t="n">
        <v>1</v>
      </c>
      <c r="L134" s="5" t="inlineStr">
        <is>
          <t>Gardıropta unutulmuş eşya, çöp var mı? Askılar düzenli mi?</t>
        </is>
      </c>
    </row>
    <row r="135">
      <c r="A135" s="5" t="inlineStr">
        <is>
          <t>DSSW</t>
        </is>
      </c>
      <c r="B135" s="5" t="n">
        <v>6</v>
      </c>
      <c r="C135" s="5" t="inlineStr">
        <is>
          <t>Oda</t>
        </is>
      </c>
      <c r="D135" s="5" t="inlineStr">
        <is>
          <t>Kasa</t>
        </is>
      </c>
      <c r="E135" s="5" t="inlineStr">
        <is>
          <t>Kasa kapağını açıp içini çek.</t>
        </is>
      </c>
      <c r="F135" s="5" t="inlineStr">
        <is>
          <t>Kasa boş
Kasa açık bırakılmış, kilitli değil</t>
        </is>
      </c>
      <c r="G135" s="5" t="inlineStr">
        <is>
          <t>Evet</t>
        </is>
      </c>
      <c r="H135" s="5" t="inlineStr">
        <is>
          <t>Hayır</t>
        </is>
      </c>
      <c r="I135" s="5" t="inlineStr">
        <is>
          <t>Evet</t>
        </is>
      </c>
      <c r="K135" s="5" t="n">
        <v>1</v>
      </c>
      <c r="L135" s="5" t="inlineStr">
        <is>
          <t>Kasanın içinde eşya var mı? Kapak açık mı?</t>
        </is>
      </c>
    </row>
    <row r="136">
      <c r="A136" s="5" t="inlineStr">
        <is>
          <t>DSSW</t>
        </is>
      </c>
      <c r="B136" s="5" t="n">
        <v>7</v>
      </c>
      <c r="C136" s="5" t="inlineStr">
        <is>
          <t>Oda</t>
        </is>
      </c>
      <c r="D136" s="5" t="inlineStr">
        <is>
          <t>Kettle ve ikram</t>
        </is>
      </c>
      <c r="E136" s="5" t="inlineStr">
        <is>
          <t>Kettle, bardaklar ve ikram tepsisini tek karede çek.</t>
        </is>
      </c>
      <c r="F136" s="5" t="inlineStr">
        <is>
          <t>Kettle boş ve temiz
Bardaklar lekesiz
İkram tepsisi tam</t>
        </is>
      </c>
      <c r="G136" s="5" t="inlineStr">
        <is>
          <t>Evet</t>
        </is>
      </c>
      <c r="H136" s="5" t="inlineStr">
        <is>
          <t>Evet</t>
        </is>
      </c>
      <c r="I136" s="5" t="inlineStr">
        <is>
          <t>Hayır</t>
        </is>
      </c>
      <c r="K136" s="5" t="n">
        <v>1</v>
      </c>
      <c r="L136" s="5" t="inlineStr">
        <is>
          <t>Bardaklarda leke, kettle içinde su/kireç var mı? İkram eksik mi?</t>
        </is>
      </c>
    </row>
    <row r="137">
      <c r="A137" s="5" t="inlineStr">
        <is>
          <t>DSSW</t>
        </is>
      </c>
      <c r="B137" s="5" t="n">
        <v>8</v>
      </c>
      <c r="C137" s="5" t="inlineStr">
        <is>
          <t>Oda</t>
        </is>
      </c>
      <c r="D137" s="5" t="inlineStr">
        <is>
          <t>TV ve ünite</t>
        </is>
      </c>
      <c r="E137" s="5" t="inlineStr">
        <is>
          <t>TV ve ünite raflarını önden çek.</t>
        </is>
      </c>
      <c r="F137" s="5" t="inlineStr">
        <is>
          <t>TV ekranı tozsuz
Ünite rafları tozsuz
Kumandalar yerinde</t>
        </is>
      </c>
      <c r="G137" s="5" t="inlineStr">
        <is>
          <t>Evet</t>
        </is>
      </c>
      <c r="H137" s="5" t="inlineStr">
        <is>
          <t>Evet</t>
        </is>
      </c>
      <c r="I137" s="5" t="inlineStr">
        <is>
          <t>Hayır</t>
        </is>
      </c>
      <c r="K137" s="5" t="n">
        <v>1</v>
      </c>
      <c r="L137" s="5" t="inlineStr">
        <is>
          <t>TV ve raflarda toz, leke var mı? Konaklama kontrolündeysen misafir eşyalarını değerlendirme.</t>
        </is>
      </c>
    </row>
    <row r="138">
      <c r="A138" s="5" t="inlineStr">
        <is>
          <t>DSSW</t>
        </is>
      </c>
      <c r="B138" s="5" t="n">
        <v>9</v>
      </c>
      <c r="C138" s="5" t="inlineStr">
        <is>
          <t>Oda</t>
        </is>
      </c>
      <c r="D138" s="5" t="inlineStr">
        <is>
          <t>Oturma alanı ve masa</t>
        </is>
      </c>
      <c r="E138" s="5" t="inlineStr">
        <is>
          <t>Pencereye doğru geniş açıyla çek; masa, koltuklar ve kanepe görünsün.</t>
        </is>
      </c>
      <c r="F138" s="5" t="inlineStr">
        <is>
          <t>Perde ve tül düzgün
Masa temiz
Koltuk/kanepe temiz, minderler düzgün</t>
        </is>
      </c>
      <c r="G138" s="5" t="inlineStr">
        <is>
          <t>Evet</t>
        </is>
      </c>
      <c r="H138" s="5" t="inlineStr">
        <is>
          <t>Evet</t>
        </is>
      </c>
      <c r="I138" s="5" t="inlineStr">
        <is>
          <t>Hayır</t>
        </is>
      </c>
      <c r="K138" s="5" t="n">
        <v>1</v>
      </c>
      <c r="L138" s="5" t="inlineStr">
        <is>
          <t>Masada, koltuklarda kir, leke, unutulmuş eşya var mı? Konaklama kontrolündeysen misafir eşyalarını değerlendirme.</t>
        </is>
      </c>
    </row>
    <row r="139">
      <c r="A139" s="5" t="inlineStr">
        <is>
          <t>DSSW</t>
        </is>
      </c>
      <c r="B139" s="5" t="n">
        <v>10</v>
      </c>
      <c r="C139" s="5" t="inlineStr">
        <is>
          <t>Oda</t>
        </is>
      </c>
      <c r="D139" s="5" t="inlineStr">
        <is>
          <t>Yatak ve komodinler</t>
        </is>
      </c>
      <c r="E139" s="5" t="inlineStr">
        <is>
          <t>Yatağı ayak ucundan tamamı görünecek şekilde çek; ikinci karede yatak altını ve komodinleri çek.</t>
        </is>
      </c>
      <c r="F139" s="5" t="inlineStr">
        <is>
          <t>Çarşaf dört köşeden gergin
Yastıklar tam, kılıflar lekesiz
Yatak altında eşya/toz yok
Komodinler boş ve tozsuz</t>
        </is>
      </c>
      <c r="G139" s="5" t="inlineStr">
        <is>
          <t>Evet</t>
        </is>
      </c>
      <c r="H139" s="5" t="inlineStr">
        <is>
          <t>Evet</t>
        </is>
      </c>
      <c r="I139" s="5" t="inlineStr">
        <is>
          <t>Hayır</t>
        </is>
      </c>
      <c r="K139" s="5" t="n">
        <v>2</v>
      </c>
      <c r="L139" s="5" t="inlineStr">
        <is>
          <t>Çarşafta kırışık, leke, saç var mı? Yastıklar düzgün mü? Yatak altında eşya/toz var mı? Konaklama kontrolündeysen misafir eşyalarını değerlendirme.</t>
        </is>
      </c>
    </row>
    <row r="140">
      <c r="A140" s="5" t="inlineStr">
        <is>
          <t>DSSW</t>
        </is>
      </c>
      <c r="B140" s="5" t="n">
        <v>11</v>
      </c>
      <c r="C140" s="5" t="inlineStr">
        <is>
          <t>Oda</t>
        </is>
      </c>
      <c r="D140" s="5" t="inlineStr">
        <is>
          <t>Genel oda</t>
        </is>
      </c>
      <c r="E140" s="5" t="inlineStr">
        <is>
          <t>Kapı tarafından tüm odayı tek geniş karede çek. Tüm ışıklar açık.</t>
        </is>
      </c>
      <c r="F140" s="5" t="inlineStr">
        <is>
          <t>Klima çalışıyor
Çöp kovaları boş
Zemin temiz
Duvarda iz yok
Tüm aydınlatma yanıyor</t>
        </is>
      </c>
      <c r="G140" s="5" t="inlineStr">
        <is>
          <t>Evet</t>
        </is>
      </c>
      <c r="H140" s="5" t="inlineStr">
        <is>
          <t>Evet</t>
        </is>
      </c>
      <c r="I140" s="5" t="inlineStr">
        <is>
          <t>Hayır</t>
        </is>
      </c>
      <c r="K140" s="5" t="n">
        <v>1</v>
      </c>
      <c r="L140" s="5" t="inlineStr">
        <is>
          <t>Zeminde kir, çöp; yanmayan lamba; dağınıklık var mı? Konaklama kontrolündeysen misafir eşyalarını değerlendirme.</t>
        </is>
      </c>
    </row>
    <row r="141">
      <c r="A141" s="5" t="inlineStr">
        <is>
          <t>EXSB</t>
        </is>
      </c>
      <c r="B141" s="5" t="n">
        <v>1</v>
      </c>
      <c r="C141" s="5" t="inlineStr">
        <is>
          <t>Giriş</t>
        </is>
      </c>
      <c r="D141" s="5" t="inlineStr">
        <is>
          <t>Giriş ve kapı</t>
        </is>
      </c>
      <c r="E141" s="5" t="inlineStr">
        <is>
          <t>Kapıdan girip girişi ve koridoru tek karede çek. Tüm ışıklar açık olsun.</t>
        </is>
      </c>
      <c r="F141" s="5" t="inlineStr">
        <is>
          <t>Kapı ve şifreli kilit çalışıyor
Süpürgelik ve duvar dipleri tozsuz
Aplikler yanıyor
Zeminde leke, saç, kum yok</t>
        </is>
      </c>
      <c r="G141" s="5" t="inlineStr">
        <is>
          <t>Evet</t>
        </is>
      </c>
      <c r="H141" s="5" t="inlineStr">
        <is>
          <t>Evet</t>
        </is>
      </c>
      <c r="I141" s="5" t="inlineStr">
        <is>
          <t>Hayır</t>
        </is>
      </c>
      <c r="K141" s="5" t="n">
        <v>1</v>
      </c>
      <c r="L141" s="5" t="inlineStr">
        <is>
          <t>Zeminde görünür kir, saç, çöp var mı? Yanmayan lamba var mı? Konaklama kontrolündeysen misafir eşyalarını değerlendirme.</t>
        </is>
      </c>
    </row>
    <row r="142">
      <c r="A142" s="5" t="inlineStr">
        <is>
          <t>EXSB</t>
        </is>
      </c>
      <c r="B142" s="5" t="n">
        <v>2</v>
      </c>
      <c r="C142" s="5" t="inlineStr">
        <is>
          <t>Banyo</t>
        </is>
      </c>
      <c r="D142" s="5" t="inlineStr">
        <is>
          <t>Lavabo ve ayna</t>
        </is>
      </c>
      <c r="E142" s="5" t="inlineStr">
        <is>
          <t>Lavabo, batarya, ayna ve havlu rafı aynı karede olacak şekilde çek.</t>
        </is>
      </c>
      <c r="F142" s="5" t="inlineStr">
        <is>
          <t>Lavabo içi ve gider temiz
Batarya parlak, su lekesi yok
Sıvı sabun dolu
Ayna lekesiz
Havlular katlı ve tam</t>
        </is>
      </c>
      <c r="G142" s="5" t="inlineStr">
        <is>
          <t>Evet</t>
        </is>
      </c>
      <c r="H142" s="5" t="inlineStr">
        <is>
          <t>Evet</t>
        </is>
      </c>
      <c r="I142" s="5" t="inlineStr">
        <is>
          <t>Hayır</t>
        </is>
      </c>
      <c r="K142" s="5" t="n">
        <v>1</v>
      </c>
      <c r="L142" s="5" t="inlineStr">
        <is>
          <t>Lavaboda kıl, sabun kalıntısı, su lekesi var mı? Aynada leke var mı? Havlular düzgün katlı mı? Konaklama kontrolündeysen misafir eşyalarını değerlendirme.</t>
        </is>
      </c>
    </row>
    <row r="143">
      <c r="A143" s="5" t="inlineStr">
        <is>
          <t>EXSB</t>
        </is>
      </c>
      <c r="B143" s="5" t="n">
        <v>3</v>
      </c>
      <c r="C143" s="5" t="inlineStr">
        <is>
          <t>Banyo</t>
        </is>
      </c>
      <c r="D143" s="5" t="inlineStr">
        <is>
          <t>WC</t>
        </is>
      </c>
      <c r="E143" s="5" t="inlineStr">
        <is>
          <t>Klozet kapağı açık, tuvalet kağıdı ve yedek rulo görünecek şekilde çek.</t>
        </is>
      </c>
      <c r="F143" s="5" t="inlineStr">
        <is>
          <t>Klozet içi, kapak altı ve dış yüzey temiz
WC fırçası temiz
Tuvalet kağıdı takılı + yedek rulo
Çöp kovası boş, poşet yeni</t>
        </is>
      </c>
      <c r="G143" s="5" t="inlineStr">
        <is>
          <t>Evet</t>
        </is>
      </c>
      <c r="H143" s="5" t="inlineStr">
        <is>
          <t>Evet</t>
        </is>
      </c>
      <c r="I143" s="5" t="inlineStr">
        <is>
          <t>Hayır</t>
        </is>
      </c>
      <c r="K143" s="5" t="n">
        <v>1</v>
      </c>
      <c r="L143" s="5" t="inlineStr">
        <is>
          <t>Klozet içinde veya kapakta leke/kir var mı? Tuvalet kağıdı ve yedek rulo var mı? Çöp kovası boş mu?</t>
        </is>
      </c>
    </row>
    <row r="144">
      <c r="A144" s="5" t="inlineStr">
        <is>
          <t>EXSB</t>
        </is>
      </c>
      <c r="B144" s="5" t="n">
        <v>4</v>
      </c>
      <c r="C144" s="5" t="inlineStr">
        <is>
          <t>Banyo</t>
        </is>
      </c>
      <c r="D144" s="5" t="inlineStr">
        <is>
          <t>Duş</t>
        </is>
      </c>
      <c r="E144" s="5" t="inlineStr">
        <is>
          <t>Duş camını ışığa karşı çek (kireç böyle görünür); dispenserler ve gider görünsün.</t>
        </is>
      </c>
      <c r="F144" s="5" t="inlineStr">
        <is>
          <t>Camda kireç ve su lekesi yok
Duş seti askıda
Şampuan/duş jeli dolu
Giderde saç yok</t>
        </is>
      </c>
      <c r="G144" s="5" t="inlineStr">
        <is>
          <t>Evet</t>
        </is>
      </c>
      <c r="H144" s="5" t="inlineStr">
        <is>
          <t>Evet</t>
        </is>
      </c>
      <c r="I144" s="5" t="inlineStr">
        <is>
          <t>Hayır</t>
        </is>
      </c>
      <c r="K144" s="5" t="n">
        <v>1</v>
      </c>
      <c r="L144" s="5" t="inlineStr">
        <is>
          <t>Duş camında kireç/su lekesi, giderde saç, zeminde kir var mı? Konaklama kontrolündeysen misafir eşyalarını değerlendirme.</t>
        </is>
      </c>
    </row>
    <row r="145">
      <c r="A145" s="5" t="inlineStr">
        <is>
          <t>EXSB</t>
        </is>
      </c>
      <c r="B145" s="5" t="n">
        <v>5</v>
      </c>
      <c r="C145" s="5" t="inlineStr">
        <is>
          <t>Oda</t>
        </is>
      </c>
      <c r="D145" s="5" t="inlineStr">
        <is>
          <t>Gardırop</t>
        </is>
      </c>
      <c r="E145" s="5" t="inlineStr">
        <is>
          <t>Kapakları aç, askıları ve rafları tek karede çek. İçerisi karanlıksa feneri aç.</t>
        </is>
      </c>
      <c r="F145" s="5" t="inlineStr">
        <is>
          <t>Askılar tam
Yedek battaniye/yastık katlı
Unutulmuş eşya yok</t>
        </is>
      </c>
      <c r="G145" s="5" t="inlineStr">
        <is>
          <t>Evet</t>
        </is>
      </c>
      <c r="H145" s="5" t="inlineStr">
        <is>
          <t>Hayır</t>
        </is>
      </c>
      <c r="I145" s="5" t="inlineStr">
        <is>
          <t>Evet</t>
        </is>
      </c>
      <c r="K145" s="5" t="n">
        <v>1</v>
      </c>
      <c r="L145" s="5" t="inlineStr">
        <is>
          <t>Gardıropta unutulmuş eşya, çöp var mı? Askılar düzenli mi?</t>
        </is>
      </c>
    </row>
    <row r="146">
      <c r="A146" s="5" t="inlineStr">
        <is>
          <t>EXSB</t>
        </is>
      </c>
      <c r="B146" s="5" t="n">
        <v>6</v>
      </c>
      <c r="C146" s="5" t="inlineStr">
        <is>
          <t>Oda</t>
        </is>
      </c>
      <c r="D146" s="5" t="inlineStr">
        <is>
          <t>Kasa</t>
        </is>
      </c>
      <c r="E146" s="5" t="inlineStr">
        <is>
          <t>Kasa kapağını açıp içini çek.</t>
        </is>
      </c>
      <c r="F146" s="5" t="inlineStr">
        <is>
          <t>Kasa boş
Kasa açık bırakılmış, kilitli değil</t>
        </is>
      </c>
      <c r="G146" s="5" t="inlineStr">
        <is>
          <t>Evet</t>
        </is>
      </c>
      <c r="H146" s="5" t="inlineStr">
        <is>
          <t>Hayır</t>
        </is>
      </c>
      <c r="I146" s="5" t="inlineStr">
        <is>
          <t>Evet</t>
        </is>
      </c>
      <c r="K146" s="5" t="n">
        <v>1</v>
      </c>
      <c r="L146" s="5" t="inlineStr">
        <is>
          <t>Kasanın içinde eşya var mı? Kapak açık mı?</t>
        </is>
      </c>
    </row>
    <row r="147">
      <c r="A147" s="5" t="inlineStr">
        <is>
          <t>EXSB</t>
        </is>
      </c>
      <c r="B147" s="5" t="n">
        <v>7</v>
      </c>
      <c r="C147" s="5" t="inlineStr">
        <is>
          <t>Oda</t>
        </is>
      </c>
      <c r="D147" s="5" t="inlineStr">
        <is>
          <t>Kettle ve ikram</t>
        </is>
      </c>
      <c r="E147" s="5" t="inlineStr">
        <is>
          <t>Kettle, bardaklar ve ikram tepsisini tek karede çek.</t>
        </is>
      </c>
      <c r="F147" s="5" t="inlineStr">
        <is>
          <t>Kettle boş ve temiz
Bardaklar lekesiz
İkram tepsisi tam</t>
        </is>
      </c>
      <c r="G147" s="5" t="inlineStr">
        <is>
          <t>Evet</t>
        </is>
      </c>
      <c r="H147" s="5" t="inlineStr">
        <is>
          <t>Evet</t>
        </is>
      </c>
      <c r="I147" s="5" t="inlineStr">
        <is>
          <t>Hayır</t>
        </is>
      </c>
      <c r="K147" s="5" t="n">
        <v>1</v>
      </c>
      <c r="L147" s="5" t="inlineStr">
        <is>
          <t>Bardaklarda leke, kettle içinde su/kireç var mı? İkram eksik mi?</t>
        </is>
      </c>
    </row>
    <row r="148">
      <c r="A148" s="5" t="inlineStr">
        <is>
          <t>EXSB</t>
        </is>
      </c>
      <c r="B148" s="5" t="n">
        <v>8</v>
      </c>
      <c r="C148" s="5" t="inlineStr">
        <is>
          <t>Oda</t>
        </is>
      </c>
      <c r="D148" s="5" t="inlineStr">
        <is>
          <t>TV ve ünite</t>
        </is>
      </c>
      <c r="E148" s="5" t="inlineStr">
        <is>
          <t>TV ve ünite raflarını önden çek.</t>
        </is>
      </c>
      <c r="F148" s="5" t="inlineStr">
        <is>
          <t>TV ekranı tozsuz
Ünite rafları tozsuz
Kumandalar yerinde</t>
        </is>
      </c>
      <c r="G148" s="5" t="inlineStr">
        <is>
          <t>Evet</t>
        </is>
      </c>
      <c r="H148" s="5" t="inlineStr">
        <is>
          <t>Evet</t>
        </is>
      </c>
      <c r="I148" s="5" t="inlineStr">
        <is>
          <t>Hayır</t>
        </is>
      </c>
      <c r="K148" s="5" t="n">
        <v>1</v>
      </c>
      <c r="L148" s="5" t="inlineStr">
        <is>
          <t>TV ve raflarda toz, leke var mı? Konaklama kontrolündeysen misafir eşyalarını değerlendirme.</t>
        </is>
      </c>
    </row>
    <row r="149">
      <c r="A149" s="5" t="inlineStr">
        <is>
          <t>EXSB</t>
        </is>
      </c>
      <c r="B149" s="5" t="n">
        <v>9</v>
      </c>
      <c r="C149" s="5" t="inlineStr">
        <is>
          <t>Oda</t>
        </is>
      </c>
      <c r="D149" s="5" t="inlineStr">
        <is>
          <t>Oturma alanı ve masa</t>
        </is>
      </c>
      <c r="E149" s="5" t="inlineStr">
        <is>
          <t>Pencereye doğru geniş açıyla çek; masa, koltuklar ve kanepe görünsün.</t>
        </is>
      </c>
      <c r="F149" s="5" t="inlineStr">
        <is>
          <t>Perde ve tül düzgün
Masa temiz
Koltuk/kanepe temiz, minderler düzgün</t>
        </is>
      </c>
      <c r="G149" s="5" t="inlineStr">
        <is>
          <t>Evet</t>
        </is>
      </c>
      <c r="H149" s="5" t="inlineStr">
        <is>
          <t>Evet</t>
        </is>
      </c>
      <c r="I149" s="5" t="inlineStr">
        <is>
          <t>Hayır</t>
        </is>
      </c>
      <c r="K149" s="5" t="n">
        <v>1</v>
      </c>
      <c r="L149" s="5" t="inlineStr">
        <is>
          <t>Masada, koltuklarda kir, leke, unutulmuş eşya var mı? Konaklama kontrolündeysen misafir eşyalarını değerlendirme.</t>
        </is>
      </c>
    </row>
    <row r="150">
      <c r="A150" s="5" t="inlineStr">
        <is>
          <t>EXSB</t>
        </is>
      </c>
      <c r="B150" s="5" t="n">
        <v>10</v>
      </c>
      <c r="C150" s="5" t="inlineStr">
        <is>
          <t>Oda</t>
        </is>
      </c>
      <c r="D150" s="5" t="inlineStr">
        <is>
          <t>Yatak ve komodinler</t>
        </is>
      </c>
      <c r="E150" s="5" t="inlineStr">
        <is>
          <t>Yatağı ayak ucundan tamamı görünecek şekilde çek; ikinci karede yatak altını ve komodinleri çek.</t>
        </is>
      </c>
      <c r="F150" s="5" t="inlineStr">
        <is>
          <t>Çarşaf dört köşeden gergin
Yastıklar tam, kılıflar lekesiz
Yatak altında eşya/toz yok
Komodinler boş ve tozsuz</t>
        </is>
      </c>
      <c r="G150" s="5" t="inlineStr">
        <is>
          <t>Evet</t>
        </is>
      </c>
      <c r="H150" s="5" t="inlineStr">
        <is>
          <t>Evet</t>
        </is>
      </c>
      <c r="I150" s="5" t="inlineStr">
        <is>
          <t>Hayır</t>
        </is>
      </c>
      <c r="K150" s="5" t="n">
        <v>2</v>
      </c>
      <c r="L150" s="5" t="inlineStr">
        <is>
          <t>Çarşafta kırışık, leke, saç var mı? Yastıklar düzgün mü? Yatak altında eşya/toz var mı? Konaklama kontrolündeysen misafir eşyalarını değerlendirme.</t>
        </is>
      </c>
    </row>
    <row r="151">
      <c r="A151" s="5" t="inlineStr">
        <is>
          <t>EXSB</t>
        </is>
      </c>
      <c r="B151" s="5" t="n">
        <v>11</v>
      </c>
      <c r="C151" s="5" t="inlineStr">
        <is>
          <t>Dış alan</t>
        </is>
      </c>
      <c r="D151" s="5" t="inlineStr">
        <is>
          <t>Balkon</t>
        </is>
      </c>
      <c r="E151" s="5" t="inlineStr">
        <is>
          <t>Balkon kapısından balkonun tamamını çek.</t>
        </is>
      </c>
      <c r="F151" s="5" t="inlineStr">
        <is>
          <t>Zemin süpürülmüş
Masa ve sandalyeler temiz
Kül tablası boş</t>
        </is>
      </c>
      <c r="G151" s="5" t="inlineStr">
        <is>
          <t>Evet</t>
        </is>
      </c>
      <c r="H151" s="5" t="inlineStr">
        <is>
          <t>Evet</t>
        </is>
      </c>
      <c r="I151" s="5" t="inlineStr">
        <is>
          <t>Hayır</t>
        </is>
      </c>
      <c r="K151" s="5" t="n">
        <v>1</v>
      </c>
      <c r="L151" s="5" t="inlineStr">
        <is>
          <t>Balkonda çöp, izmarit, kir var mı? Konaklama kontrolündeysen misafir eşyalarını değerlendirme.</t>
        </is>
      </c>
    </row>
    <row r="152">
      <c r="A152" s="5" t="inlineStr">
        <is>
          <t>EXSB</t>
        </is>
      </c>
      <c r="B152" s="5" t="n">
        <v>12</v>
      </c>
      <c r="C152" s="5" t="inlineStr">
        <is>
          <t>Oda</t>
        </is>
      </c>
      <c r="D152" s="5" t="inlineStr">
        <is>
          <t>Genel oda</t>
        </is>
      </c>
      <c r="E152" s="5" t="inlineStr">
        <is>
          <t>Kapı tarafından tüm odayı tek geniş karede çek. Tüm ışıklar açık.</t>
        </is>
      </c>
      <c r="F152" s="5" t="inlineStr">
        <is>
          <t>Klima çalışıyor
Çöp kovaları boş
Zemin temiz
Duvarda iz yok
Tüm aydınlatma yanıyor</t>
        </is>
      </c>
      <c r="G152" s="5" t="inlineStr">
        <is>
          <t>Evet</t>
        </is>
      </c>
      <c r="H152" s="5" t="inlineStr">
        <is>
          <t>Evet</t>
        </is>
      </c>
      <c r="I152" s="5" t="inlineStr">
        <is>
          <t>Hayır</t>
        </is>
      </c>
      <c r="K152" s="5" t="n">
        <v>1</v>
      </c>
      <c r="L152" s="5" t="inlineStr">
        <is>
          <t>Zeminde kir, çöp; yanmayan lamba; dağınıklık var mı? Konaklama kontrolündeysen misafir eşyalarını değerlendirme.</t>
        </is>
      </c>
    </row>
    <row r="153">
      <c r="A153" s="5" t="inlineStr">
        <is>
          <t>DS</t>
        </is>
      </c>
      <c r="B153" s="5" t="n">
        <v>1</v>
      </c>
      <c r="C153" s="5" t="inlineStr">
        <is>
          <t>Giriş</t>
        </is>
      </c>
      <c r="D153" s="5" t="inlineStr">
        <is>
          <t>Giriş ve kapı</t>
        </is>
      </c>
      <c r="E153" s="5" t="inlineStr">
        <is>
          <t>Kapıdan girip girişi ve koridoru tek karede çek. Tüm ışıklar açık olsun.</t>
        </is>
      </c>
      <c r="F153" s="5" t="inlineStr">
        <is>
          <t>Kapı ve şifreli kilit çalışıyor
Süpürgelik ve duvar dipleri tozsuz
Aplikler yanıyor
Zeminde leke, saç, kum yok</t>
        </is>
      </c>
      <c r="G153" s="5" t="inlineStr">
        <is>
          <t>Evet</t>
        </is>
      </c>
      <c r="H153" s="5" t="inlineStr">
        <is>
          <t>Evet</t>
        </is>
      </c>
      <c r="I153" s="5" t="inlineStr">
        <is>
          <t>Hayır</t>
        </is>
      </c>
      <c r="K153" s="5" t="n">
        <v>1</v>
      </c>
      <c r="L153" s="5" t="inlineStr">
        <is>
          <t>Zeminde görünür kir, saç, çöp var mı? Yanmayan lamba var mı? Konaklama kontrolündeysen misafir eşyalarını değerlendirme.</t>
        </is>
      </c>
    </row>
    <row r="154">
      <c r="A154" s="5" t="inlineStr">
        <is>
          <t>DS</t>
        </is>
      </c>
      <c r="B154" s="5" t="n">
        <v>2</v>
      </c>
      <c r="C154" s="5" t="inlineStr">
        <is>
          <t>Banyo</t>
        </is>
      </c>
      <c r="D154" s="5" t="inlineStr">
        <is>
          <t>Lavabo ve ayna</t>
        </is>
      </c>
      <c r="E154" s="5" t="inlineStr">
        <is>
          <t>Lavabo, batarya, ayna ve havlu rafı aynı karede olacak şekilde çek.</t>
        </is>
      </c>
      <c r="F154" s="5" t="inlineStr">
        <is>
          <t>Lavabo içi ve gider temiz
Batarya parlak, su lekesi yok
Sıvı sabun dolu
Ayna lekesiz
Havlular katlı ve tam</t>
        </is>
      </c>
      <c r="G154" s="5" t="inlineStr">
        <is>
          <t>Evet</t>
        </is>
      </c>
      <c r="H154" s="5" t="inlineStr">
        <is>
          <t>Evet</t>
        </is>
      </c>
      <c r="I154" s="5" t="inlineStr">
        <is>
          <t>Hayır</t>
        </is>
      </c>
      <c r="K154" s="5" t="n">
        <v>1</v>
      </c>
      <c r="L154" s="5" t="inlineStr">
        <is>
          <t>Lavaboda kıl, sabun kalıntısı, su lekesi var mı? Aynada leke var mı? Havlular düzgün katlı mı? Konaklama kontrolündeysen misafir eşyalarını değerlendirme.</t>
        </is>
      </c>
    </row>
    <row r="155">
      <c r="A155" s="5" t="inlineStr">
        <is>
          <t>DS</t>
        </is>
      </c>
      <c r="B155" s="5" t="n">
        <v>3</v>
      </c>
      <c r="C155" s="5" t="inlineStr">
        <is>
          <t>Banyo</t>
        </is>
      </c>
      <c r="D155" s="5" t="inlineStr">
        <is>
          <t>WC</t>
        </is>
      </c>
      <c r="E155" s="5" t="inlineStr">
        <is>
          <t>Klozet kapağı açık, tuvalet kağıdı ve yedek rulo görünecek şekilde çek.</t>
        </is>
      </c>
      <c r="F155" s="5" t="inlineStr">
        <is>
          <t>Klozet içi, kapak altı ve dış yüzey temiz
WC fırçası temiz
Tuvalet kağıdı takılı + yedek rulo
Çöp kovası boş, poşet yeni</t>
        </is>
      </c>
      <c r="G155" s="5" t="inlineStr">
        <is>
          <t>Evet</t>
        </is>
      </c>
      <c r="H155" s="5" t="inlineStr">
        <is>
          <t>Evet</t>
        </is>
      </c>
      <c r="I155" s="5" t="inlineStr">
        <is>
          <t>Hayır</t>
        </is>
      </c>
      <c r="K155" s="5" t="n">
        <v>1</v>
      </c>
      <c r="L155" s="5" t="inlineStr">
        <is>
          <t>Klozet içinde veya kapakta leke/kir var mı? Tuvalet kağıdı ve yedek rulo var mı? Çöp kovası boş mu?</t>
        </is>
      </c>
    </row>
    <row r="156">
      <c r="A156" s="5" t="inlineStr">
        <is>
          <t>DS</t>
        </is>
      </c>
      <c r="B156" s="5" t="n">
        <v>4</v>
      </c>
      <c r="C156" s="5" t="inlineStr">
        <is>
          <t>Banyo</t>
        </is>
      </c>
      <c r="D156" s="5" t="inlineStr">
        <is>
          <t>Duş</t>
        </is>
      </c>
      <c r="E156" s="5" t="inlineStr">
        <is>
          <t>Duş camını ışığa karşı çek (kireç böyle görünür); dispenserler ve gider görünsün.</t>
        </is>
      </c>
      <c r="F156" s="5" t="inlineStr">
        <is>
          <t>Camda kireç ve su lekesi yok
Duş seti askıda
Şampuan/duş jeli dolu
Giderde saç yok</t>
        </is>
      </c>
      <c r="G156" s="5" t="inlineStr">
        <is>
          <t>Evet</t>
        </is>
      </c>
      <c r="H156" s="5" t="inlineStr">
        <is>
          <t>Evet</t>
        </is>
      </c>
      <c r="I156" s="5" t="inlineStr">
        <is>
          <t>Hayır</t>
        </is>
      </c>
      <c r="K156" s="5" t="n">
        <v>1</v>
      </c>
      <c r="L156" s="5" t="inlineStr">
        <is>
          <t>Duş camında kireç/su lekesi, giderde saç, zeminde kir var mı? Konaklama kontrolündeysen misafir eşyalarını değerlendirme.</t>
        </is>
      </c>
    </row>
    <row r="157">
      <c r="A157" s="5" t="inlineStr">
        <is>
          <t>DS</t>
        </is>
      </c>
      <c r="B157" s="5" t="n">
        <v>5</v>
      </c>
      <c r="C157" s="5" t="inlineStr">
        <is>
          <t>Oda</t>
        </is>
      </c>
      <c r="D157" s="5" t="inlineStr">
        <is>
          <t>Gardırop</t>
        </is>
      </c>
      <c r="E157" s="5" t="inlineStr">
        <is>
          <t>Kapakları aç, askıları ve rafları tek karede çek. İçerisi karanlıksa feneri aç.</t>
        </is>
      </c>
      <c r="F157" s="5" t="inlineStr">
        <is>
          <t>Askılar tam
Yedek battaniye/yastık katlı
Unutulmuş eşya yok</t>
        </is>
      </c>
      <c r="G157" s="5" t="inlineStr">
        <is>
          <t>Evet</t>
        </is>
      </c>
      <c r="H157" s="5" t="inlineStr">
        <is>
          <t>Hayır</t>
        </is>
      </c>
      <c r="I157" s="5" t="inlineStr">
        <is>
          <t>Evet</t>
        </is>
      </c>
      <c r="K157" s="5" t="n">
        <v>1</v>
      </c>
      <c r="L157" s="5" t="inlineStr">
        <is>
          <t>Gardıropta unutulmuş eşya, çöp var mı? Askılar düzenli mi?</t>
        </is>
      </c>
    </row>
    <row r="158">
      <c r="A158" s="5" t="inlineStr">
        <is>
          <t>DS</t>
        </is>
      </c>
      <c r="B158" s="5" t="n">
        <v>6</v>
      </c>
      <c r="C158" s="5" t="inlineStr">
        <is>
          <t>Oda</t>
        </is>
      </c>
      <c r="D158" s="5" t="inlineStr">
        <is>
          <t>Kasa</t>
        </is>
      </c>
      <c r="E158" s="5" t="inlineStr">
        <is>
          <t>Kasa kapağını açıp içini çek.</t>
        </is>
      </c>
      <c r="F158" s="5" t="inlineStr">
        <is>
          <t>Kasa boş
Kasa açık bırakılmış, kilitli değil</t>
        </is>
      </c>
      <c r="G158" s="5" t="inlineStr">
        <is>
          <t>Evet</t>
        </is>
      </c>
      <c r="H158" s="5" t="inlineStr">
        <is>
          <t>Hayır</t>
        </is>
      </c>
      <c r="I158" s="5" t="inlineStr">
        <is>
          <t>Evet</t>
        </is>
      </c>
      <c r="K158" s="5" t="n">
        <v>1</v>
      </c>
      <c r="L158" s="5" t="inlineStr">
        <is>
          <t>Kasanın içinde eşya var mı? Kapak açık mı?</t>
        </is>
      </c>
    </row>
    <row r="159">
      <c r="A159" s="5" t="inlineStr">
        <is>
          <t>DS</t>
        </is>
      </c>
      <c r="B159" s="5" t="n">
        <v>7</v>
      </c>
      <c r="C159" s="5" t="inlineStr">
        <is>
          <t>Oda</t>
        </is>
      </c>
      <c r="D159" s="5" t="inlineStr">
        <is>
          <t>Kettle ve ikram</t>
        </is>
      </c>
      <c r="E159" s="5" t="inlineStr">
        <is>
          <t>Kettle, bardaklar ve ikram tepsisini tek karede çek.</t>
        </is>
      </c>
      <c r="F159" s="5" t="inlineStr">
        <is>
          <t>Kettle boş ve temiz
Bardaklar lekesiz
İkram tepsisi tam</t>
        </is>
      </c>
      <c r="G159" s="5" t="inlineStr">
        <is>
          <t>Evet</t>
        </is>
      </c>
      <c r="H159" s="5" t="inlineStr">
        <is>
          <t>Evet</t>
        </is>
      </c>
      <c r="I159" s="5" t="inlineStr">
        <is>
          <t>Hayır</t>
        </is>
      </c>
      <c r="K159" s="5" t="n">
        <v>1</v>
      </c>
      <c r="L159" s="5" t="inlineStr">
        <is>
          <t>Bardaklarda leke, kettle içinde su/kireç var mı? İkram eksik mi?</t>
        </is>
      </c>
    </row>
    <row r="160">
      <c r="A160" s="5" t="inlineStr">
        <is>
          <t>DS</t>
        </is>
      </c>
      <c r="B160" s="5" t="n">
        <v>8</v>
      </c>
      <c r="C160" s="5" t="inlineStr">
        <is>
          <t>Oda</t>
        </is>
      </c>
      <c r="D160" s="5" t="inlineStr">
        <is>
          <t>TV ve ünite</t>
        </is>
      </c>
      <c r="E160" s="5" t="inlineStr">
        <is>
          <t>TV ve ünite raflarını önden çek.</t>
        </is>
      </c>
      <c r="F160" s="5" t="inlineStr">
        <is>
          <t>TV ekranı tozsuz
Ünite rafları tozsuz
Kumandalar yerinde</t>
        </is>
      </c>
      <c r="G160" s="5" t="inlineStr">
        <is>
          <t>Evet</t>
        </is>
      </c>
      <c r="H160" s="5" t="inlineStr">
        <is>
          <t>Evet</t>
        </is>
      </c>
      <c r="I160" s="5" t="inlineStr">
        <is>
          <t>Hayır</t>
        </is>
      </c>
      <c r="K160" s="5" t="n">
        <v>1</v>
      </c>
      <c r="L160" s="5" t="inlineStr">
        <is>
          <t>TV ve raflarda toz, leke var mı? Konaklama kontrolündeysen misafir eşyalarını değerlendirme.</t>
        </is>
      </c>
    </row>
    <row r="161">
      <c r="A161" s="5" t="inlineStr">
        <is>
          <t>DS</t>
        </is>
      </c>
      <c r="B161" s="5" t="n">
        <v>9</v>
      </c>
      <c r="C161" s="5" t="inlineStr">
        <is>
          <t>Oda</t>
        </is>
      </c>
      <c r="D161" s="5" t="inlineStr">
        <is>
          <t>Oturma alanı ve masa</t>
        </is>
      </c>
      <c r="E161" s="5" t="inlineStr">
        <is>
          <t>Pencereye doğru geniş açıyla çek; masa, koltuklar ve kanepe görünsün.</t>
        </is>
      </c>
      <c r="F161" s="5" t="inlineStr">
        <is>
          <t>Perde ve tül düzgün
Masa temiz
Koltuk/kanepe temiz, minderler düzgün</t>
        </is>
      </c>
      <c r="G161" s="5" t="inlineStr">
        <is>
          <t>Evet</t>
        </is>
      </c>
      <c r="H161" s="5" t="inlineStr">
        <is>
          <t>Evet</t>
        </is>
      </c>
      <c r="I161" s="5" t="inlineStr">
        <is>
          <t>Hayır</t>
        </is>
      </c>
      <c r="K161" s="5" t="n">
        <v>1</v>
      </c>
      <c r="L161" s="5" t="inlineStr">
        <is>
          <t>Masada, koltuklarda kir, leke, unutulmuş eşya var mı? Konaklama kontrolündeysen misafir eşyalarını değerlendirme.</t>
        </is>
      </c>
    </row>
    <row r="162">
      <c r="A162" s="5" t="inlineStr">
        <is>
          <t>DS</t>
        </is>
      </c>
      <c r="B162" s="5" t="n">
        <v>10</v>
      </c>
      <c r="C162" s="5" t="inlineStr">
        <is>
          <t>Oda</t>
        </is>
      </c>
      <c r="D162" s="5" t="inlineStr">
        <is>
          <t>Yatak ve komodinler</t>
        </is>
      </c>
      <c r="E162" s="5" t="inlineStr">
        <is>
          <t>Yatağı ayak ucundan tamamı görünecek şekilde çek; ikinci karede yatak altını ve komodinleri çek.</t>
        </is>
      </c>
      <c r="F162" s="5" t="inlineStr">
        <is>
          <t>Çarşaf dört köşeden gergin
Yastıklar tam, kılıflar lekesiz
Yatak altında eşya/toz yok
Komodinler boş ve tozsuz</t>
        </is>
      </c>
      <c r="G162" s="5" t="inlineStr">
        <is>
          <t>Evet</t>
        </is>
      </c>
      <c r="H162" s="5" t="inlineStr">
        <is>
          <t>Evet</t>
        </is>
      </c>
      <c r="I162" s="5" t="inlineStr">
        <is>
          <t>Hayır</t>
        </is>
      </c>
      <c r="K162" s="5" t="n">
        <v>2</v>
      </c>
      <c r="L162" s="5" t="inlineStr">
        <is>
          <t>Çarşafta kırışık, leke, saç var mı? Yastıklar düzgün mü? Yatak altında eşya/toz var mı? Konaklama kontrolündeysen misafir eşyalarını değerlendirme.</t>
        </is>
      </c>
    </row>
    <row r="163">
      <c r="A163" s="5" t="inlineStr">
        <is>
          <t>DS</t>
        </is>
      </c>
      <c r="B163" s="5" t="n">
        <v>11</v>
      </c>
      <c r="C163" s="5" t="inlineStr">
        <is>
          <t>Oda</t>
        </is>
      </c>
      <c r="D163" s="5" t="inlineStr">
        <is>
          <t>Genel oda</t>
        </is>
      </c>
      <c r="E163" s="5" t="inlineStr">
        <is>
          <t>Kapı tarafından tüm odayı tek geniş karede çek. Tüm ışıklar açık.</t>
        </is>
      </c>
      <c r="F163" s="5" t="inlineStr">
        <is>
          <t>Klima çalışıyor
Çöp kovaları boş
Zemin temiz
Duvarda iz yok
Tüm aydınlatma yanıyor</t>
        </is>
      </c>
      <c r="G163" s="5" t="inlineStr">
        <is>
          <t>Evet</t>
        </is>
      </c>
      <c r="H163" s="5" t="inlineStr">
        <is>
          <t>Evet</t>
        </is>
      </c>
      <c r="I163" s="5" t="inlineStr">
        <is>
          <t>Hayır</t>
        </is>
      </c>
      <c r="K163" s="5" t="n">
        <v>1</v>
      </c>
      <c r="L163" s="5" t="inlineStr">
        <is>
          <t>Zeminde kir, çöp; yanmayan lamba; dağınıklık var mı? Konaklama kontrolündeysen misafir eşyalarını değerlendirme.</t>
        </is>
      </c>
    </row>
    <row r="164">
      <c r="A164" s="5" t="inlineStr">
        <is>
          <t>DFS</t>
        </is>
      </c>
      <c r="B164" s="5" t="n">
        <v>1</v>
      </c>
      <c r="C164" s="5" t="inlineStr">
        <is>
          <t>Giriş</t>
        </is>
      </c>
      <c r="D164" s="5" t="inlineStr">
        <is>
          <t>Giriş ve kapı</t>
        </is>
      </c>
      <c r="E164" s="5" t="inlineStr">
        <is>
          <t>Kapıdan girip girişi ve koridoru tek karede çek. Tüm ışıklar açık olsun.</t>
        </is>
      </c>
      <c r="F164" s="5" t="inlineStr">
        <is>
          <t>Kapı ve şifreli kilit çalışıyor
Süpürgelik ve duvar dipleri tozsuz
Aplikler yanıyor
Zeminde leke, saç, kum yok</t>
        </is>
      </c>
      <c r="G164" s="5" t="inlineStr">
        <is>
          <t>Evet</t>
        </is>
      </c>
      <c r="H164" s="5" t="inlineStr">
        <is>
          <t>Evet</t>
        </is>
      </c>
      <c r="I164" s="5" t="inlineStr">
        <is>
          <t>Hayır</t>
        </is>
      </c>
      <c r="K164" s="5" t="n">
        <v>1</v>
      </c>
      <c r="L164" s="5" t="inlineStr">
        <is>
          <t>Zeminde görünür kir, saç, çöp var mı? Yanmayan lamba var mı? Konaklama kontrolündeysen misafir eşyalarını değerlendirme.</t>
        </is>
      </c>
    </row>
    <row r="165">
      <c r="A165" s="5" t="inlineStr">
        <is>
          <t>DFS</t>
        </is>
      </c>
      <c r="B165" s="5" t="n">
        <v>2</v>
      </c>
      <c r="C165" s="5" t="inlineStr">
        <is>
          <t>Banyo</t>
        </is>
      </c>
      <c r="D165" s="5" t="inlineStr">
        <is>
          <t>Lavabo ve ayna</t>
        </is>
      </c>
      <c r="E165" s="5" t="inlineStr">
        <is>
          <t>Lavabo, batarya, ayna ve havlu rafı aynı karede olacak şekilde çek.</t>
        </is>
      </c>
      <c r="F165" s="5" t="inlineStr">
        <is>
          <t>Lavabo içi ve gider temiz
Batarya parlak, su lekesi yok
Sıvı sabun dolu
Ayna lekesiz
Havlular katlı ve tam</t>
        </is>
      </c>
      <c r="G165" s="5" t="inlineStr">
        <is>
          <t>Evet</t>
        </is>
      </c>
      <c r="H165" s="5" t="inlineStr">
        <is>
          <t>Evet</t>
        </is>
      </c>
      <c r="I165" s="5" t="inlineStr">
        <is>
          <t>Hayır</t>
        </is>
      </c>
      <c r="K165" s="5" t="n">
        <v>1</v>
      </c>
      <c r="L165" s="5" t="inlineStr">
        <is>
          <t>Lavaboda kıl, sabun kalıntısı, su lekesi var mı? Aynada leke var mı? Havlular düzgün katlı mı? Konaklama kontrolündeysen misafir eşyalarını değerlendirme.</t>
        </is>
      </c>
    </row>
    <row r="166">
      <c r="A166" s="5" t="inlineStr">
        <is>
          <t>DFS</t>
        </is>
      </c>
      <c r="B166" s="5" t="n">
        <v>3</v>
      </c>
      <c r="C166" s="5" t="inlineStr">
        <is>
          <t>Banyo</t>
        </is>
      </c>
      <c r="D166" s="5" t="inlineStr">
        <is>
          <t>WC</t>
        </is>
      </c>
      <c r="E166" s="5" t="inlineStr">
        <is>
          <t>Klozet kapağı açık, tuvalet kağıdı ve yedek rulo görünecek şekilde çek.</t>
        </is>
      </c>
      <c r="F166" s="5" t="inlineStr">
        <is>
          <t>Klozet içi, kapak altı ve dış yüzey temiz
WC fırçası temiz
Tuvalet kağıdı takılı + yedek rulo
Çöp kovası boş, poşet yeni</t>
        </is>
      </c>
      <c r="G166" s="5" t="inlineStr">
        <is>
          <t>Evet</t>
        </is>
      </c>
      <c r="H166" s="5" t="inlineStr">
        <is>
          <t>Evet</t>
        </is>
      </c>
      <c r="I166" s="5" t="inlineStr">
        <is>
          <t>Hayır</t>
        </is>
      </c>
      <c r="K166" s="5" t="n">
        <v>1</v>
      </c>
      <c r="L166" s="5" t="inlineStr">
        <is>
          <t>Klozet içinde veya kapakta leke/kir var mı? Tuvalet kağıdı ve yedek rulo var mı? Çöp kovası boş mu?</t>
        </is>
      </c>
    </row>
    <row r="167">
      <c r="A167" s="5" t="inlineStr">
        <is>
          <t>DFS</t>
        </is>
      </c>
      <c r="B167" s="5" t="n">
        <v>4</v>
      </c>
      <c r="C167" s="5" t="inlineStr">
        <is>
          <t>Banyo</t>
        </is>
      </c>
      <c r="D167" s="5" t="inlineStr">
        <is>
          <t>Duş</t>
        </is>
      </c>
      <c r="E167" s="5" t="inlineStr">
        <is>
          <t>Duş camını ışığa karşı çek (kireç böyle görünür); dispenserler ve gider görünsün.</t>
        </is>
      </c>
      <c r="F167" s="5" t="inlineStr">
        <is>
          <t>Camda kireç ve su lekesi yok
Duş seti askıda
Şampuan/duş jeli dolu
Giderde saç yok</t>
        </is>
      </c>
      <c r="G167" s="5" t="inlineStr">
        <is>
          <t>Evet</t>
        </is>
      </c>
      <c r="H167" s="5" t="inlineStr">
        <is>
          <t>Evet</t>
        </is>
      </c>
      <c r="I167" s="5" t="inlineStr">
        <is>
          <t>Hayır</t>
        </is>
      </c>
      <c r="K167" s="5" t="n">
        <v>1</v>
      </c>
      <c r="L167" s="5" t="inlineStr">
        <is>
          <t>Duş camında kireç/su lekesi, giderde saç, zeminde kir var mı? Konaklama kontrolündeysen misafir eşyalarını değerlendirme.</t>
        </is>
      </c>
    </row>
    <row r="168">
      <c r="A168" s="5" t="inlineStr">
        <is>
          <t>DFS</t>
        </is>
      </c>
      <c r="B168" s="5" t="n">
        <v>5</v>
      </c>
      <c r="C168" s="5" t="inlineStr">
        <is>
          <t>Oda</t>
        </is>
      </c>
      <c r="D168" s="5" t="inlineStr">
        <is>
          <t>Gardırop</t>
        </is>
      </c>
      <c r="E168" s="5" t="inlineStr">
        <is>
          <t>Kapakları aç, askıları ve rafları tek karede çek. İçerisi karanlıksa feneri aç.</t>
        </is>
      </c>
      <c r="F168" s="5" t="inlineStr">
        <is>
          <t>Askılar tam
Yedek battaniye/yastık katlı
Unutulmuş eşya yok</t>
        </is>
      </c>
      <c r="G168" s="5" t="inlineStr">
        <is>
          <t>Evet</t>
        </is>
      </c>
      <c r="H168" s="5" t="inlineStr">
        <is>
          <t>Hayır</t>
        </is>
      </c>
      <c r="I168" s="5" t="inlineStr">
        <is>
          <t>Evet</t>
        </is>
      </c>
      <c r="K168" s="5" t="n">
        <v>1</v>
      </c>
      <c r="L168" s="5" t="inlineStr">
        <is>
          <t>Gardıropta unutulmuş eşya, çöp var mı? Askılar düzenli mi?</t>
        </is>
      </c>
    </row>
    <row r="169">
      <c r="A169" s="5" t="inlineStr">
        <is>
          <t>DFS</t>
        </is>
      </c>
      <c r="B169" s="5" t="n">
        <v>6</v>
      </c>
      <c r="C169" s="5" t="inlineStr">
        <is>
          <t>Oda</t>
        </is>
      </c>
      <c r="D169" s="5" t="inlineStr">
        <is>
          <t>Kasa</t>
        </is>
      </c>
      <c r="E169" s="5" t="inlineStr">
        <is>
          <t>Kasa kapağını açıp içini çek.</t>
        </is>
      </c>
      <c r="F169" s="5" t="inlineStr">
        <is>
          <t>Kasa boş
Kasa açık bırakılmış, kilitli değil</t>
        </is>
      </c>
      <c r="G169" s="5" t="inlineStr">
        <is>
          <t>Evet</t>
        </is>
      </c>
      <c r="H169" s="5" t="inlineStr">
        <is>
          <t>Hayır</t>
        </is>
      </c>
      <c r="I169" s="5" t="inlineStr">
        <is>
          <t>Evet</t>
        </is>
      </c>
      <c r="K169" s="5" t="n">
        <v>1</v>
      </c>
      <c r="L169" s="5" t="inlineStr">
        <is>
          <t>Kasanın içinde eşya var mı? Kapak açık mı?</t>
        </is>
      </c>
    </row>
    <row r="170">
      <c r="A170" s="5" t="inlineStr">
        <is>
          <t>DFS</t>
        </is>
      </c>
      <c r="B170" s="5" t="n">
        <v>7</v>
      </c>
      <c r="C170" s="5" t="inlineStr">
        <is>
          <t>Oda</t>
        </is>
      </c>
      <c r="D170" s="5" t="inlineStr">
        <is>
          <t>Kettle ve ikram</t>
        </is>
      </c>
      <c r="E170" s="5" t="inlineStr">
        <is>
          <t>Kettle, bardaklar ve ikram tepsisini tek karede çek.</t>
        </is>
      </c>
      <c r="F170" s="5" t="inlineStr">
        <is>
          <t>Kettle boş ve temiz
Bardaklar lekesiz
İkram tepsisi tam</t>
        </is>
      </c>
      <c r="G170" s="5" t="inlineStr">
        <is>
          <t>Evet</t>
        </is>
      </c>
      <c r="H170" s="5" t="inlineStr">
        <is>
          <t>Evet</t>
        </is>
      </c>
      <c r="I170" s="5" t="inlineStr">
        <is>
          <t>Hayır</t>
        </is>
      </c>
      <c r="K170" s="5" t="n">
        <v>1</v>
      </c>
      <c r="L170" s="5" t="inlineStr">
        <is>
          <t>Bardaklarda leke, kettle içinde su/kireç var mı? İkram eksik mi?</t>
        </is>
      </c>
    </row>
    <row r="171">
      <c r="A171" s="5" t="inlineStr">
        <is>
          <t>DFS</t>
        </is>
      </c>
      <c r="B171" s="5" t="n">
        <v>8</v>
      </c>
      <c r="C171" s="5" t="inlineStr">
        <is>
          <t>Oda</t>
        </is>
      </c>
      <c r="D171" s="5" t="inlineStr">
        <is>
          <t>TV ve ünite</t>
        </is>
      </c>
      <c r="E171" s="5" t="inlineStr">
        <is>
          <t>TV ve ünite raflarını önden çek.</t>
        </is>
      </c>
      <c r="F171" s="5" t="inlineStr">
        <is>
          <t>TV ekranı tozsuz
Ünite rafları tozsuz
Kumandalar yerinde</t>
        </is>
      </c>
      <c r="G171" s="5" t="inlineStr">
        <is>
          <t>Evet</t>
        </is>
      </c>
      <c r="H171" s="5" t="inlineStr">
        <is>
          <t>Evet</t>
        </is>
      </c>
      <c r="I171" s="5" t="inlineStr">
        <is>
          <t>Hayır</t>
        </is>
      </c>
      <c r="K171" s="5" t="n">
        <v>1</v>
      </c>
      <c r="L171" s="5" t="inlineStr">
        <is>
          <t>TV ve raflarda toz, leke var mı? Konaklama kontrolündeysen misafir eşyalarını değerlendirme.</t>
        </is>
      </c>
    </row>
    <row r="172">
      <c r="A172" s="5" t="inlineStr">
        <is>
          <t>DFS</t>
        </is>
      </c>
      <c r="B172" s="5" t="n">
        <v>9</v>
      </c>
      <c r="C172" s="5" t="inlineStr">
        <is>
          <t>Oda</t>
        </is>
      </c>
      <c r="D172" s="5" t="inlineStr">
        <is>
          <t>Oturma alanı ve masa</t>
        </is>
      </c>
      <c r="E172" s="5" t="inlineStr">
        <is>
          <t>Pencereye doğru geniş açıyla çek; masa, koltuklar ve kanepe görünsün.</t>
        </is>
      </c>
      <c r="F172" s="5" t="inlineStr">
        <is>
          <t>Perde ve tül düzgün
Masa temiz
Koltuk/kanepe temiz, minderler düzgün</t>
        </is>
      </c>
      <c r="G172" s="5" t="inlineStr">
        <is>
          <t>Evet</t>
        </is>
      </c>
      <c r="H172" s="5" t="inlineStr">
        <is>
          <t>Evet</t>
        </is>
      </c>
      <c r="I172" s="5" t="inlineStr">
        <is>
          <t>Hayır</t>
        </is>
      </c>
      <c r="K172" s="5" t="n">
        <v>1</v>
      </c>
      <c r="L172" s="5" t="inlineStr">
        <is>
          <t>Masada, koltuklarda kir, leke, unutulmuş eşya var mı? Konaklama kontrolündeysen misafir eşyalarını değerlendirme.</t>
        </is>
      </c>
    </row>
    <row r="173">
      <c r="A173" s="5" t="inlineStr">
        <is>
          <t>DFS</t>
        </is>
      </c>
      <c r="B173" s="5" t="n">
        <v>10</v>
      </c>
      <c r="C173" s="5" t="inlineStr">
        <is>
          <t>Oda</t>
        </is>
      </c>
      <c r="D173" s="5" t="inlineStr">
        <is>
          <t>Yatak ve komodinler</t>
        </is>
      </c>
      <c r="E173" s="5" t="inlineStr">
        <is>
          <t>Yatağı ayak ucundan tamamı görünecek şekilde çek; ikinci karede yatak altını ve komodinleri çek. Dubleks: üst ve alt kattaki yatakların her biri için ayrı kare.</t>
        </is>
      </c>
      <c r="F173" s="5" t="inlineStr">
        <is>
          <t>Çarşaf dört köşeden gergin
Yastıklar tam, kılıflar lekesiz
Yatak altında eşya/toz yok
Komodinler boş ve tozsuz</t>
        </is>
      </c>
      <c r="G173" s="5" t="inlineStr">
        <is>
          <t>Evet</t>
        </is>
      </c>
      <c r="H173" s="5" t="inlineStr">
        <is>
          <t>Evet</t>
        </is>
      </c>
      <c r="I173" s="5" t="inlineStr">
        <is>
          <t>Hayır</t>
        </is>
      </c>
      <c r="K173" s="5" t="n">
        <v>3</v>
      </c>
      <c r="L173" s="5" t="inlineStr">
        <is>
          <t>Çarşafta kırışık, leke, saç var mı? Yastıklar düzgün mü? Yatak altında eşya/toz var mı? Konaklama kontrolündeysen misafir eşyalarını değerlendirme.</t>
        </is>
      </c>
    </row>
    <row r="174">
      <c r="A174" s="5" t="inlineStr">
        <is>
          <t>DFS</t>
        </is>
      </c>
      <c r="B174" s="5" t="n">
        <v>11</v>
      </c>
      <c r="C174" s="5" t="inlineStr">
        <is>
          <t>Oda</t>
        </is>
      </c>
      <c r="D174" s="5" t="inlineStr">
        <is>
          <t>Genel oda</t>
        </is>
      </c>
      <c r="E174" s="5" t="inlineStr">
        <is>
          <t>Kapı tarafından tüm odayı tek geniş karede çek. Tüm ışıklar açık.</t>
        </is>
      </c>
      <c r="F174" s="5" t="inlineStr">
        <is>
          <t>Klima çalışıyor
Çöp kovaları boş
Zemin temiz
Duvarda iz yok
Tüm aydınlatma yanıyor</t>
        </is>
      </c>
      <c r="G174" s="5" t="inlineStr">
        <is>
          <t>Evet</t>
        </is>
      </c>
      <c r="H174" s="5" t="inlineStr">
        <is>
          <t>Evet</t>
        </is>
      </c>
      <c r="I174" s="5" t="inlineStr">
        <is>
          <t>Hayır</t>
        </is>
      </c>
      <c r="K174" s="5" t="n">
        <v>1</v>
      </c>
      <c r="L174" s="5" t="inlineStr">
        <is>
          <t>Zeminde kir, çöp; yanmayan lamba; dağınıklık var mı? Konaklama kontrolündeysen misafir eşyalarını değerlendirme.</t>
        </is>
      </c>
    </row>
    <row r="175">
      <c r="A175" s="5" t="inlineStr">
        <is>
          <t>VGS</t>
        </is>
      </c>
      <c r="B175" s="5" t="n">
        <v>1</v>
      </c>
      <c r="C175" s="5" t="inlineStr">
        <is>
          <t>Giriş</t>
        </is>
      </c>
      <c r="D175" s="5" t="inlineStr">
        <is>
          <t>Giriş ve kapı</t>
        </is>
      </c>
      <c r="E175" s="5" t="inlineStr">
        <is>
          <t>Kapıdan girip girişi ve koridoru tek karede çek. Tüm ışıklar açık olsun.</t>
        </is>
      </c>
      <c r="F175" s="5" t="inlineStr">
        <is>
          <t>Kapı ve şifreli kilit çalışıyor
Süpürgelik ve duvar dipleri tozsuz
Aplikler yanıyor
Zeminde leke, saç, kum yok</t>
        </is>
      </c>
      <c r="G175" s="5" t="inlineStr">
        <is>
          <t>Evet</t>
        </is>
      </c>
      <c r="H175" s="5" t="inlineStr">
        <is>
          <t>Evet</t>
        </is>
      </c>
      <c r="I175" s="5" t="inlineStr">
        <is>
          <t>Hayır</t>
        </is>
      </c>
      <c r="K175" s="5" t="n">
        <v>1</v>
      </c>
      <c r="L175" s="5" t="inlineStr">
        <is>
          <t>Zeminde görünür kir, saç, çöp var mı? Yanmayan lamba var mı? Konaklama kontrolündeysen misafir eşyalarını değerlendirme.</t>
        </is>
      </c>
    </row>
    <row r="176">
      <c r="A176" s="5" t="inlineStr">
        <is>
          <t>VGS</t>
        </is>
      </c>
      <c r="B176" s="5" t="n">
        <v>2</v>
      </c>
      <c r="C176" s="5" t="inlineStr">
        <is>
          <t>Banyo</t>
        </is>
      </c>
      <c r="D176" s="5" t="inlineStr">
        <is>
          <t>Lavabo ve ayna</t>
        </is>
      </c>
      <c r="E176" s="5" t="inlineStr">
        <is>
          <t>Lavabo, batarya, ayna ve havlu rafı aynı karede olacak şekilde çek.</t>
        </is>
      </c>
      <c r="F176" s="5" t="inlineStr">
        <is>
          <t>Lavabo içi ve gider temiz
Batarya parlak, su lekesi yok
Sıvı sabun dolu
Ayna lekesiz
Havlular katlı ve tam</t>
        </is>
      </c>
      <c r="G176" s="5" t="inlineStr">
        <is>
          <t>Evet</t>
        </is>
      </c>
      <c r="H176" s="5" t="inlineStr">
        <is>
          <t>Evet</t>
        </is>
      </c>
      <c r="I176" s="5" t="inlineStr">
        <is>
          <t>Hayır</t>
        </is>
      </c>
      <c r="K176" s="5" t="n">
        <v>1</v>
      </c>
      <c r="L176" s="5" t="inlineStr">
        <is>
          <t>Lavaboda kıl, sabun kalıntısı, su lekesi var mı? Aynada leke var mı? Havlular düzgün katlı mı? Konaklama kontrolündeysen misafir eşyalarını değerlendirme.</t>
        </is>
      </c>
    </row>
    <row r="177">
      <c r="A177" s="5" t="inlineStr">
        <is>
          <t>VGS</t>
        </is>
      </c>
      <c r="B177" s="5" t="n">
        <v>3</v>
      </c>
      <c r="C177" s="5" t="inlineStr">
        <is>
          <t>Banyo</t>
        </is>
      </c>
      <c r="D177" s="5" t="inlineStr">
        <is>
          <t>WC</t>
        </is>
      </c>
      <c r="E177" s="5" t="inlineStr">
        <is>
          <t>Klozet kapağı açık, tuvalet kağıdı ve yedek rulo görünecek şekilde çek.</t>
        </is>
      </c>
      <c r="F177" s="5" t="inlineStr">
        <is>
          <t>Klozet içi, kapak altı ve dış yüzey temiz
WC fırçası temiz
Tuvalet kağıdı takılı + yedek rulo
Çöp kovası boş, poşet yeni</t>
        </is>
      </c>
      <c r="G177" s="5" t="inlineStr">
        <is>
          <t>Evet</t>
        </is>
      </c>
      <c r="H177" s="5" t="inlineStr">
        <is>
          <t>Evet</t>
        </is>
      </c>
      <c r="I177" s="5" t="inlineStr">
        <is>
          <t>Hayır</t>
        </is>
      </c>
      <c r="K177" s="5" t="n">
        <v>1</v>
      </c>
      <c r="L177" s="5" t="inlineStr">
        <is>
          <t>Klozet içinde veya kapakta leke/kir var mı? Tuvalet kağıdı ve yedek rulo var mı? Çöp kovası boş mu?</t>
        </is>
      </c>
    </row>
    <row r="178">
      <c r="A178" s="5" t="inlineStr">
        <is>
          <t>VGS</t>
        </is>
      </c>
      <c r="B178" s="5" t="n">
        <v>4</v>
      </c>
      <c r="C178" s="5" t="inlineStr">
        <is>
          <t>Banyo</t>
        </is>
      </c>
      <c r="D178" s="5" t="inlineStr">
        <is>
          <t>Duş</t>
        </is>
      </c>
      <c r="E178" s="5" t="inlineStr">
        <is>
          <t>Duş camını ışığa karşı çek (kireç böyle görünür); dispenserler ve gider görünsün.</t>
        </is>
      </c>
      <c r="F178" s="5" t="inlineStr">
        <is>
          <t>Camda kireç ve su lekesi yok
Duş seti askıda
Şampuan/duş jeli dolu
Giderde saç yok</t>
        </is>
      </c>
      <c r="G178" s="5" t="inlineStr">
        <is>
          <t>Evet</t>
        </is>
      </c>
      <c r="H178" s="5" t="inlineStr">
        <is>
          <t>Evet</t>
        </is>
      </c>
      <c r="I178" s="5" t="inlineStr">
        <is>
          <t>Hayır</t>
        </is>
      </c>
      <c r="K178" s="5" t="n">
        <v>1</v>
      </c>
      <c r="L178" s="5" t="inlineStr">
        <is>
          <t>Duş camında kireç/su lekesi, giderde saç, zeminde kir var mı? Konaklama kontrolündeysen misafir eşyalarını değerlendirme.</t>
        </is>
      </c>
    </row>
    <row r="179">
      <c r="A179" s="5" t="inlineStr">
        <is>
          <t>VGS</t>
        </is>
      </c>
      <c r="B179" s="5" t="n">
        <v>5</v>
      </c>
      <c r="C179" s="5" t="inlineStr">
        <is>
          <t>Oda</t>
        </is>
      </c>
      <c r="D179" s="5" t="inlineStr">
        <is>
          <t>Gardırop</t>
        </is>
      </c>
      <c r="E179" s="5" t="inlineStr">
        <is>
          <t>Kapakları aç, askıları ve rafları tek karede çek. İçerisi karanlıksa feneri aç.</t>
        </is>
      </c>
      <c r="F179" s="5" t="inlineStr">
        <is>
          <t>Askılar tam
Yedek battaniye/yastık katlı
Unutulmuş eşya yok</t>
        </is>
      </c>
      <c r="G179" s="5" t="inlineStr">
        <is>
          <t>Evet</t>
        </is>
      </c>
      <c r="H179" s="5" t="inlineStr">
        <is>
          <t>Hayır</t>
        </is>
      </c>
      <c r="I179" s="5" t="inlineStr">
        <is>
          <t>Evet</t>
        </is>
      </c>
      <c r="K179" s="5" t="n">
        <v>1</v>
      </c>
      <c r="L179" s="5" t="inlineStr">
        <is>
          <t>Gardıropta unutulmuş eşya, çöp var mı? Askılar düzenli mi?</t>
        </is>
      </c>
    </row>
    <row r="180">
      <c r="A180" s="5" t="inlineStr">
        <is>
          <t>VGS</t>
        </is>
      </c>
      <c r="B180" s="5" t="n">
        <v>6</v>
      </c>
      <c r="C180" s="5" t="inlineStr">
        <is>
          <t>Mutfak</t>
        </is>
      </c>
      <c r="D180" s="5" t="inlineStr">
        <is>
          <t>Mutfak tezgahı</t>
        </is>
      </c>
      <c r="E180" s="5" t="inlineStr">
        <is>
          <t>Tezgahın karşısından ocak, evye, kettle ve bulaşıklık tek karede olacak şekilde çek.</t>
        </is>
      </c>
      <c r="F180" s="5" t="inlineStr">
        <is>
          <t>Ocak temiz
Evye ve batarya temiz
Sünger ve fırça temiz
Bulaşıklık boş ve kuru
Kettle boş, kablosu toplanmış
Tuz-biber-yağ dolu
Çöp kovası boş</t>
        </is>
      </c>
      <c r="G180" s="5" t="inlineStr">
        <is>
          <t>Evet</t>
        </is>
      </c>
      <c r="H180" s="5" t="inlineStr">
        <is>
          <t>Evet</t>
        </is>
      </c>
      <c r="I180" s="5" t="inlineStr">
        <is>
          <t>Hayır</t>
        </is>
      </c>
      <c r="K180" s="5" t="n">
        <v>1</v>
      </c>
      <c r="L180" s="5" t="inlineStr">
        <is>
          <t>Tezgahta, ocakta, evyede kir, yağ, kırıntı veya bulaşık var mı? Çöp dolu mu? Konaklama kontrolündeysen misafir eşyalarını değerlendirme.</t>
        </is>
      </c>
    </row>
    <row r="181">
      <c r="A181" s="5" t="inlineStr">
        <is>
          <t>VGS</t>
        </is>
      </c>
      <c r="B181" s="5" t="n">
        <v>7</v>
      </c>
      <c r="C181" s="5" t="inlineStr">
        <is>
          <t>Mutfak</t>
        </is>
      </c>
      <c r="D181" s="5" t="inlineStr">
        <is>
          <t>Çekmeceler</t>
        </is>
      </c>
      <c r="E181" s="5" t="inlineStr">
        <is>
          <t>Çekmeceleri sırayla aç, feneri aç ve her birini tam üstten çek.</t>
        </is>
      </c>
      <c r="F181" s="5" t="inlineStr">
        <is>
          <t>Çatal, kaşık, bıçak tam
Servis gereçleri yerinde
Çekmece içleri kırıntısız</t>
        </is>
      </c>
      <c r="G181" s="5" t="inlineStr">
        <is>
          <t>Evet</t>
        </is>
      </c>
      <c r="H181" s="5" t="inlineStr">
        <is>
          <t>Hayır</t>
        </is>
      </c>
      <c r="I181" s="5" t="inlineStr">
        <is>
          <t>Evet</t>
        </is>
      </c>
      <c r="K181" s="5" t="n">
        <v>2</v>
      </c>
      <c r="L181" s="5" t="inlineStr">
        <is>
          <t>Çekmece içinde kırıntı, kir, yerinden oynamış eşya var mı?</t>
        </is>
      </c>
    </row>
    <row r="182">
      <c r="A182" s="5" t="inlineStr">
        <is>
          <t>VGS</t>
        </is>
      </c>
      <c r="B182" s="5" t="n">
        <v>8</v>
      </c>
      <c r="C182" s="5" t="inlineStr">
        <is>
          <t>Mutfak</t>
        </is>
      </c>
      <c r="D182" s="5" t="inlineStr">
        <is>
          <t>Dolaplar: tabak, bardak, tencere</t>
        </is>
      </c>
      <c r="E182" s="5" t="inlineStr">
        <is>
          <t>Üst ve alt dolapların kapaklarını aç, feneri aç; tabak, bardak ve tencereler görünsün.</t>
        </is>
      </c>
      <c r="F182" s="5" t="inlineStr">
        <is>
          <t>Tabak, kase, bardak, kupa sayısı tam
Bardaklarda su lekesi, kupalarda çay/kahve izi yok
Tencere ve tavalar temiz, kapaklı
Evye altında sızıntı yok</t>
        </is>
      </c>
      <c r="G182" s="5" t="inlineStr">
        <is>
          <t>Evet</t>
        </is>
      </c>
      <c r="H182" s="5" t="inlineStr">
        <is>
          <t>Hayır</t>
        </is>
      </c>
      <c r="I182" s="5" t="inlineStr">
        <is>
          <t>Evet</t>
        </is>
      </c>
      <c r="K182" s="5" t="n">
        <v>2</v>
      </c>
      <c r="L182" s="5" t="inlineStr">
        <is>
          <t>Bardaklarda leke, tabaklarda iz/çatlak, tencerelerde yemek kalıntısı var mı?</t>
        </is>
      </c>
    </row>
    <row r="183">
      <c r="A183" s="5" t="inlineStr">
        <is>
          <t>VGS</t>
        </is>
      </c>
      <c r="B183" s="5" t="n">
        <v>9</v>
      </c>
      <c r="C183" s="5" t="inlineStr">
        <is>
          <t>Mutfak</t>
        </is>
      </c>
      <c r="D183" s="5" t="inlineStr">
        <is>
          <t>Buzdolabı</t>
        </is>
      </c>
      <c r="E183" s="5" t="inlineStr">
        <is>
          <t>Kapağı tamamen aç; içi ve kapak rafları görünsün.</t>
        </is>
      </c>
      <c r="F183" s="5" t="inlineStr">
        <is>
          <t>Raflar temiz
Unutulmuş yiyecek yok
Koku ve buzlanma yok</t>
        </is>
      </c>
      <c r="G183" s="5" t="inlineStr">
        <is>
          <t>Evet</t>
        </is>
      </c>
      <c r="H183" s="5" t="inlineStr">
        <is>
          <t>Hayır</t>
        </is>
      </c>
      <c r="I183" s="5" t="inlineStr">
        <is>
          <t>Hayır</t>
        </is>
      </c>
      <c r="K183" s="5" t="n">
        <v>1</v>
      </c>
      <c r="L183" s="5" t="inlineStr">
        <is>
          <t>Buzdolabında yiyecek kalıntısı, leke, buzlanma var mı?</t>
        </is>
      </c>
    </row>
    <row r="184">
      <c r="A184" s="5" t="inlineStr">
        <is>
          <t>VGS</t>
        </is>
      </c>
      <c r="B184" s="5" t="n">
        <v>10</v>
      </c>
      <c r="C184" s="5" t="inlineStr">
        <is>
          <t>Oda</t>
        </is>
      </c>
      <c r="D184" s="5" t="inlineStr">
        <is>
          <t>TV ve ünite</t>
        </is>
      </c>
      <c r="E184" s="5" t="inlineStr">
        <is>
          <t>TV ve ünite raflarını önden çek.</t>
        </is>
      </c>
      <c r="F184" s="5" t="inlineStr">
        <is>
          <t>TV ekranı tozsuz
Ünite rafları tozsuz
Kumandalar yerinde</t>
        </is>
      </c>
      <c r="G184" s="5" t="inlineStr">
        <is>
          <t>Evet</t>
        </is>
      </c>
      <c r="H184" s="5" t="inlineStr">
        <is>
          <t>Evet</t>
        </is>
      </c>
      <c r="I184" s="5" t="inlineStr">
        <is>
          <t>Hayır</t>
        </is>
      </c>
      <c r="K184" s="5" t="n">
        <v>1</v>
      </c>
      <c r="L184" s="5" t="inlineStr">
        <is>
          <t>TV ve raflarda toz, leke var mı? Konaklama kontrolündeysen misafir eşyalarını değerlendirme.</t>
        </is>
      </c>
    </row>
    <row r="185">
      <c r="A185" s="5" t="inlineStr">
        <is>
          <t>VGS</t>
        </is>
      </c>
      <c r="B185" s="5" t="n">
        <v>11</v>
      </c>
      <c r="C185" s="5" t="inlineStr">
        <is>
          <t>Oda</t>
        </is>
      </c>
      <c r="D185" s="5" t="inlineStr">
        <is>
          <t>Oturma alanı ve masa</t>
        </is>
      </c>
      <c r="E185" s="5" t="inlineStr">
        <is>
          <t>Pencereye doğru geniş açıyla çek; masa, koltuklar ve kanepe görünsün.</t>
        </is>
      </c>
      <c r="F185" s="5" t="inlineStr">
        <is>
          <t>Perde ve tül düzgün
Masa temiz
Koltuk/kanepe temiz, minderler düzgün
Sofa yatak toplanmış</t>
        </is>
      </c>
      <c r="G185" s="5" t="inlineStr">
        <is>
          <t>Evet</t>
        </is>
      </c>
      <c r="H185" s="5" t="inlineStr">
        <is>
          <t>Evet</t>
        </is>
      </c>
      <c r="I185" s="5" t="inlineStr">
        <is>
          <t>Hayır</t>
        </is>
      </c>
      <c r="K185" s="5" t="n">
        <v>1</v>
      </c>
      <c r="L185" s="5" t="inlineStr">
        <is>
          <t>Masada, koltuklarda kir, leke, unutulmuş eşya var mı? Konaklama kontrolündeysen misafir eşyalarını değerlendirme.</t>
        </is>
      </c>
    </row>
    <row r="186">
      <c r="A186" s="5" t="inlineStr">
        <is>
          <t>VGS</t>
        </is>
      </c>
      <c r="B186" s="5" t="n">
        <v>12</v>
      </c>
      <c r="C186" s="5" t="inlineStr">
        <is>
          <t>Oda</t>
        </is>
      </c>
      <c r="D186" s="5" t="inlineStr">
        <is>
          <t>Yatak ve komodinler</t>
        </is>
      </c>
      <c r="E186" s="5" t="inlineStr">
        <is>
          <t>Yatağı ayak ucundan tamamı görünecek şekilde çek; ikinci karede yatak altını ve komodinleri çek.</t>
        </is>
      </c>
      <c r="F186" s="5" t="inlineStr">
        <is>
          <t>Çarşaf dört köşeden gergin
Yastıklar tam, kılıflar lekesiz
Yatak altında eşya/toz yok
Komodinler boş ve tozsuz</t>
        </is>
      </c>
      <c r="G186" s="5" t="inlineStr">
        <is>
          <t>Evet</t>
        </is>
      </c>
      <c r="H186" s="5" t="inlineStr">
        <is>
          <t>Evet</t>
        </is>
      </c>
      <c r="I186" s="5" t="inlineStr">
        <is>
          <t>Hayır</t>
        </is>
      </c>
      <c r="K186" s="5" t="n">
        <v>2</v>
      </c>
      <c r="L186" s="5" t="inlineStr">
        <is>
          <t>Çarşafta kırışık, leke, saç var mı? Yastıklar düzgün mü? Yatak altında eşya/toz var mı? Konaklama kontrolündeysen misafir eşyalarını değerlendirme.</t>
        </is>
      </c>
    </row>
    <row r="187">
      <c r="A187" s="5" t="inlineStr">
        <is>
          <t>VGS</t>
        </is>
      </c>
      <c r="B187" s="5" t="n">
        <v>13</v>
      </c>
      <c r="C187" s="5" t="inlineStr">
        <is>
          <t>Oda</t>
        </is>
      </c>
      <c r="D187" s="5" t="inlineStr">
        <is>
          <t>Genel oda</t>
        </is>
      </c>
      <c r="E187" s="5" t="inlineStr">
        <is>
          <t>Kapı tarafından tüm odayı tek geniş karede çek. Tüm ışıklar açık.</t>
        </is>
      </c>
      <c r="F187" s="5" t="inlineStr">
        <is>
          <t>Klima çalışıyor
Çöp kovaları boş
Zemin temiz
Duvarda iz yok
Tüm aydınlatma yanıyor</t>
        </is>
      </c>
      <c r="G187" s="5" t="inlineStr">
        <is>
          <t>Evet</t>
        </is>
      </c>
      <c r="H187" s="5" t="inlineStr">
        <is>
          <t>Evet</t>
        </is>
      </c>
      <c r="I187" s="5" t="inlineStr">
        <is>
          <t>Hayır</t>
        </is>
      </c>
      <c r="K187" s="5" t="n">
        <v>1</v>
      </c>
      <c r="L187" s="5" t="inlineStr">
        <is>
          <t>Zeminde kir, çöp; yanmayan lamba; dağınıklık var mı? Konaklama kontrolündeysen misafir eşyalarını değerlendirme.</t>
        </is>
      </c>
    </row>
    <row r="188">
      <c r="A188" s="5" t="inlineStr">
        <is>
          <t>VBS</t>
        </is>
      </c>
      <c r="B188" s="5" t="n">
        <v>1</v>
      </c>
      <c r="C188" s="5" t="inlineStr">
        <is>
          <t>Giriş</t>
        </is>
      </c>
      <c r="D188" s="5" t="inlineStr">
        <is>
          <t>Giriş ve kapı</t>
        </is>
      </c>
      <c r="E188" s="5" t="inlineStr">
        <is>
          <t>Kapıdan girip girişi ve koridoru tek karede çek. Tüm ışıklar açık olsun.</t>
        </is>
      </c>
      <c r="F188" s="5" t="inlineStr">
        <is>
          <t>Kapı ve şifreli kilit çalışıyor
Süpürgelik ve duvar dipleri tozsuz
Aplikler yanıyor
Zeminde leke, saç, kum yok</t>
        </is>
      </c>
      <c r="G188" s="5" t="inlineStr">
        <is>
          <t>Evet</t>
        </is>
      </c>
      <c r="H188" s="5" t="inlineStr">
        <is>
          <t>Evet</t>
        </is>
      </c>
      <c r="I188" s="5" t="inlineStr">
        <is>
          <t>Hayır</t>
        </is>
      </c>
      <c r="K188" s="5" t="n">
        <v>1</v>
      </c>
      <c r="L188" s="5" t="inlineStr">
        <is>
          <t>Zeminde görünür kir, saç, çöp var mı? Yanmayan lamba var mı? Konaklama kontrolündeysen misafir eşyalarını değerlendirme.</t>
        </is>
      </c>
    </row>
    <row r="189">
      <c r="A189" s="5" t="inlineStr">
        <is>
          <t>VBS</t>
        </is>
      </c>
      <c r="B189" s="5" t="n">
        <v>2</v>
      </c>
      <c r="C189" s="5" t="inlineStr">
        <is>
          <t>Banyo</t>
        </is>
      </c>
      <c r="D189" s="5" t="inlineStr">
        <is>
          <t>Lavabo ve ayna</t>
        </is>
      </c>
      <c r="E189" s="5" t="inlineStr">
        <is>
          <t>Lavabo, batarya, ayna ve havlu rafı aynı karede olacak şekilde çek.</t>
        </is>
      </c>
      <c r="F189" s="5" t="inlineStr">
        <is>
          <t>Lavabo içi ve gider temiz
Batarya parlak, su lekesi yok
Sıvı sabun dolu
Ayna lekesiz
Havlular katlı ve tam</t>
        </is>
      </c>
      <c r="G189" s="5" t="inlineStr">
        <is>
          <t>Evet</t>
        </is>
      </c>
      <c r="H189" s="5" t="inlineStr">
        <is>
          <t>Evet</t>
        </is>
      </c>
      <c r="I189" s="5" t="inlineStr">
        <is>
          <t>Hayır</t>
        </is>
      </c>
      <c r="K189" s="5" t="n">
        <v>1</v>
      </c>
      <c r="L189" s="5" t="inlineStr">
        <is>
          <t>Lavaboda kıl, sabun kalıntısı, su lekesi var mı? Aynada leke var mı? Havlular düzgün katlı mı? Konaklama kontrolündeysen misafir eşyalarını değerlendirme.</t>
        </is>
      </c>
    </row>
    <row r="190">
      <c r="A190" s="5" t="inlineStr">
        <is>
          <t>VBS</t>
        </is>
      </c>
      <c r="B190" s="5" t="n">
        <v>3</v>
      </c>
      <c r="C190" s="5" t="inlineStr">
        <is>
          <t>Banyo</t>
        </is>
      </c>
      <c r="D190" s="5" t="inlineStr">
        <is>
          <t>WC</t>
        </is>
      </c>
      <c r="E190" s="5" t="inlineStr">
        <is>
          <t>Klozet kapağı açık, tuvalet kağıdı ve yedek rulo görünecek şekilde çek.</t>
        </is>
      </c>
      <c r="F190" s="5" t="inlineStr">
        <is>
          <t>Klozet içi, kapak altı ve dış yüzey temiz
WC fırçası temiz
Tuvalet kağıdı takılı + yedek rulo
Çöp kovası boş, poşet yeni</t>
        </is>
      </c>
      <c r="G190" s="5" t="inlineStr">
        <is>
          <t>Evet</t>
        </is>
      </c>
      <c r="H190" s="5" t="inlineStr">
        <is>
          <t>Evet</t>
        </is>
      </c>
      <c r="I190" s="5" t="inlineStr">
        <is>
          <t>Hayır</t>
        </is>
      </c>
      <c r="K190" s="5" t="n">
        <v>1</v>
      </c>
      <c r="L190" s="5" t="inlineStr">
        <is>
          <t>Klozet içinde veya kapakta leke/kir var mı? Tuvalet kağıdı ve yedek rulo var mı? Çöp kovası boş mu?</t>
        </is>
      </c>
    </row>
    <row r="191">
      <c r="A191" s="5" t="inlineStr">
        <is>
          <t>VBS</t>
        </is>
      </c>
      <c r="B191" s="5" t="n">
        <v>4</v>
      </c>
      <c r="C191" s="5" t="inlineStr">
        <is>
          <t>Banyo</t>
        </is>
      </c>
      <c r="D191" s="5" t="inlineStr">
        <is>
          <t>Duş</t>
        </is>
      </c>
      <c r="E191" s="5" t="inlineStr">
        <is>
          <t>Duş camını ışığa karşı çek (kireç böyle görünür); dispenserler ve gider görünsün.</t>
        </is>
      </c>
      <c r="F191" s="5" t="inlineStr">
        <is>
          <t>Camda kireç ve su lekesi yok
Duş seti askıda
Şampuan/duş jeli dolu
Giderde saç yok</t>
        </is>
      </c>
      <c r="G191" s="5" t="inlineStr">
        <is>
          <t>Evet</t>
        </is>
      </c>
      <c r="H191" s="5" t="inlineStr">
        <is>
          <t>Evet</t>
        </is>
      </c>
      <c r="I191" s="5" t="inlineStr">
        <is>
          <t>Hayır</t>
        </is>
      </c>
      <c r="K191" s="5" t="n">
        <v>1</v>
      </c>
      <c r="L191" s="5" t="inlineStr">
        <is>
          <t>Duş camında kireç/su lekesi, giderde saç, zeminde kir var mı? Konaklama kontrolündeysen misafir eşyalarını değerlendirme.</t>
        </is>
      </c>
    </row>
    <row r="192">
      <c r="A192" s="5" t="inlineStr">
        <is>
          <t>VBS</t>
        </is>
      </c>
      <c r="B192" s="5" t="n">
        <v>5</v>
      </c>
      <c r="C192" s="5" t="inlineStr">
        <is>
          <t>Oda</t>
        </is>
      </c>
      <c r="D192" s="5" t="inlineStr">
        <is>
          <t>Gardırop</t>
        </is>
      </c>
      <c r="E192" s="5" t="inlineStr">
        <is>
          <t>Kapakları aç, askıları ve rafları tek karede çek. İçerisi karanlıksa feneri aç.</t>
        </is>
      </c>
      <c r="F192" s="5" t="inlineStr">
        <is>
          <t>Askılar tam
Yedek battaniye/yastık katlı
Unutulmuş eşya yok</t>
        </is>
      </c>
      <c r="G192" s="5" t="inlineStr">
        <is>
          <t>Evet</t>
        </is>
      </c>
      <c r="H192" s="5" t="inlineStr">
        <is>
          <t>Hayır</t>
        </is>
      </c>
      <c r="I192" s="5" t="inlineStr">
        <is>
          <t>Evet</t>
        </is>
      </c>
      <c r="K192" s="5" t="n">
        <v>1</v>
      </c>
      <c r="L192" s="5" t="inlineStr">
        <is>
          <t>Gardıropta unutulmuş eşya, çöp var mı? Askılar düzenli mi?</t>
        </is>
      </c>
    </row>
    <row r="193">
      <c r="A193" s="5" t="inlineStr">
        <is>
          <t>VBS</t>
        </is>
      </c>
      <c r="B193" s="5" t="n">
        <v>6</v>
      </c>
      <c r="C193" s="5" t="inlineStr">
        <is>
          <t>Mutfak</t>
        </is>
      </c>
      <c r="D193" s="5" t="inlineStr">
        <is>
          <t>Mutfak tezgahı</t>
        </is>
      </c>
      <c r="E193" s="5" t="inlineStr">
        <is>
          <t>Tezgahın karşısından ocak, evye, kettle ve bulaşıklık tek karede olacak şekilde çek.</t>
        </is>
      </c>
      <c r="F193" s="5" t="inlineStr">
        <is>
          <t>Ocak temiz
Evye ve batarya temiz
Sünger ve fırça temiz
Bulaşıklık boş ve kuru
Kettle boş, kablosu toplanmış
Tuz-biber-yağ dolu
Çöp kovası boş</t>
        </is>
      </c>
      <c r="G193" s="5" t="inlineStr">
        <is>
          <t>Evet</t>
        </is>
      </c>
      <c r="H193" s="5" t="inlineStr">
        <is>
          <t>Evet</t>
        </is>
      </c>
      <c r="I193" s="5" t="inlineStr">
        <is>
          <t>Hayır</t>
        </is>
      </c>
      <c r="K193" s="5" t="n">
        <v>1</v>
      </c>
      <c r="L193" s="5" t="inlineStr">
        <is>
          <t>Tezgahta, ocakta, evyede kir, yağ, kırıntı veya bulaşık var mı? Çöp dolu mu? Konaklama kontrolündeysen misafir eşyalarını değerlendirme.</t>
        </is>
      </c>
    </row>
    <row r="194">
      <c r="A194" s="5" t="inlineStr">
        <is>
          <t>VBS</t>
        </is>
      </c>
      <c r="B194" s="5" t="n">
        <v>7</v>
      </c>
      <c r="C194" s="5" t="inlineStr">
        <is>
          <t>Mutfak</t>
        </is>
      </c>
      <c r="D194" s="5" t="inlineStr">
        <is>
          <t>Çekmeceler</t>
        </is>
      </c>
      <c r="E194" s="5" t="inlineStr">
        <is>
          <t>Çekmeceleri sırayla aç, feneri aç ve her birini tam üstten çek.</t>
        </is>
      </c>
      <c r="F194" s="5" t="inlineStr">
        <is>
          <t>Çatal, kaşık, bıçak tam
Servis gereçleri yerinde
Çekmece içleri kırıntısız</t>
        </is>
      </c>
      <c r="G194" s="5" t="inlineStr">
        <is>
          <t>Evet</t>
        </is>
      </c>
      <c r="H194" s="5" t="inlineStr">
        <is>
          <t>Hayır</t>
        </is>
      </c>
      <c r="I194" s="5" t="inlineStr">
        <is>
          <t>Evet</t>
        </is>
      </c>
      <c r="K194" s="5" t="n">
        <v>2</v>
      </c>
      <c r="L194" s="5" t="inlineStr">
        <is>
          <t>Çekmece içinde kırıntı, kir, yerinden oynamış eşya var mı?</t>
        </is>
      </c>
    </row>
    <row r="195">
      <c r="A195" s="5" t="inlineStr">
        <is>
          <t>VBS</t>
        </is>
      </c>
      <c r="B195" s="5" t="n">
        <v>8</v>
      </c>
      <c r="C195" s="5" t="inlineStr">
        <is>
          <t>Mutfak</t>
        </is>
      </c>
      <c r="D195" s="5" t="inlineStr">
        <is>
          <t>Dolaplar: tabak, bardak, tencere</t>
        </is>
      </c>
      <c r="E195" s="5" t="inlineStr">
        <is>
          <t>Üst ve alt dolapların kapaklarını aç, feneri aç; tabak, bardak ve tencereler görünsün.</t>
        </is>
      </c>
      <c r="F195" s="5" t="inlineStr">
        <is>
          <t>Tabak, kase, bardak, kupa sayısı tam
Bardaklarda su lekesi, kupalarda çay/kahve izi yok
Tencere ve tavalar temiz, kapaklı
Evye altında sızıntı yok</t>
        </is>
      </c>
      <c r="G195" s="5" t="inlineStr">
        <is>
          <t>Evet</t>
        </is>
      </c>
      <c r="H195" s="5" t="inlineStr">
        <is>
          <t>Hayır</t>
        </is>
      </c>
      <c r="I195" s="5" t="inlineStr">
        <is>
          <t>Evet</t>
        </is>
      </c>
      <c r="K195" s="5" t="n">
        <v>2</v>
      </c>
      <c r="L195" s="5" t="inlineStr">
        <is>
          <t>Bardaklarda leke, tabaklarda iz/çatlak, tencerelerde yemek kalıntısı var mı?</t>
        </is>
      </c>
    </row>
    <row r="196">
      <c r="A196" s="5" t="inlineStr">
        <is>
          <t>VBS</t>
        </is>
      </c>
      <c r="B196" s="5" t="n">
        <v>9</v>
      </c>
      <c r="C196" s="5" t="inlineStr">
        <is>
          <t>Mutfak</t>
        </is>
      </c>
      <c r="D196" s="5" t="inlineStr">
        <is>
          <t>Buzdolabı</t>
        </is>
      </c>
      <c r="E196" s="5" t="inlineStr">
        <is>
          <t>Kapağı tamamen aç; içi ve kapak rafları görünsün.</t>
        </is>
      </c>
      <c r="F196" s="5" t="inlineStr">
        <is>
          <t>Raflar temiz
Unutulmuş yiyecek yok
Koku ve buzlanma yok</t>
        </is>
      </c>
      <c r="G196" s="5" t="inlineStr">
        <is>
          <t>Evet</t>
        </is>
      </c>
      <c r="H196" s="5" t="inlineStr">
        <is>
          <t>Hayır</t>
        </is>
      </c>
      <c r="I196" s="5" t="inlineStr">
        <is>
          <t>Hayır</t>
        </is>
      </c>
      <c r="K196" s="5" t="n">
        <v>1</v>
      </c>
      <c r="L196" s="5" t="inlineStr">
        <is>
          <t>Buzdolabında yiyecek kalıntısı, leke, buzlanma var mı?</t>
        </is>
      </c>
    </row>
    <row r="197">
      <c r="A197" s="5" t="inlineStr">
        <is>
          <t>VBS</t>
        </is>
      </c>
      <c r="B197" s="5" t="n">
        <v>10</v>
      </c>
      <c r="C197" s="5" t="inlineStr">
        <is>
          <t>Oda</t>
        </is>
      </c>
      <c r="D197" s="5" t="inlineStr">
        <is>
          <t>TV ve ünite</t>
        </is>
      </c>
      <c r="E197" s="5" t="inlineStr">
        <is>
          <t>TV ve ünite raflarını önden çek.</t>
        </is>
      </c>
      <c r="F197" s="5" t="inlineStr">
        <is>
          <t>TV ekranı tozsuz
Ünite rafları tozsuz
Kumandalar yerinde</t>
        </is>
      </c>
      <c r="G197" s="5" t="inlineStr">
        <is>
          <t>Evet</t>
        </is>
      </c>
      <c r="H197" s="5" t="inlineStr">
        <is>
          <t>Evet</t>
        </is>
      </c>
      <c r="I197" s="5" t="inlineStr">
        <is>
          <t>Hayır</t>
        </is>
      </c>
      <c r="K197" s="5" t="n">
        <v>1</v>
      </c>
      <c r="L197" s="5" t="inlineStr">
        <is>
          <t>TV ve raflarda toz, leke var mı? Konaklama kontrolündeysen misafir eşyalarını değerlendirme.</t>
        </is>
      </c>
    </row>
    <row r="198">
      <c r="A198" s="5" t="inlineStr">
        <is>
          <t>VBS</t>
        </is>
      </c>
      <c r="B198" s="5" t="n">
        <v>11</v>
      </c>
      <c r="C198" s="5" t="inlineStr">
        <is>
          <t>Oda</t>
        </is>
      </c>
      <c r="D198" s="5" t="inlineStr">
        <is>
          <t>Oturma alanı ve masa</t>
        </is>
      </c>
      <c r="E198" s="5" t="inlineStr">
        <is>
          <t>Pencereye doğru geniş açıyla çek; masa, koltuklar ve kanepe görünsün.</t>
        </is>
      </c>
      <c r="F198" s="5" t="inlineStr">
        <is>
          <t>Perde ve tül düzgün
Masa temiz
Koltuk/kanepe temiz, minderler düzgün
Sofa yatak toplanmış</t>
        </is>
      </c>
      <c r="G198" s="5" t="inlineStr">
        <is>
          <t>Evet</t>
        </is>
      </c>
      <c r="H198" s="5" t="inlineStr">
        <is>
          <t>Evet</t>
        </is>
      </c>
      <c r="I198" s="5" t="inlineStr">
        <is>
          <t>Hayır</t>
        </is>
      </c>
      <c r="K198" s="5" t="n">
        <v>1</v>
      </c>
      <c r="L198" s="5" t="inlineStr">
        <is>
          <t>Masada, koltuklarda kir, leke, unutulmuş eşya var mı? Konaklama kontrolündeysen misafir eşyalarını değerlendirme.</t>
        </is>
      </c>
    </row>
    <row r="199">
      <c r="A199" s="5" t="inlineStr">
        <is>
          <t>VBS</t>
        </is>
      </c>
      <c r="B199" s="5" t="n">
        <v>12</v>
      </c>
      <c r="C199" s="5" t="inlineStr">
        <is>
          <t>Oda</t>
        </is>
      </c>
      <c r="D199" s="5" t="inlineStr">
        <is>
          <t>Yatak ve komodinler</t>
        </is>
      </c>
      <c r="E199" s="5" t="inlineStr">
        <is>
          <t>Yatağı ayak ucundan tamamı görünecek şekilde çek; ikinci karede yatak altını ve komodinleri çek.</t>
        </is>
      </c>
      <c r="F199" s="5" t="inlineStr">
        <is>
          <t>Çarşaf dört köşeden gergin
Yastıklar tam, kılıflar lekesiz
Yatak altında eşya/toz yok
Komodinler boş ve tozsuz</t>
        </is>
      </c>
      <c r="G199" s="5" t="inlineStr">
        <is>
          <t>Evet</t>
        </is>
      </c>
      <c r="H199" s="5" t="inlineStr">
        <is>
          <t>Evet</t>
        </is>
      </c>
      <c r="I199" s="5" t="inlineStr">
        <is>
          <t>Hayır</t>
        </is>
      </c>
      <c r="K199" s="5" t="n">
        <v>2</v>
      </c>
      <c r="L199" s="5" t="inlineStr">
        <is>
          <t>Çarşafta kırışık, leke, saç var mı? Yastıklar düzgün mü? Yatak altında eşya/toz var mı? Konaklama kontrolündeysen misafir eşyalarını değerlendirme.</t>
        </is>
      </c>
    </row>
    <row r="200">
      <c r="A200" s="5" t="inlineStr">
        <is>
          <t>VBS</t>
        </is>
      </c>
      <c r="B200" s="5" t="n">
        <v>13</v>
      </c>
      <c r="C200" s="5" t="inlineStr">
        <is>
          <t>Dış alan</t>
        </is>
      </c>
      <c r="D200" s="5" t="inlineStr">
        <is>
          <t>Balkon</t>
        </is>
      </c>
      <c r="E200" s="5" t="inlineStr">
        <is>
          <t>Balkon kapısından balkonun tamamını çek.</t>
        </is>
      </c>
      <c r="F200" s="5" t="inlineStr">
        <is>
          <t>Zemin süpürülmüş
Masa ve sandalyeler temiz
Kül tablası boş</t>
        </is>
      </c>
      <c r="G200" s="5" t="inlineStr">
        <is>
          <t>Evet</t>
        </is>
      </c>
      <c r="H200" s="5" t="inlineStr">
        <is>
          <t>Evet</t>
        </is>
      </c>
      <c r="I200" s="5" t="inlineStr">
        <is>
          <t>Hayır</t>
        </is>
      </c>
      <c r="K200" s="5" t="n">
        <v>1</v>
      </c>
      <c r="L200" s="5" t="inlineStr">
        <is>
          <t>Balkonda çöp, izmarit, kir var mı? Konaklama kontrolündeysen misafir eşyalarını değerlendirme.</t>
        </is>
      </c>
    </row>
    <row r="201">
      <c r="A201" s="5" t="inlineStr">
        <is>
          <t>VBS</t>
        </is>
      </c>
      <c r="B201" s="5" t="n">
        <v>14</v>
      </c>
      <c r="C201" s="5" t="inlineStr">
        <is>
          <t>Oda</t>
        </is>
      </c>
      <c r="D201" s="5" t="inlineStr">
        <is>
          <t>Genel oda</t>
        </is>
      </c>
      <c r="E201" s="5" t="inlineStr">
        <is>
          <t>Kapı tarafından tüm odayı tek geniş karede çek. Tüm ışıklar açık.</t>
        </is>
      </c>
      <c r="F201" s="5" t="inlineStr">
        <is>
          <t>Klima çalışıyor
Çöp kovaları boş
Zemin temiz
Duvarda iz yok
Tüm aydınlatma yanıyor</t>
        </is>
      </c>
      <c r="G201" s="5" t="inlineStr">
        <is>
          <t>Evet</t>
        </is>
      </c>
      <c r="H201" s="5" t="inlineStr">
        <is>
          <t>Evet</t>
        </is>
      </c>
      <c r="I201" s="5" t="inlineStr">
        <is>
          <t>Hayır</t>
        </is>
      </c>
      <c r="K201" s="5" t="n">
        <v>1</v>
      </c>
      <c r="L201" s="5" t="inlineStr">
        <is>
          <t>Zeminde kir, çöp; yanmayan lamba; dağınıklık var mı? Konaklama kontrolündeysen misafir eşyalarını değerlendirme.</t>
        </is>
      </c>
    </row>
    <row r="202">
      <c r="A202" s="5" t="inlineStr">
        <is>
          <t>VSS</t>
        </is>
      </c>
      <c r="B202" s="5" t="n">
        <v>1</v>
      </c>
      <c r="C202" s="5" t="inlineStr">
        <is>
          <t>Giriş</t>
        </is>
      </c>
      <c r="D202" s="5" t="inlineStr">
        <is>
          <t>Giriş ve kapı</t>
        </is>
      </c>
      <c r="E202" s="5" t="inlineStr">
        <is>
          <t>Kapıdan girip girişi ve koridoru tek karede çek. Tüm ışıklar açık olsun.</t>
        </is>
      </c>
      <c r="F202" s="5" t="inlineStr">
        <is>
          <t>Kapı ve şifreli kilit çalışıyor
Süpürgelik ve duvar dipleri tozsuz
Aplikler yanıyor
Zeminde leke, saç, kum yok</t>
        </is>
      </c>
      <c r="G202" s="5" t="inlineStr">
        <is>
          <t>Evet</t>
        </is>
      </c>
      <c r="H202" s="5" t="inlineStr">
        <is>
          <t>Evet</t>
        </is>
      </c>
      <c r="I202" s="5" t="inlineStr">
        <is>
          <t>Hayır</t>
        </is>
      </c>
      <c r="K202" s="5" t="n">
        <v>1</v>
      </c>
      <c r="L202" s="5" t="inlineStr">
        <is>
          <t>Zeminde görünür kir, saç, çöp var mı? Yanmayan lamba var mı? Konaklama kontrolündeysen misafir eşyalarını değerlendirme.</t>
        </is>
      </c>
    </row>
    <row r="203">
      <c r="A203" s="5" t="inlineStr">
        <is>
          <t>VSS</t>
        </is>
      </c>
      <c r="B203" s="5" t="n">
        <v>2</v>
      </c>
      <c r="C203" s="5" t="inlineStr">
        <is>
          <t>Banyo</t>
        </is>
      </c>
      <c r="D203" s="5" t="inlineStr">
        <is>
          <t>Lavabo ve ayna</t>
        </is>
      </c>
      <c r="E203" s="5" t="inlineStr">
        <is>
          <t>Lavabo, batarya, ayna ve havlu rafı aynı karede olacak şekilde çek.</t>
        </is>
      </c>
      <c r="F203" s="5" t="inlineStr">
        <is>
          <t>Lavabo içi ve gider temiz
Batarya parlak, su lekesi yok
Sıvı sabun dolu
Ayna lekesiz
Havlular katlı ve tam</t>
        </is>
      </c>
      <c r="G203" s="5" t="inlineStr">
        <is>
          <t>Evet</t>
        </is>
      </c>
      <c r="H203" s="5" t="inlineStr">
        <is>
          <t>Evet</t>
        </is>
      </c>
      <c r="I203" s="5" t="inlineStr">
        <is>
          <t>Hayır</t>
        </is>
      </c>
      <c r="K203" s="5" t="n">
        <v>1</v>
      </c>
      <c r="L203" s="5" t="inlineStr">
        <is>
          <t>Lavaboda kıl, sabun kalıntısı, su lekesi var mı? Aynada leke var mı? Havlular düzgün katlı mı? Konaklama kontrolündeysen misafir eşyalarını değerlendirme.</t>
        </is>
      </c>
    </row>
    <row r="204">
      <c r="A204" s="5" t="inlineStr">
        <is>
          <t>VSS</t>
        </is>
      </c>
      <c r="B204" s="5" t="n">
        <v>3</v>
      </c>
      <c r="C204" s="5" t="inlineStr">
        <is>
          <t>Banyo</t>
        </is>
      </c>
      <c r="D204" s="5" t="inlineStr">
        <is>
          <t>WC</t>
        </is>
      </c>
      <c r="E204" s="5" t="inlineStr">
        <is>
          <t>Klozet kapağı açık, tuvalet kağıdı ve yedek rulo görünecek şekilde çek.</t>
        </is>
      </c>
      <c r="F204" s="5" t="inlineStr">
        <is>
          <t>Klozet içi, kapak altı ve dış yüzey temiz
WC fırçası temiz
Tuvalet kağıdı takılı + yedek rulo
Çöp kovası boş, poşet yeni</t>
        </is>
      </c>
      <c r="G204" s="5" t="inlineStr">
        <is>
          <t>Evet</t>
        </is>
      </c>
      <c r="H204" s="5" t="inlineStr">
        <is>
          <t>Evet</t>
        </is>
      </c>
      <c r="I204" s="5" t="inlineStr">
        <is>
          <t>Hayır</t>
        </is>
      </c>
      <c r="K204" s="5" t="n">
        <v>1</v>
      </c>
      <c r="L204" s="5" t="inlineStr">
        <is>
          <t>Klozet içinde veya kapakta leke/kir var mı? Tuvalet kağıdı ve yedek rulo var mı? Çöp kovası boş mu?</t>
        </is>
      </c>
    </row>
    <row r="205">
      <c r="A205" s="5" t="inlineStr">
        <is>
          <t>VSS</t>
        </is>
      </c>
      <c r="B205" s="5" t="n">
        <v>4</v>
      </c>
      <c r="C205" s="5" t="inlineStr">
        <is>
          <t>Banyo</t>
        </is>
      </c>
      <c r="D205" s="5" t="inlineStr">
        <is>
          <t>Duş</t>
        </is>
      </c>
      <c r="E205" s="5" t="inlineStr">
        <is>
          <t>Duş camını ışığa karşı çek (kireç böyle görünür); dispenserler ve gider görünsün.</t>
        </is>
      </c>
      <c r="F205" s="5" t="inlineStr">
        <is>
          <t>Camda kireç ve su lekesi yok
Duş seti askıda
Şampuan/duş jeli dolu
Giderde saç yok</t>
        </is>
      </c>
      <c r="G205" s="5" t="inlineStr">
        <is>
          <t>Evet</t>
        </is>
      </c>
      <c r="H205" s="5" t="inlineStr">
        <is>
          <t>Evet</t>
        </is>
      </c>
      <c r="I205" s="5" t="inlineStr">
        <is>
          <t>Hayır</t>
        </is>
      </c>
      <c r="K205" s="5" t="n">
        <v>1</v>
      </c>
      <c r="L205" s="5" t="inlineStr">
        <is>
          <t>Duş camında kireç/su lekesi, giderde saç, zeminde kir var mı? Konaklama kontrolündeysen misafir eşyalarını değerlendirme.</t>
        </is>
      </c>
    </row>
    <row r="206">
      <c r="A206" s="5" t="inlineStr">
        <is>
          <t>VSS</t>
        </is>
      </c>
      <c r="B206" s="5" t="n">
        <v>5</v>
      </c>
      <c r="C206" s="5" t="inlineStr">
        <is>
          <t>Oda</t>
        </is>
      </c>
      <c r="D206" s="5" t="inlineStr">
        <is>
          <t>Gardırop</t>
        </is>
      </c>
      <c r="E206" s="5" t="inlineStr">
        <is>
          <t>Kapakları aç, askıları ve rafları tek karede çek. İçerisi karanlıksa feneri aç.</t>
        </is>
      </c>
      <c r="F206" s="5" t="inlineStr">
        <is>
          <t>Askılar tam
Yedek battaniye/yastık katlı
Unutulmuş eşya yok</t>
        </is>
      </c>
      <c r="G206" s="5" t="inlineStr">
        <is>
          <t>Evet</t>
        </is>
      </c>
      <c r="H206" s="5" t="inlineStr">
        <is>
          <t>Hayır</t>
        </is>
      </c>
      <c r="I206" s="5" t="inlineStr">
        <is>
          <t>Evet</t>
        </is>
      </c>
      <c r="K206" s="5" t="n">
        <v>1</v>
      </c>
      <c r="L206" s="5" t="inlineStr">
        <is>
          <t>Gardıropta unutulmuş eşya, çöp var mı? Askılar düzenli mi?</t>
        </is>
      </c>
    </row>
    <row r="207">
      <c r="A207" s="5" t="inlineStr">
        <is>
          <t>VSS</t>
        </is>
      </c>
      <c r="B207" s="5" t="n">
        <v>6</v>
      </c>
      <c r="C207" s="5" t="inlineStr">
        <is>
          <t>Mutfak</t>
        </is>
      </c>
      <c r="D207" s="5" t="inlineStr">
        <is>
          <t>Mutfak tezgahı</t>
        </is>
      </c>
      <c r="E207" s="5" t="inlineStr">
        <is>
          <t>Tezgahın karşısından ocak, evye, kettle ve bulaşıklık tek karede olacak şekilde çek.</t>
        </is>
      </c>
      <c r="F207" s="5" t="inlineStr">
        <is>
          <t>Ocak temiz
Evye ve batarya temiz
Sünger ve fırça temiz
Bulaşıklık boş ve kuru
Kettle boş, kablosu toplanmış
Tuz-biber-yağ dolu
Çöp kovası boş</t>
        </is>
      </c>
      <c r="G207" s="5" t="inlineStr">
        <is>
          <t>Evet</t>
        </is>
      </c>
      <c r="H207" s="5" t="inlineStr">
        <is>
          <t>Evet</t>
        </is>
      </c>
      <c r="I207" s="5" t="inlineStr">
        <is>
          <t>Hayır</t>
        </is>
      </c>
      <c r="K207" s="5" t="n">
        <v>1</v>
      </c>
      <c r="L207" s="5" t="inlineStr">
        <is>
          <t>Tezgahta, ocakta, evyede kir, yağ, kırıntı veya bulaşık var mı? Çöp dolu mu? Konaklama kontrolündeysen misafir eşyalarını değerlendirme.</t>
        </is>
      </c>
    </row>
    <row r="208">
      <c r="A208" s="5" t="inlineStr">
        <is>
          <t>VSS</t>
        </is>
      </c>
      <c r="B208" s="5" t="n">
        <v>7</v>
      </c>
      <c r="C208" s="5" t="inlineStr">
        <is>
          <t>Mutfak</t>
        </is>
      </c>
      <c r="D208" s="5" t="inlineStr">
        <is>
          <t>Çekmeceler</t>
        </is>
      </c>
      <c r="E208" s="5" t="inlineStr">
        <is>
          <t>Çekmeceleri sırayla aç, feneri aç ve her birini tam üstten çek.</t>
        </is>
      </c>
      <c r="F208" s="5" t="inlineStr">
        <is>
          <t>Çatal, kaşık, bıçak tam
Servis gereçleri yerinde
Çekmece içleri kırıntısız</t>
        </is>
      </c>
      <c r="G208" s="5" t="inlineStr">
        <is>
          <t>Evet</t>
        </is>
      </c>
      <c r="H208" s="5" t="inlineStr">
        <is>
          <t>Hayır</t>
        </is>
      </c>
      <c r="I208" s="5" t="inlineStr">
        <is>
          <t>Evet</t>
        </is>
      </c>
      <c r="K208" s="5" t="n">
        <v>2</v>
      </c>
      <c r="L208" s="5" t="inlineStr">
        <is>
          <t>Çekmece içinde kırıntı, kir, yerinden oynamış eşya var mı?</t>
        </is>
      </c>
    </row>
    <row r="209">
      <c r="A209" s="5" t="inlineStr">
        <is>
          <t>VSS</t>
        </is>
      </c>
      <c r="B209" s="5" t="n">
        <v>8</v>
      </c>
      <c r="C209" s="5" t="inlineStr">
        <is>
          <t>Mutfak</t>
        </is>
      </c>
      <c r="D209" s="5" t="inlineStr">
        <is>
          <t>Dolaplar: tabak, bardak, tencere</t>
        </is>
      </c>
      <c r="E209" s="5" t="inlineStr">
        <is>
          <t>Üst ve alt dolapların kapaklarını aç, feneri aç; tabak, bardak ve tencereler görünsün.</t>
        </is>
      </c>
      <c r="F209" s="5" t="inlineStr">
        <is>
          <t>Tabak, kase, bardak, kupa sayısı tam
Bardaklarda su lekesi, kupalarda çay/kahve izi yok
Tencere ve tavalar temiz, kapaklı
Evye altında sızıntı yok</t>
        </is>
      </c>
      <c r="G209" s="5" t="inlineStr">
        <is>
          <t>Evet</t>
        </is>
      </c>
      <c r="H209" s="5" t="inlineStr">
        <is>
          <t>Hayır</t>
        </is>
      </c>
      <c r="I209" s="5" t="inlineStr">
        <is>
          <t>Evet</t>
        </is>
      </c>
      <c r="K209" s="5" t="n">
        <v>2</v>
      </c>
      <c r="L209" s="5" t="inlineStr">
        <is>
          <t>Bardaklarda leke, tabaklarda iz/çatlak, tencerelerde yemek kalıntısı var mı?</t>
        </is>
      </c>
    </row>
    <row r="210">
      <c r="A210" s="5" t="inlineStr">
        <is>
          <t>VSS</t>
        </is>
      </c>
      <c r="B210" s="5" t="n">
        <v>9</v>
      </c>
      <c r="C210" s="5" t="inlineStr">
        <is>
          <t>Mutfak</t>
        </is>
      </c>
      <c r="D210" s="5" t="inlineStr">
        <is>
          <t>Buzdolabı</t>
        </is>
      </c>
      <c r="E210" s="5" t="inlineStr">
        <is>
          <t>Kapağı tamamen aç; içi ve kapak rafları görünsün.</t>
        </is>
      </c>
      <c r="F210" s="5" t="inlineStr">
        <is>
          <t>Raflar temiz
Unutulmuş yiyecek yok
Koku ve buzlanma yok</t>
        </is>
      </c>
      <c r="G210" s="5" t="inlineStr">
        <is>
          <t>Evet</t>
        </is>
      </c>
      <c r="H210" s="5" t="inlineStr">
        <is>
          <t>Hayır</t>
        </is>
      </c>
      <c r="I210" s="5" t="inlineStr">
        <is>
          <t>Hayır</t>
        </is>
      </c>
      <c r="K210" s="5" t="n">
        <v>1</v>
      </c>
      <c r="L210" s="5" t="inlineStr">
        <is>
          <t>Buzdolabında yiyecek kalıntısı, leke, buzlanma var mı?</t>
        </is>
      </c>
    </row>
    <row r="211">
      <c r="A211" s="5" t="inlineStr">
        <is>
          <t>VSS</t>
        </is>
      </c>
      <c r="B211" s="5" t="n">
        <v>10</v>
      </c>
      <c r="C211" s="5" t="inlineStr">
        <is>
          <t>Oda</t>
        </is>
      </c>
      <c r="D211" s="5" t="inlineStr">
        <is>
          <t>TV ve ünite</t>
        </is>
      </c>
      <c r="E211" s="5" t="inlineStr">
        <is>
          <t>TV ve ünite raflarını önden çek.</t>
        </is>
      </c>
      <c r="F211" s="5" t="inlineStr">
        <is>
          <t>TV ekranı tozsuz
Ünite rafları tozsuz
Kumandalar yerinde</t>
        </is>
      </c>
      <c r="G211" s="5" t="inlineStr">
        <is>
          <t>Evet</t>
        </is>
      </c>
      <c r="H211" s="5" t="inlineStr">
        <is>
          <t>Evet</t>
        </is>
      </c>
      <c r="I211" s="5" t="inlineStr">
        <is>
          <t>Hayır</t>
        </is>
      </c>
      <c r="K211" s="5" t="n">
        <v>1</v>
      </c>
      <c r="L211" s="5" t="inlineStr">
        <is>
          <t>TV ve raflarda toz, leke var mı? Konaklama kontrolündeysen misafir eşyalarını değerlendirme.</t>
        </is>
      </c>
    </row>
    <row r="212">
      <c r="A212" s="5" t="inlineStr">
        <is>
          <t>VSS</t>
        </is>
      </c>
      <c r="B212" s="5" t="n">
        <v>11</v>
      </c>
      <c r="C212" s="5" t="inlineStr">
        <is>
          <t>Oda</t>
        </is>
      </c>
      <c r="D212" s="5" t="inlineStr">
        <is>
          <t>Oturma alanı ve masa</t>
        </is>
      </c>
      <c r="E212" s="5" t="inlineStr">
        <is>
          <t>Pencereye doğru geniş açıyla çek; masa, koltuklar ve kanepe görünsün.</t>
        </is>
      </c>
      <c r="F212" s="5" t="inlineStr">
        <is>
          <t>Perde ve tül düzgün
Masa temiz
Koltuk/kanepe temiz, minderler düzgün</t>
        </is>
      </c>
      <c r="G212" s="5" t="inlineStr">
        <is>
          <t>Evet</t>
        </is>
      </c>
      <c r="H212" s="5" t="inlineStr">
        <is>
          <t>Evet</t>
        </is>
      </c>
      <c r="I212" s="5" t="inlineStr">
        <is>
          <t>Hayır</t>
        </is>
      </c>
      <c r="K212" s="5" t="n">
        <v>1</v>
      </c>
      <c r="L212" s="5" t="inlineStr">
        <is>
          <t>Masada, koltuklarda kir, leke, unutulmuş eşya var mı? Konaklama kontrolündeysen misafir eşyalarını değerlendirme.</t>
        </is>
      </c>
    </row>
    <row r="213">
      <c r="A213" s="5" t="inlineStr">
        <is>
          <t>VSS</t>
        </is>
      </c>
      <c r="B213" s="5" t="n">
        <v>12</v>
      </c>
      <c r="C213" s="5" t="inlineStr">
        <is>
          <t>Oda</t>
        </is>
      </c>
      <c r="D213" s="5" t="inlineStr">
        <is>
          <t>Yatak ve komodinler</t>
        </is>
      </c>
      <c r="E213" s="5" t="inlineStr">
        <is>
          <t>Yatağı ayak ucundan tamamı görünecek şekilde çek; ikinci karede yatak altını ve komodinleri çek.</t>
        </is>
      </c>
      <c r="F213" s="5" t="inlineStr">
        <is>
          <t>Çarşaf dört köşeden gergin
Yastıklar tam, kılıflar lekesiz
Yatak altında eşya/toz yok
Komodinler boş ve tozsuz</t>
        </is>
      </c>
      <c r="G213" s="5" t="inlineStr">
        <is>
          <t>Evet</t>
        </is>
      </c>
      <c r="H213" s="5" t="inlineStr">
        <is>
          <t>Evet</t>
        </is>
      </c>
      <c r="I213" s="5" t="inlineStr">
        <is>
          <t>Hayır</t>
        </is>
      </c>
      <c r="K213" s="5" t="n">
        <v>2</v>
      </c>
      <c r="L213" s="5" t="inlineStr">
        <is>
          <t>Çarşafta kırışık, leke, saç var mı? Yastıklar düzgün mü? Yatak altında eşya/toz var mı? Konaklama kontrolündeysen misafir eşyalarını değerlendirme.</t>
        </is>
      </c>
    </row>
    <row r="214">
      <c r="A214" s="5" t="inlineStr">
        <is>
          <t>VSS</t>
        </is>
      </c>
      <c r="B214" s="5" t="n">
        <v>13</v>
      </c>
      <c r="C214" s="5" t="inlineStr">
        <is>
          <t>Oda</t>
        </is>
      </c>
      <c r="D214" s="5" t="inlineStr">
        <is>
          <t>Genel oda</t>
        </is>
      </c>
      <c r="E214" s="5" t="inlineStr">
        <is>
          <t>Kapı tarafından tüm odayı tek geniş karede çek. Tüm ışıklar açık.</t>
        </is>
      </c>
      <c r="F214" s="5" t="inlineStr">
        <is>
          <t>Klima çalışıyor
Çöp kovaları boş
Zemin temiz
Duvarda iz yok
Tüm aydınlatma yanıyor</t>
        </is>
      </c>
      <c r="G214" s="5" t="inlineStr">
        <is>
          <t>Evet</t>
        </is>
      </c>
      <c r="H214" s="5" t="inlineStr">
        <is>
          <t>Evet</t>
        </is>
      </c>
      <c r="I214" s="5" t="inlineStr">
        <is>
          <t>Hayır</t>
        </is>
      </c>
      <c r="K214" s="5" t="n">
        <v>1</v>
      </c>
      <c r="L214" s="5" t="inlineStr">
        <is>
          <t>Zeminde kir, çöp; yanmayan lamba; dağınıklık var mı? Konaklama kontrolündeysen misafir eşyalarını değerlendirme.</t>
        </is>
      </c>
    </row>
    <row r="215">
      <c r="A215" s="5" t="inlineStr">
        <is>
          <t>VTS</t>
        </is>
      </c>
      <c r="B215" s="5" t="n">
        <v>1</v>
      </c>
      <c r="C215" s="5" t="inlineStr">
        <is>
          <t>Giriş</t>
        </is>
      </c>
      <c r="D215" s="5" t="inlineStr">
        <is>
          <t>Giriş ve kapı</t>
        </is>
      </c>
      <c r="E215" s="5" t="inlineStr">
        <is>
          <t>Kapıdan girip girişi ve koridoru tek karede çek. Tüm ışıklar açık olsun.</t>
        </is>
      </c>
      <c r="F215" s="5" t="inlineStr">
        <is>
          <t>Kapı ve şifreli kilit çalışıyor
Süpürgelik ve duvar dipleri tozsuz
Aplikler yanıyor
Zeminde leke, saç, kum yok</t>
        </is>
      </c>
      <c r="G215" s="5" t="inlineStr">
        <is>
          <t>Evet</t>
        </is>
      </c>
      <c r="H215" s="5" t="inlineStr">
        <is>
          <t>Evet</t>
        </is>
      </c>
      <c r="I215" s="5" t="inlineStr">
        <is>
          <t>Hayır</t>
        </is>
      </c>
      <c r="K215" s="5" t="n">
        <v>1</v>
      </c>
      <c r="L215" s="5" t="inlineStr">
        <is>
          <t>Zeminde görünür kir, saç, çöp var mı? Yanmayan lamba var mı? Konaklama kontrolündeysen misafir eşyalarını değerlendirme.</t>
        </is>
      </c>
    </row>
    <row r="216">
      <c r="A216" s="5" t="inlineStr">
        <is>
          <t>VTS</t>
        </is>
      </c>
      <c r="B216" s="5" t="n">
        <v>2</v>
      </c>
      <c r="C216" s="5" t="inlineStr">
        <is>
          <t>Banyo</t>
        </is>
      </c>
      <c r="D216" s="5" t="inlineStr">
        <is>
          <t>Lavabo ve ayna</t>
        </is>
      </c>
      <c r="E216" s="5" t="inlineStr">
        <is>
          <t>Lavabo, batarya, ayna ve havlu rafı aynı karede olacak şekilde çek.</t>
        </is>
      </c>
      <c r="F216" s="5" t="inlineStr">
        <is>
          <t>Lavabo içi ve gider temiz
Batarya parlak, su lekesi yok
Sıvı sabun dolu
Ayna lekesiz
Havlular katlı ve tam</t>
        </is>
      </c>
      <c r="G216" s="5" t="inlineStr">
        <is>
          <t>Evet</t>
        </is>
      </c>
      <c r="H216" s="5" t="inlineStr">
        <is>
          <t>Evet</t>
        </is>
      </c>
      <c r="I216" s="5" t="inlineStr">
        <is>
          <t>Hayır</t>
        </is>
      </c>
      <c r="K216" s="5" t="n">
        <v>1</v>
      </c>
      <c r="L216" s="5" t="inlineStr">
        <is>
          <t>Lavaboda kıl, sabun kalıntısı, su lekesi var mı? Aynada leke var mı? Havlular düzgün katlı mı? Konaklama kontrolündeysen misafir eşyalarını değerlendirme.</t>
        </is>
      </c>
    </row>
    <row r="217">
      <c r="A217" s="5" t="inlineStr">
        <is>
          <t>VTS</t>
        </is>
      </c>
      <c r="B217" s="5" t="n">
        <v>3</v>
      </c>
      <c r="C217" s="5" t="inlineStr">
        <is>
          <t>Banyo</t>
        </is>
      </c>
      <c r="D217" s="5" t="inlineStr">
        <is>
          <t>WC</t>
        </is>
      </c>
      <c r="E217" s="5" t="inlineStr">
        <is>
          <t>Klozet kapağı açık, tuvalet kağıdı ve yedek rulo görünecek şekilde çek.</t>
        </is>
      </c>
      <c r="F217" s="5" t="inlineStr">
        <is>
          <t>Klozet içi, kapak altı ve dış yüzey temiz
WC fırçası temiz
Tuvalet kağıdı takılı + yedek rulo
Çöp kovası boş, poşet yeni</t>
        </is>
      </c>
      <c r="G217" s="5" t="inlineStr">
        <is>
          <t>Evet</t>
        </is>
      </c>
      <c r="H217" s="5" t="inlineStr">
        <is>
          <t>Evet</t>
        </is>
      </c>
      <c r="I217" s="5" t="inlineStr">
        <is>
          <t>Hayır</t>
        </is>
      </c>
      <c r="K217" s="5" t="n">
        <v>1</v>
      </c>
      <c r="L217" s="5" t="inlineStr">
        <is>
          <t>Klozet içinde veya kapakta leke/kir var mı? Tuvalet kağıdı ve yedek rulo var mı? Çöp kovası boş mu?</t>
        </is>
      </c>
    </row>
    <row r="218">
      <c r="A218" s="5" t="inlineStr">
        <is>
          <t>VTS</t>
        </is>
      </c>
      <c r="B218" s="5" t="n">
        <v>4</v>
      </c>
      <c r="C218" s="5" t="inlineStr">
        <is>
          <t>Banyo</t>
        </is>
      </c>
      <c r="D218" s="5" t="inlineStr">
        <is>
          <t>Duş</t>
        </is>
      </c>
      <c r="E218" s="5" t="inlineStr">
        <is>
          <t>Duş camını ışığa karşı çek (kireç böyle görünür); dispenserler ve gider görünsün.</t>
        </is>
      </c>
      <c r="F218" s="5" t="inlineStr">
        <is>
          <t>Camda kireç ve su lekesi yok
Duş seti askıda
Şampuan/duş jeli dolu
Giderde saç yok</t>
        </is>
      </c>
      <c r="G218" s="5" t="inlineStr">
        <is>
          <t>Evet</t>
        </is>
      </c>
      <c r="H218" s="5" t="inlineStr">
        <is>
          <t>Evet</t>
        </is>
      </c>
      <c r="I218" s="5" t="inlineStr">
        <is>
          <t>Hayır</t>
        </is>
      </c>
      <c r="K218" s="5" t="n">
        <v>1</v>
      </c>
      <c r="L218" s="5" t="inlineStr">
        <is>
          <t>Duş camında kireç/su lekesi, giderde saç, zeminde kir var mı? Konaklama kontrolündeysen misafir eşyalarını değerlendirme.</t>
        </is>
      </c>
    </row>
    <row r="219">
      <c r="A219" s="5" t="inlineStr">
        <is>
          <t>VTS</t>
        </is>
      </c>
      <c r="B219" s="5" t="n">
        <v>5</v>
      </c>
      <c r="C219" s="5" t="inlineStr">
        <is>
          <t>Oda</t>
        </is>
      </c>
      <c r="D219" s="5" t="inlineStr">
        <is>
          <t>Gardırop</t>
        </is>
      </c>
      <c r="E219" s="5" t="inlineStr">
        <is>
          <t>Kapakları aç, askıları ve rafları tek karede çek. İçerisi karanlıksa feneri aç.</t>
        </is>
      </c>
      <c r="F219" s="5" t="inlineStr">
        <is>
          <t>Askılar tam
Yedek battaniye/yastık katlı
Unutulmuş eşya yok</t>
        </is>
      </c>
      <c r="G219" s="5" t="inlineStr">
        <is>
          <t>Evet</t>
        </is>
      </c>
      <c r="H219" s="5" t="inlineStr">
        <is>
          <t>Hayır</t>
        </is>
      </c>
      <c r="I219" s="5" t="inlineStr">
        <is>
          <t>Evet</t>
        </is>
      </c>
      <c r="K219" s="5" t="n">
        <v>1</v>
      </c>
      <c r="L219" s="5" t="inlineStr">
        <is>
          <t>Gardıropta unutulmuş eşya, çöp var mı? Askılar düzenli mi?</t>
        </is>
      </c>
    </row>
    <row r="220">
      <c r="A220" s="5" t="inlineStr">
        <is>
          <t>VTS</t>
        </is>
      </c>
      <c r="B220" s="5" t="n">
        <v>6</v>
      </c>
      <c r="C220" s="5" t="inlineStr">
        <is>
          <t>Mutfak</t>
        </is>
      </c>
      <c r="D220" s="5" t="inlineStr">
        <is>
          <t>Mutfak tezgahı</t>
        </is>
      </c>
      <c r="E220" s="5" t="inlineStr">
        <is>
          <t>Tezgahın karşısından ocak, evye, kettle ve bulaşıklık tek karede olacak şekilde çek.</t>
        </is>
      </c>
      <c r="F220" s="5" t="inlineStr">
        <is>
          <t>Ocak temiz
Evye ve batarya temiz
Sünger ve fırça temiz
Bulaşıklık boş ve kuru
Kettle boş, kablosu toplanmış
Tuz-biber-yağ dolu
Çöp kovası boş</t>
        </is>
      </c>
      <c r="G220" s="5" t="inlineStr">
        <is>
          <t>Evet</t>
        </is>
      </c>
      <c r="H220" s="5" t="inlineStr">
        <is>
          <t>Evet</t>
        </is>
      </c>
      <c r="I220" s="5" t="inlineStr">
        <is>
          <t>Hayır</t>
        </is>
      </c>
      <c r="K220" s="5" t="n">
        <v>1</v>
      </c>
      <c r="L220" s="5" t="inlineStr">
        <is>
          <t>Tezgahta, ocakta, evyede kir, yağ, kırıntı veya bulaşık var mı? Çöp dolu mu? Konaklama kontrolündeysen misafir eşyalarını değerlendirme.</t>
        </is>
      </c>
    </row>
    <row r="221">
      <c r="A221" s="5" t="inlineStr">
        <is>
          <t>VTS</t>
        </is>
      </c>
      <c r="B221" s="5" t="n">
        <v>7</v>
      </c>
      <c r="C221" s="5" t="inlineStr">
        <is>
          <t>Mutfak</t>
        </is>
      </c>
      <c r="D221" s="5" t="inlineStr">
        <is>
          <t>Çekmeceler</t>
        </is>
      </c>
      <c r="E221" s="5" t="inlineStr">
        <is>
          <t>Çekmeceleri sırayla aç, feneri aç ve her birini tam üstten çek.</t>
        </is>
      </c>
      <c r="F221" s="5" t="inlineStr">
        <is>
          <t>Çatal, kaşık, bıçak tam
Servis gereçleri yerinde
Çekmece içleri kırıntısız</t>
        </is>
      </c>
      <c r="G221" s="5" t="inlineStr">
        <is>
          <t>Evet</t>
        </is>
      </c>
      <c r="H221" s="5" t="inlineStr">
        <is>
          <t>Hayır</t>
        </is>
      </c>
      <c r="I221" s="5" t="inlineStr">
        <is>
          <t>Evet</t>
        </is>
      </c>
      <c r="K221" s="5" t="n">
        <v>2</v>
      </c>
      <c r="L221" s="5" t="inlineStr">
        <is>
          <t>Çekmece içinde kırıntı, kir, yerinden oynamış eşya var mı?</t>
        </is>
      </c>
    </row>
    <row r="222">
      <c r="A222" s="5" t="inlineStr">
        <is>
          <t>VTS</t>
        </is>
      </c>
      <c r="B222" s="5" t="n">
        <v>8</v>
      </c>
      <c r="C222" s="5" t="inlineStr">
        <is>
          <t>Mutfak</t>
        </is>
      </c>
      <c r="D222" s="5" t="inlineStr">
        <is>
          <t>Dolaplar: tabak, bardak, tencere</t>
        </is>
      </c>
      <c r="E222" s="5" t="inlineStr">
        <is>
          <t>Üst ve alt dolapların kapaklarını aç, feneri aç; tabak, bardak ve tencereler görünsün.</t>
        </is>
      </c>
      <c r="F222" s="5" t="inlineStr">
        <is>
          <t>Tabak, kase, bardak, kupa sayısı tam
Bardaklarda su lekesi, kupalarda çay/kahve izi yok
Tencere ve tavalar temiz, kapaklı
Evye altında sızıntı yok</t>
        </is>
      </c>
      <c r="G222" s="5" t="inlineStr">
        <is>
          <t>Evet</t>
        </is>
      </c>
      <c r="H222" s="5" t="inlineStr">
        <is>
          <t>Hayır</t>
        </is>
      </c>
      <c r="I222" s="5" t="inlineStr">
        <is>
          <t>Evet</t>
        </is>
      </c>
      <c r="K222" s="5" t="n">
        <v>2</v>
      </c>
      <c r="L222" s="5" t="inlineStr">
        <is>
          <t>Bardaklarda leke, tabaklarda iz/çatlak, tencerelerde yemek kalıntısı var mı?</t>
        </is>
      </c>
    </row>
    <row r="223">
      <c r="A223" s="5" t="inlineStr">
        <is>
          <t>VTS</t>
        </is>
      </c>
      <c r="B223" s="5" t="n">
        <v>9</v>
      </c>
      <c r="C223" s="5" t="inlineStr">
        <is>
          <t>Mutfak</t>
        </is>
      </c>
      <c r="D223" s="5" t="inlineStr">
        <is>
          <t>Buzdolabı</t>
        </is>
      </c>
      <c r="E223" s="5" t="inlineStr">
        <is>
          <t>Kapağı tamamen aç; içi ve kapak rafları görünsün.</t>
        </is>
      </c>
      <c r="F223" s="5" t="inlineStr">
        <is>
          <t>Raflar temiz
Unutulmuş yiyecek yok
Koku ve buzlanma yok</t>
        </is>
      </c>
      <c r="G223" s="5" t="inlineStr">
        <is>
          <t>Evet</t>
        </is>
      </c>
      <c r="H223" s="5" t="inlineStr">
        <is>
          <t>Hayır</t>
        </is>
      </c>
      <c r="I223" s="5" t="inlineStr">
        <is>
          <t>Hayır</t>
        </is>
      </c>
      <c r="K223" s="5" t="n">
        <v>1</v>
      </c>
      <c r="L223" s="5" t="inlineStr">
        <is>
          <t>Buzdolabında yiyecek kalıntısı, leke, buzlanma var mı?</t>
        </is>
      </c>
    </row>
    <row r="224">
      <c r="A224" s="5" t="inlineStr">
        <is>
          <t>VTS</t>
        </is>
      </c>
      <c r="B224" s="5" t="n">
        <v>10</v>
      </c>
      <c r="C224" s="5" t="inlineStr">
        <is>
          <t>Oda</t>
        </is>
      </c>
      <c r="D224" s="5" t="inlineStr">
        <is>
          <t>TV ve ünite</t>
        </is>
      </c>
      <c r="E224" s="5" t="inlineStr">
        <is>
          <t>TV ve ünite raflarını önden çek.</t>
        </is>
      </c>
      <c r="F224" s="5" t="inlineStr">
        <is>
          <t>TV ekranı tozsuz
Ünite rafları tozsuz
Kumandalar yerinde</t>
        </is>
      </c>
      <c r="G224" s="5" t="inlineStr">
        <is>
          <t>Evet</t>
        </is>
      </c>
      <c r="H224" s="5" t="inlineStr">
        <is>
          <t>Evet</t>
        </is>
      </c>
      <c r="I224" s="5" t="inlineStr">
        <is>
          <t>Hayır</t>
        </is>
      </c>
      <c r="K224" s="5" t="n">
        <v>1</v>
      </c>
      <c r="L224" s="5" t="inlineStr">
        <is>
          <t>TV ve raflarda toz, leke var mı? Konaklama kontrolündeysen misafir eşyalarını değerlendirme.</t>
        </is>
      </c>
    </row>
    <row r="225">
      <c r="A225" s="5" t="inlineStr">
        <is>
          <t>VTS</t>
        </is>
      </c>
      <c r="B225" s="5" t="n">
        <v>11</v>
      </c>
      <c r="C225" s="5" t="inlineStr">
        <is>
          <t>Oda</t>
        </is>
      </c>
      <c r="D225" s="5" t="inlineStr">
        <is>
          <t>Oturma alanı ve masa</t>
        </is>
      </c>
      <c r="E225" s="5" t="inlineStr">
        <is>
          <t>Pencereye doğru geniş açıyla çek; masa, koltuklar ve kanepe görünsün.</t>
        </is>
      </c>
      <c r="F225" s="5" t="inlineStr">
        <is>
          <t>Perde ve tül düzgün
Masa temiz
Koltuk/kanepe temiz, minderler düzgün
Sofa yatak toplanmış</t>
        </is>
      </c>
      <c r="G225" s="5" t="inlineStr">
        <is>
          <t>Evet</t>
        </is>
      </c>
      <c r="H225" s="5" t="inlineStr">
        <is>
          <t>Evet</t>
        </is>
      </c>
      <c r="I225" s="5" t="inlineStr">
        <is>
          <t>Hayır</t>
        </is>
      </c>
      <c r="K225" s="5" t="n">
        <v>1</v>
      </c>
      <c r="L225" s="5" t="inlineStr">
        <is>
          <t>Masada, koltuklarda kir, leke, unutulmuş eşya var mı? Konaklama kontrolündeysen misafir eşyalarını değerlendirme.</t>
        </is>
      </c>
    </row>
    <row r="226">
      <c r="A226" s="5" t="inlineStr">
        <is>
          <t>VTS</t>
        </is>
      </c>
      <c r="B226" s="5" t="n">
        <v>12</v>
      </c>
      <c r="C226" s="5" t="inlineStr">
        <is>
          <t>Oda</t>
        </is>
      </c>
      <c r="D226" s="5" t="inlineStr">
        <is>
          <t>Yatak ve komodinler</t>
        </is>
      </c>
      <c r="E226" s="5" t="inlineStr">
        <is>
          <t>Yatağı ayak ucundan tamamı görünecek şekilde çek; ikinci karede yatak altını ve komodinleri çek.</t>
        </is>
      </c>
      <c r="F226" s="5" t="inlineStr">
        <is>
          <t>Çarşaf dört köşeden gergin
Yastıklar tam, kılıflar lekesiz
Yatak altında eşya/toz yok
Komodinler boş ve tozsuz</t>
        </is>
      </c>
      <c r="G226" s="5" t="inlineStr">
        <is>
          <t>Evet</t>
        </is>
      </c>
      <c r="H226" s="5" t="inlineStr">
        <is>
          <t>Evet</t>
        </is>
      </c>
      <c r="I226" s="5" t="inlineStr">
        <is>
          <t>Hayır</t>
        </is>
      </c>
      <c r="K226" s="5" t="n">
        <v>2</v>
      </c>
      <c r="L226" s="5" t="inlineStr">
        <is>
          <t>Çarşafta kırışık, leke, saç var mı? Yastıklar düzgün mü? Yatak altında eşya/toz var mı? Konaklama kontrolündeysen misafir eşyalarını değerlendirme.</t>
        </is>
      </c>
    </row>
    <row r="227">
      <c r="A227" s="5" t="inlineStr">
        <is>
          <t>VTS</t>
        </is>
      </c>
      <c r="B227" s="5" t="n">
        <v>13</v>
      </c>
      <c r="C227" s="5" t="inlineStr">
        <is>
          <t>Dış alan</t>
        </is>
      </c>
      <c r="D227" s="5" t="inlineStr">
        <is>
          <t>Teras</t>
        </is>
      </c>
      <c r="E227" s="5" t="inlineStr">
        <is>
          <t>Terasın tamamını geniş açıyla çek.</t>
        </is>
      </c>
      <c r="F227" s="5" t="inlineStr">
        <is>
          <t>Zemin süpürülmüş
Oturma grubu temiz
Çöp yok</t>
        </is>
      </c>
      <c r="G227" s="5" t="inlineStr">
        <is>
          <t>Evet</t>
        </is>
      </c>
      <c r="H227" s="5" t="inlineStr">
        <is>
          <t>Evet</t>
        </is>
      </c>
      <c r="I227" s="5" t="inlineStr">
        <is>
          <t>Hayır</t>
        </is>
      </c>
      <c r="K227" s="5" t="n">
        <v>1</v>
      </c>
      <c r="L227" s="5" t="inlineStr">
        <is>
          <t>Terasta çöp, yaprak, kir var mı? Konaklama kontrolündeysen misafir eşyalarını değerlendirme.</t>
        </is>
      </c>
    </row>
    <row r="228">
      <c r="A228" s="5" t="inlineStr">
        <is>
          <t>VTS</t>
        </is>
      </c>
      <c r="B228" s="5" t="n">
        <v>14</v>
      </c>
      <c r="C228" s="5" t="inlineStr">
        <is>
          <t>Oda</t>
        </is>
      </c>
      <c r="D228" s="5" t="inlineStr">
        <is>
          <t>Genel oda</t>
        </is>
      </c>
      <c r="E228" s="5" t="inlineStr">
        <is>
          <t>Kapı tarafından tüm odayı tek geniş karede çek. Tüm ışıklar açık.</t>
        </is>
      </c>
      <c r="F228" s="5" t="inlineStr">
        <is>
          <t>Klima çalışıyor
Çöp kovaları boş
Zemin temiz
Duvarda iz yok
Tüm aydınlatma yanıyor</t>
        </is>
      </c>
      <c r="G228" s="5" t="inlineStr">
        <is>
          <t>Evet</t>
        </is>
      </c>
      <c r="H228" s="5" t="inlineStr">
        <is>
          <t>Evet</t>
        </is>
      </c>
      <c r="I228" s="5" t="inlineStr">
        <is>
          <t>Hayır</t>
        </is>
      </c>
      <c r="K228" s="5" t="n">
        <v>1</v>
      </c>
      <c r="L228" s="5" t="inlineStr">
        <is>
          <t>Zeminde kir, çöp; yanmayan lamba; dağınıklık var mı? Konaklama kontrolündeysen misafir eşyalarını değerlendirme.</t>
        </is>
      </c>
    </row>
    <row r="229">
      <c r="A229" s="5" t="inlineStr">
        <is>
          <t>TNY</t>
        </is>
      </c>
      <c r="B229" s="5" t="n">
        <v>1</v>
      </c>
      <c r="C229" s="5" t="inlineStr">
        <is>
          <t>Giriş</t>
        </is>
      </c>
      <c r="D229" s="5" t="inlineStr">
        <is>
          <t>Giriş ve kapı</t>
        </is>
      </c>
      <c r="E229" s="5" t="inlineStr">
        <is>
          <t>Kapıdan girip girişi ve koridoru tek karede çek. Tüm ışıklar açık olsun.</t>
        </is>
      </c>
      <c r="F229" s="5" t="inlineStr">
        <is>
          <t>Kapı ve şifreli kilit çalışıyor
Süpürgelik ve duvar dipleri tozsuz
Aplikler yanıyor
Zeminde leke, saç, kum yok</t>
        </is>
      </c>
      <c r="G229" s="5" t="inlineStr">
        <is>
          <t>Evet</t>
        </is>
      </c>
      <c r="H229" s="5" t="inlineStr">
        <is>
          <t>Evet</t>
        </is>
      </c>
      <c r="I229" s="5" t="inlineStr">
        <is>
          <t>Hayır</t>
        </is>
      </c>
      <c r="K229" s="5" t="n">
        <v>1</v>
      </c>
      <c r="L229" s="5" t="inlineStr">
        <is>
          <t>Zeminde görünür kir, saç, çöp var mı? Yanmayan lamba var mı? Konaklama kontrolündeysen misafir eşyalarını değerlendirme.</t>
        </is>
      </c>
    </row>
    <row r="230">
      <c r="A230" s="5" t="inlineStr">
        <is>
          <t>TNY</t>
        </is>
      </c>
      <c r="B230" s="5" t="n">
        <v>2</v>
      </c>
      <c r="C230" s="5" t="inlineStr">
        <is>
          <t>Banyo</t>
        </is>
      </c>
      <c r="D230" s="5" t="inlineStr">
        <is>
          <t>Lavabo ve ayna</t>
        </is>
      </c>
      <c r="E230" s="5" t="inlineStr">
        <is>
          <t>Lavabo, batarya, ayna ve havlu rafı aynı karede olacak şekilde çek.</t>
        </is>
      </c>
      <c r="F230" s="5" t="inlineStr">
        <is>
          <t>Lavabo içi ve gider temiz
Batarya parlak, su lekesi yok
Sıvı sabun dolu
Ayna lekesiz
Havlular katlı ve tam</t>
        </is>
      </c>
      <c r="G230" s="5" t="inlineStr">
        <is>
          <t>Evet</t>
        </is>
      </c>
      <c r="H230" s="5" t="inlineStr">
        <is>
          <t>Evet</t>
        </is>
      </c>
      <c r="I230" s="5" t="inlineStr">
        <is>
          <t>Hayır</t>
        </is>
      </c>
      <c r="K230" s="5" t="n">
        <v>1</v>
      </c>
      <c r="L230" s="5" t="inlineStr">
        <is>
          <t>Lavaboda kıl, sabun kalıntısı, su lekesi var mı? Aynada leke var mı? Havlular düzgün katlı mı? Konaklama kontrolündeysen misafir eşyalarını değerlendirme.</t>
        </is>
      </c>
    </row>
    <row r="231">
      <c r="A231" s="5" t="inlineStr">
        <is>
          <t>TNY</t>
        </is>
      </c>
      <c r="B231" s="5" t="n">
        <v>3</v>
      </c>
      <c r="C231" s="5" t="inlineStr">
        <is>
          <t>Banyo</t>
        </is>
      </c>
      <c r="D231" s="5" t="inlineStr">
        <is>
          <t>WC</t>
        </is>
      </c>
      <c r="E231" s="5" t="inlineStr">
        <is>
          <t>Klozet kapağı açık, tuvalet kağıdı ve yedek rulo görünecek şekilde çek.</t>
        </is>
      </c>
      <c r="F231" s="5" t="inlineStr">
        <is>
          <t>Klozet içi, kapak altı ve dış yüzey temiz
WC fırçası temiz
Tuvalet kağıdı takılı + yedek rulo
Çöp kovası boş, poşet yeni</t>
        </is>
      </c>
      <c r="G231" s="5" t="inlineStr">
        <is>
          <t>Evet</t>
        </is>
      </c>
      <c r="H231" s="5" t="inlineStr">
        <is>
          <t>Evet</t>
        </is>
      </c>
      <c r="I231" s="5" t="inlineStr">
        <is>
          <t>Hayır</t>
        </is>
      </c>
      <c r="K231" s="5" t="n">
        <v>1</v>
      </c>
      <c r="L231" s="5" t="inlineStr">
        <is>
          <t>Klozet içinde veya kapakta leke/kir var mı? Tuvalet kağıdı ve yedek rulo var mı? Çöp kovası boş mu?</t>
        </is>
      </c>
    </row>
    <row r="232">
      <c r="A232" s="5" t="inlineStr">
        <is>
          <t>TNY</t>
        </is>
      </c>
      <c r="B232" s="5" t="n">
        <v>4</v>
      </c>
      <c r="C232" s="5" t="inlineStr">
        <is>
          <t>Banyo</t>
        </is>
      </c>
      <c r="D232" s="5" t="inlineStr">
        <is>
          <t>Duş</t>
        </is>
      </c>
      <c r="E232" s="5" t="inlineStr">
        <is>
          <t>Duş camını ışığa karşı çek (kireç böyle görünür); dispenserler ve gider görünsün.</t>
        </is>
      </c>
      <c r="F232" s="5" t="inlineStr">
        <is>
          <t>Camda kireç ve su lekesi yok
Duş seti askıda
Şampuan/duş jeli dolu
Giderde saç yok</t>
        </is>
      </c>
      <c r="G232" s="5" t="inlineStr">
        <is>
          <t>Evet</t>
        </is>
      </c>
      <c r="H232" s="5" t="inlineStr">
        <is>
          <t>Evet</t>
        </is>
      </c>
      <c r="I232" s="5" t="inlineStr">
        <is>
          <t>Hayır</t>
        </is>
      </c>
      <c r="K232" s="5" t="n">
        <v>1</v>
      </c>
      <c r="L232" s="5" t="inlineStr">
        <is>
          <t>Duş camında kireç/su lekesi, giderde saç, zeminde kir var mı? Konaklama kontrolündeysen misafir eşyalarını değerlendirme.</t>
        </is>
      </c>
    </row>
    <row r="233">
      <c r="A233" s="5" t="inlineStr">
        <is>
          <t>TNY</t>
        </is>
      </c>
      <c r="B233" s="5" t="n">
        <v>5</v>
      </c>
      <c r="C233" s="5" t="inlineStr">
        <is>
          <t>Oda</t>
        </is>
      </c>
      <c r="D233" s="5" t="inlineStr">
        <is>
          <t>Gardırop</t>
        </is>
      </c>
      <c r="E233" s="5" t="inlineStr">
        <is>
          <t>Kapakları aç, askıları ve rafları tek karede çek. İçerisi karanlıksa feneri aç.</t>
        </is>
      </c>
      <c r="F233" s="5" t="inlineStr">
        <is>
          <t>Askılar tam
Yedek battaniye/yastık katlı
Unutulmuş eşya yok</t>
        </is>
      </c>
      <c r="G233" s="5" t="inlineStr">
        <is>
          <t>Evet</t>
        </is>
      </c>
      <c r="H233" s="5" t="inlineStr">
        <is>
          <t>Hayır</t>
        </is>
      </c>
      <c r="I233" s="5" t="inlineStr">
        <is>
          <t>Evet</t>
        </is>
      </c>
      <c r="K233" s="5" t="n">
        <v>1</v>
      </c>
      <c r="L233" s="5" t="inlineStr">
        <is>
          <t>Gardıropta unutulmuş eşya, çöp var mı? Askılar düzenli mi?</t>
        </is>
      </c>
    </row>
    <row r="234">
      <c r="A234" s="5" t="inlineStr">
        <is>
          <t>TNY</t>
        </is>
      </c>
      <c r="B234" s="5" t="n">
        <v>6</v>
      </c>
      <c r="C234" s="5" t="inlineStr">
        <is>
          <t>Mutfak</t>
        </is>
      </c>
      <c r="D234" s="5" t="inlineStr">
        <is>
          <t>Mutfak tezgahı</t>
        </is>
      </c>
      <c r="E234" s="5" t="inlineStr">
        <is>
          <t>Tezgahın karşısından ocak, evye, kettle ve bulaşıklık tek karede olacak şekilde çek.</t>
        </is>
      </c>
      <c r="F234" s="5" t="inlineStr">
        <is>
          <t>Evye ve batarya temiz
Sünger ve fırça temiz
Bulaşıklık boş ve kuru
Kettle boş, kablosu toplanmış
Tuz-biber-yağ dolu
Çöp kovası boş</t>
        </is>
      </c>
      <c r="G234" s="5" t="inlineStr">
        <is>
          <t>Evet</t>
        </is>
      </c>
      <c r="H234" s="5" t="inlineStr">
        <is>
          <t>Evet</t>
        </is>
      </c>
      <c r="I234" s="5" t="inlineStr">
        <is>
          <t>Hayır</t>
        </is>
      </c>
      <c r="K234" s="5" t="n">
        <v>1</v>
      </c>
      <c r="L234" s="5" t="inlineStr">
        <is>
          <t>Tezgahta, ocakta, evyede kir, yağ, kırıntı veya bulaşık var mı? Çöp dolu mu? Konaklama kontrolündeysen misafir eşyalarını değerlendirme.</t>
        </is>
      </c>
    </row>
    <row r="235">
      <c r="A235" s="5" t="inlineStr">
        <is>
          <t>TNY</t>
        </is>
      </c>
      <c r="B235" s="5" t="n">
        <v>7</v>
      </c>
      <c r="C235" s="5" t="inlineStr">
        <is>
          <t>Mutfak</t>
        </is>
      </c>
      <c r="D235" s="5" t="inlineStr">
        <is>
          <t>Çekmeceler</t>
        </is>
      </c>
      <c r="E235" s="5" t="inlineStr">
        <is>
          <t>Çekmeceleri sırayla aç, feneri aç ve her birini tam üstten çek.</t>
        </is>
      </c>
      <c r="F235" s="5" t="inlineStr">
        <is>
          <t>Çatal, kaşık, bıçak tam
Servis gereçleri yerinde
Çekmece içleri kırıntısız</t>
        </is>
      </c>
      <c r="G235" s="5" t="inlineStr">
        <is>
          <t>Evet</t>
        </is>
      </c>
      <c r="H235" s="5" t="inlineStr">
        <is>
          <t>Hayır</t>
        </is>
      </c>
      <c r="I235" s="5" t="inlineStr">
        <is>
          <t>Evet</t>
        </is>
      </c>
      <c r="K235" s="5" t="n">
        <v>2</v>
      </c>
      <c r="L235" s="5" t="inlineStr">
        <is>
          <t>Çekmece içinde kırıntı, kir, yerinden oynamış eşya var mı?</t>
        </is>
      </c>
    </row>
    <row r="236">
      <c r="A236" s="5" t="inlineStr">
        <is>
          <t>TNY</t>
        </is>
      </c>
      <c r="B236" s="5" t="n">
        <v>8</v>
      </c>
      <c r="C236" s="5" t="inlineStr">
        <is>
          <t>Mutfak</t>
        </is>
      </c>
      <c r="D236" s="5" t="inlineStr">
        <is>
          <t>Dolaplar: tabak, bardak, tencere</t>
        </is>
      </c>
      <c r="E236" s="5" t="inlineStr">
        <is>
          <t>Üst ve alt dolapların kapaklarını aç, feneri aç; tabak, bardak ve tencereler görünsün.</t>
        </is>
      </c>
      <c r="F236" s="5" t="inlineStr">
        <is>
          <t>Tabak, kase, bardak, kupa sayısı tam
Bardaklarda su lekesi, kupalarda çay/kahve izi yok
Tencere ve tavalar temiz, kapaklı
Evye altında sızıntı yok</t>
        </is>
      </c>
      <c r="G236" s="5" t="inlineStr">
        <is>
          <t>Evet</t>
        </is>
      </c>
      <c r="H236" s="5" t="inlineStr">
        <is>
          <t>Hayır</t>
        </is>
      </c>
      <c r="I236" s="5" t="inlineStr">
        <is>
          <t>Evet</t>
        </is>
      </c>
      <c r="K236" s="5" t="n">
        <v>2</v>
      </c>
      <c r="L236" s="5" t="inlineStr">
        <is>
          <t>Bardaklarda leke, tabaklarda iz/çatlak, tencerelerde yemek kalıntısı var mı?</t>
        </is>
      </c>
    </row>
    <row r="237">
      <c r="A237" s="5" t="inlineStr">
        <is>
          <t>TNY</t>
        </is>
      </c>
      <c r="B237" s="5" t="n">
        <v>9</v>
      </c>
      <c r="C237" s="5" t="inlineStr">
        <is>
          <t>Mutfak</t>
        </is>
      </c>
      <c r="D237" s="5" t="inlineStr">
        <is>
          <t>Buzdolabı</t>
        </is>
      </c>
      <c r="E237" s="5" t="inlineStr">
        <is>
          <t>Kapağı tamamen aç; içi ve kapak rafları görünsün.</t>
        </is>
      </c>
      <c r="F237" s="5" t="inlineStr">
        <is>
          <t>Raflar temiz
Unutulmuş yiyecek yok
Koku ve buzlanma yok</t>
        </is>
      </c>
      <c r="G237" s="5" t="inlineStr">
        <is>
          <t>Evet</t>
        </is>
      </c>
      <c r="H237" s="5" t="inlineStr">
        <is>
          <t>Hayır</t>
        </is>
      </c>
      <c r="I237" s="5" t="inlineStr">
        <is>
          <t>Hayır</t>
        </is>
      </c>
      <c r="K237" s="5" t="n">
        <v>1</v>
      </c>
      <c r="L237" s="5" t="inlineStr">
        <is>
          <t>Buzdolabında yiyecek kalıntısı, leke, buzlanma var mı?</t>
        </is>
      </c>
    </row>
    <row r="238">
      <c r="A238" s="5" t="inlineStr">
        <is>
          <t>TNY</t>
        </is>
      </c>
      <c r="B238" s="5" t="n">
        <v>10</v>
      </c>
      <c r="C238" s="5" t="inlineStr">
        <is>
          <t>Oda</t>
        </is>
      </c>
      <c r="D238" s="5" t="inlineStr">
        <is>
          <t>TV ve ünite</t>
        </is>
      </c>
      <c r="E238" s="5" t="inlineStr">
        <is>
          <t>TV ve ünite raflarını önden çek.</t>
        </is>
      </c>
      <c r="F238" s="5" t="inlineStr">
        <is>
          <t>TV ekranı tozsuz
Ünite rafları tozsuz
Kumandalar yerinde</t>
        </is>
      </c>
      <c r="G238" s="5" t="inlineStr">
        <is>
          <t>Evet</t>
        </is>
      </c>
      <c r="H238" s="5" t="inlineStr">
        <is>
          <t>Evet</t>
        </is>
      </c>
      <c r="I238" s="5" t="inlineStr">
        <is>
          <t>Hayır</t>
        </is>
      </c>
      <c r="K238" s="5" t="n">
        <v>1</v>
      </c>
      <c r="L238" s="5" t="inlineStr">
        <is>
          <t>TV ve raflarda toz, leke var mı? Konaklama kontrolündeysen misafir eşyalarını değerlendirme.</t>
        </is>
      </c>
    </row>
    <row r="239">
      <c r="A239" s="5" t="inlineStr">
        <is>
          <t>TNY</t>
        </is>
      </c>
      <c r="B239" s="5" t="n">
        <v>11</v>
      </c>
      <c r="C239" s="5" t="inlineStr">
        <is>
          <t>Oda</t>
        </is>
      </c>
      <c r="D239" s="5" t="inlineStr">
        <is>
          <t>Oturma alanı ve masa</t>
        </is>
      </c>
      <c r="E239" s="5" t="inlineStr">
        <is>
          <t>Pencereye doğru geniş açıyla çek; masa, koltuklar ve kanepe görünsün.</t>
        </is>
      </c>
      <c r="F239" s="5" t="inlineStr">
        <is>
          <t>Perde ve tül düzgün
Masa temiz
Koltuk/kanepe temiz, minderler düzgün</t>
        </is>
      </c>
      <c r="G239" s="5" t="inlineStr">
        <is>
          <t>Evet</t>
        </is>
      </c>
      <c r="H239" s="5" t="inlineStr">
        <is>
          <t>Evet</t>
        </is>
      </c>
      <c r="I239" s="5" t="inlineStr">
        <is>
          <t>Hayır</t>
        </is>
      </c>
      <c r="K239" s="5" t="n">
        <v>1</v>
      </c>
      <c r="L239" s="5" t="inlineStr">
        <is>
          <t>Masada, koltuklarda kir, leke, unutulmuş eşya var mı? Konaklama kontrolündeysen misafir eşyalarını değerlendirme.</t>
        </is>
      </c>
    </row>
    <row r="240">
      <c r="A240" s="5" t="inlineStr">
        <is>
          <t>TNY</t>
        </is>
      </c>
      <c r="B240" s="5" t="n">
        <v>12</v>
      </c>
      <c r="C240" s="5" t="inlineStr">
        <is>
          <t>Oda</t>
        </is>
      </c>
      <c r="D240" s="5" t="inlineStr">
        <is>
          <t>Yatak ve komodinler</t>
        </is>
      </c>
      <c r="E240" s="5" t="inlineStr">
        <is>
          <t>Yatağı ayak ucundan tamamı görünecek şekilde çek; ikinci karede yatak altını ve komodinleri çek.</t>
        </is>
      </c>
      <c r="F240" s="5" t="inlineStr">
        <is>
          <t>Çarşaf dört köşeden gergin
Yastıklar tam, kılıflar lekesiz
Yatak altında eşya/toz yok
Komodinler boş ve tozsuz</t>
        </is>
      </c>
      <c r="G240" s="5" t="inlineStr">
        <is>
          <t>Evet</t>
        </is>
      </c>
      <c r="H240" s="5" t="inlineStr">
        <is>
          <t>Evet</t>
        </is>
      </c>
      <c r="I240" s="5" t="inlineStr">
        <is>
          <t>Hayır</t>
        </is>
      </c>
      <c r="K240" s="5" t="n">
        <v>2</v>
      </c>
      <c r="L240" s="5" t="inlineStr">
        <is>
          <t>Çarşafta kırışık, leke, saç var mı? Yastıklar düzgün mü? Yatak altında eşya/toz var mı? Konaklama kontrolündeysen misafir eşyalarını değerlendirme.</t>
        </is>
      </c>
    </row>
    <row r="241">
      <c r="A241" s="5" t="inlineStr">
        <is>
          <t>TNY</t>
        </is>
      </c>
      <c r="B241" s="5" t="n">
        <v>13</v>
      </c>
      <c r="C241" s="5" t="inlineStr">
        <is>
          <t>Dış alan</t>
        </is>
      </c>
      <c r="D241" s="5" t="inlineStr">
        <is>
          <t>Balkon</t>
        </is>
      </c>
      <c r="E241" s="5" t="inlineStr">
        <is>
          <t>Balkon kapısından balkonun tamamını çek.</t>
        </is>
      </c>
      <c r="F241" s="5" t="inlineStr">
        <is>
          <t>Zemin süpürülmüş
Masa ve sandalyeler temiz
Kül tablası boş</t>
        </is>
      </c>
      <c r="G241" s="5" t="inlineStr">
        <is>
          <t>Evet</t>
        </is>
      </c>
      <c r="H241" s="5" t="inlineStr">
        <is>
          <t>Evet</t>
        </is>
      </c>
      <c r="I241" s="5" t="inlineStr">
        <is>
          <t>Hayır</t>
        </is>
      </c>
      <c r="K241" s="5" t="n">
        <v>1</v>
      </c>
      <c r="L241" s="5" t="inlineStr">
        <is>
          <t>Balkonda çöp, izmarit, kir var mı? Konaklama kontrolündeysen misafir eşyalarını değerlendirme.</t>
        </is>
      </c>
    </row>
    <row r="242">
      <c r="A242" s="5" t="inlineStr">
        <is>
          <t>TNY</t>
        </is>
      </c>
      <c r="B242" s="5" t="n">
        <v>14</v>
      </c>
      <c r="C242" s="5" t="inlineStr">
        <is>
          <t>Dış alan</t>
        </is>
      </c>
      <c r="D242" s="5" t="inlineStr">
        <is>
          <t>Teras</t>
        </is>
      </c>
      <c r="E242" s="5" t="inlineStr">
        <is>
          <t>Terasın tamamını geniş açıyla çek.</t>
        </is>
      </c>
      <c r="F242" s="5" t="inlineStr">
        <is>
          <t>Zemin süpürülmüş
Oturma grubu temiz
Çöp yok</t>
        </is>
      </c>
      <c r="G242" s="5" t="inlineStr">
        <is>
          <t>Evet</t>
        </is>
      </c>
      <c r="H242" s="5" t="inlineStr">
        <is>
          <t>Evet</t>
        </is>
      </c>
      <c r="I242" s="5" t="inlineStr">
        <is>
          <t>Hayır</t>
        </is>
      </c>
      <c r="K242" s="5" t="n">
        <v>1</v>
      </c>
      <c r="L242" s="5" t="inlineStr">
        <is>
          <t>Terasta çöp, yaprak, kir var mı? Konaklama kontrolündeysen misafir eşyalarını değerlendirme.</t>
        </is>
      </c>
    </row>
    <row r="243">
      <c r="A243" s="5" t="inlineStr">
        <is>
          <t>TNY</t>
        </is>
      </c>
      <c r="B243" s="5" t="n">
        <v>15</v>
      </c>
      <c r="C243" s="5" t="inlineStr">
        <is>
          <t>Dış alan</t>
        </is>
      </c>
      <c r="D243" s="5" t="inlineStr">
        <is>
          <t>Barbekü</t>
        </is>
      </c>
      <c r="E243" s="5" t="inlineStr">
        <is>
          <t>Barbeküyü kapağı açık çek.</t>
        </is>
      </c>
      <c r="F243" s="5" t="inlineStr">
        <is>
          <t>Izgara temiz
Kül boşaltılmış</t>
        </is>
      </c>
      <c r="G243" s="5" t="inlineStr">
        <is>
          <t>Evet</t>
        </is>
      </c>
      <c r="H243" s="5" t="inlineStr">
        <is>
          <t>Hayır</t>
        </is>
      </c>
      <c r="I243" s="5" t="inlineStr">
        <is>
          <t>Hayır</t>
        </is>
      </c>
      <c r="K243" s="5" t="n">
        <v>1</v>
      </c>
      <c r="L243" s="5" t="inlineStr">
        <is>
          <t>Izgarada yağ/yemek kalıntısı veya kül var mı?</t>
        </is>
      </c>
    </row>
    <row r="244">
      <c r="A244" s="5" t="inlineStr">
        <is>
          <t>TNY</t>
        </is>
      </c>
      <c r="B244" s="5" t="n">
        <v>16</v>
      </c>
      <c r="C244" s="5" t="inlineStr">
        <is>
          <t>Dış alan</t>
        </is>
      </c>
      <c r="D244" s="5" t="inlineStr">
        <is>
          <t>Bahçe</t>
        </is>
      </c>
      <c r="E244" s="5" t="inlineStr">
        <is>
          <t>Bahçeyi kapıdan geniş açıyla çek.</t>
        </is>
      </c>
      <c r="F244" s="5" t="inlineStr">
        <is>
          <t>Çöp yok
Bahçe mobilyaları düzenli</t>
        </is>
      </c>
      <c r="G244" s="5" t="inlineStr">
        <is>
          <t>Evet</t>
        </is>
      </c>
      <c r="H244" s="5" t="inlineStr">
        <is>
          <t>Hayır</t>
        </is>
      </c>
      <c r="I244" s="5" t="inlineStr">
        <is>
          <t>Hayır</t>
        </is>
      </c>
      <c r="K244" s="5" t="n">
        <v>1</v>
      </c>
      <c r="L244" s="5" t="inlineStr">
        <is>
          <t>Bahçede çöp var mı, mobilyalar dağınık mı?</t>
        </is>
      </c>
    </row>
    <row r="245">
      <c r="A245" s="5" t="inlineStr">
        <is>
          <t>TNY</t>
        </is>
      </c>
      <c r="B245" s="5" t="n">
        <v>17</v>
      </c>
      <c r="C245" s="5" t="inlineStr">
        <is>
          <t>Oda</t>
        </is>
      </c>
      <c r="D245" s="5" t="inlineStr">
        <is>
          <t>Genel oda</t>
        </is>
      </c>
      <c r="E245" s="5" t="inlineStr">
        <is>
          <t>Kapı tarafından tüm odayı tek geniş karede çek. Tüm ışıklar açık.</t>
        </is>
      </c>
      <c r="F245" s="5" t="inlineStr">
        <is>
          <t>Klima çalışıyor
Çöp kovaları boş
Zemin temiz
Duvarda iz yok
Tüm aydınlatma yanıyor</t>
        </is>
      </c>
      <c r="G245" s="5" t="inlineStr">
        <is>
          <t>Evet</t>
        </is>
      </c>
      <c r="H245" s="5" t="inlineStr">
        <is>
          <t>Evet</t>
        </is>
      </c>
      <c r="I245" s="5" t="inlineStr">
        <is>
          <t>Hayır</t>
        </is>
      </c>
      <c r="K245" s="5" t="n">
        <v>1</v>
      </c>
      <c r="L245" s="5" t="inlineStr">
        <is>
          <t>Zeminde kir, çöp; yanmayan lamba; dağınıklık var mı? Konaklama kontrolündeysen misafir eşyalarını değerlendirme.</t>
        </is>
      </c>
    </row>
  </sheetData>
  <dataValidations count="2">
    <dataValidation sqref="C2:C400" showDropDown="0" showInputMessage="0" showErrorMessage="0" allowBlank="1" type="list">
      <formula1>"Giriş,Banyo,Mutfak,Oda,Balkon/Teras"</formula1>
    </dataValidation>
    <dataValidation sqref="G2:J400" showDropDown="0" showInputMessage="0" showErrorMessage="0" allowBlank="1" type="list">
      <formula1>"Evet,Hayır"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'Oda Tipleri'!$A$2:$A$40</xm:f>
          </x14:formula1>
          <xm:sqref>A2:A400</xm:sqref>
        </x14:dataValidation>
      </x14:dataValidations>
    </ext>
  </extLst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2"/>
    <col width="34" customWidth="1" min="3" max="3"/>
    <col width="16" customWidth="1" min="4" max="4"/>
    <col width="30" customWidth="1" min="5" max="5"/>
    <col width="40" customWidth="1" min="6" max="6"/>
    <col width="11" customWidth="1" min="7" max="7"/>
    <col width="26" customWidth="1" min="8" max="8"/>
    <col width="34" customWidth="1" min="9" max="9"/>
  </cols>
  <sheetData>
    <row r="1" ht="30" customHeight="1">
      <c r="A1" s="4" t="inlineStr">
        <is>
          <t>Tesis</t>
        </is>
      </c>
      <c r="B1" s="4" t="inlineStr">
        <is>
          <t>Kalem Kodu</t>
        </is>
      </c>
      <c r="C1" s="4" t="inlineStr">
        <is>
          <t>Kalem Adı</t>
        </is>
      </c>
      <c r="D1" s="4" t="inlineStr">
        <is>
          <t>Tür</t>
        </is>
      </c>
      <c r="E1" s="4" t="inlineStr">
        <is>
          <t>Tarif (ayırt edici)</t>
        </is>
      </c>
      <c r="F1" s="4" t="inlineStr">
        <is>
          <t>Foto Dosyası</t>
        </is>
      </c>
      <c r="G1" s="4" t="inlineStr">
        <is>
          <t>Foto Durumu</t>
        </is>
      </c>
      <c r="H1" s="4" t="inlineStr">
        <is>
          <t>Kaynak</t>
        </is>
      </c>
      <c r="I1" s="4" t="inlineStr">
        <is>
          <t>Not</t>
        </is>
      </c>
    </row>
    <row r="2">
      <c r="A2" s="5" t="inlineStr">
        <is>
          <t>Tare Houses Hotel</t>
        </is>
      </c>
      <c r="B2" s="5" t="inlineStr">
        <is>
          <t>wardrobe_box</t>
        </is>
      </c>
      <c r="C2" s="5" t="inlineStr">
        <is>
          <t>Alt kutu (içeriği doğrulanacak)</t>
        </is>
      </c>
      <c r="D2" s="5" t="inlineStr">
        <is>
          <t>Demirbaş</t>
        </is>
      </c>
      <c r="E2" s="5" t="n"/>
      <c r="F2" s="7" t="n"/>
      <c r="G2" s="5" t="inlineStr">
        <is>
          <t>Çekilecek</t>
        </is>
      </c>
      <c r="H2" s="5" t="inlineStr">
        <is>
          <t>Video 18.10.2026</t>
        </is>
      </c>
      <c r="I2" s="5" t="n"/>
    </row>
    <row r="3" ht="39.6" customHeight="1">
      <c r="A3" s="5" t="inlineStr">
        <is>
          <t>Tare Houses Hotel</t>
        </is>
      </c>
      <c r="B3" s="5" t="inlineStr">
        <is>
          <t>cooktop</t>
        </is>
      </c>
      <c r="C3" s="5" t="inlineStr">
        <is>
          <t>Ankastre 2 gözlü cam seramik ocak, Beko</t>
        </is>
      </c>
      <c r="D3" s="5" t="inlineStr">
        <is>
          <t>Demirbaş</t>
        </is>
      </c>
      <c r="E3" s="5" t="n"/>
      <c r="F3" s="5" t="inlineStr">
        <is>
          <t>item_photos/tare_houses/cooktop.jpg</t>
        </is>
      </c>
      <c r="G3" s="5" t="inlineStr">
        <is>
          <t>Var</t>
        </is>
      </c>
      <c r="H3" s="5" t="inlineStr">
        <is>
          <t>Drive foto 1J3XfhmuP6MEYpl_lG2kgdsk2Z8Rsfo7u</t>
        </is>
      </c>
      <c r="I3" s="5" t="n"/>
    </row>
    <row r="4" ht="39.6" customHeight="1">
      <c r="A4" s="5" t="inlineStr">
        <is>
          <t>Tare Houses Hotel</t>
        </is>
      </c>
      <c r="B4" s="5" t="inlineStr">
        <is>
          <t>wc</t>
        </is>
      </c>
      <c r="C4" s="5" t="inlineStr">
        <is>
          <t>Asma klozet, bej/kum mat renk</t>
        </is>
      </c>
      <c r="D4" s="5" t="inlineStr">
        <is>
          <t>Demirbaş</t>
        </is>
      </c>
      <c r="E4" s="5" t="n"/>
      <c r="F4" s="5" t="inlineStr">
        <is>
          <t>item_photos/tare_houses/wc.jpg</t>
        </is>
      </c>
      <c r="G4" s="5" t="inlineStr">
        <is>
          <t>Var</t>
        </is>
      </c>
      <c r="H4" s="5" t="inlineStr">
        <is>
          <t>Drive foto 176Aiy4gXnqdkXqLiFXPG1py-NxVLLYce</t>
        </is>
      </c>
      <c r="I4" s="5" t="n"/>
    </row>
    <row r="5">
      <c r="A5" s="5" t="inlineStr">
        <is>
          <t>Tare Houses Hotel</t>
        </is>
      </c>
      <c r="B5" s="5" t="inlineStr">
        <is>
          <t>hanging_bin</t>
        </is>
      </c>
      <c r="C5" s="5" t="inlineStr">
        <is>
          <t>Asma çöp kovası</t>
        </is>
      </c>
      <c r="D5" s="5" t="inlineStr">
        <is>
          <t>Demirbaş</t>
        </is>
      </c>
      <c r="E5" s="5" t="n"/>
      <c r="F5" s="5" t="inlineStr">
        <is>
          <t>item_photos/tare_houses/hanging_bin.jpg</t>
        </is>
      </c>
      <c r="G5" s="5" t="inlineStr">
        <is>
          <t>Var</t>
        </is>
      </c>
      <c r="H5" s="5" t="inlineStr">
        <is>
          <t>Video 18.10.2026</t>
        </is>
      </c>
      <c r="I5" s="5" t="n"/>
    </row>
    <row r="6">
      <c r="A6" s="5" t="inlineStr">
        <is>
          <t>Tare Houses Hotel</t>
        </is>
      </c>
      <c r="B6" s="5" t="inlineStr">
        <is>
          <t>bath_towel</t>
        </is>
      </c>
      <c r="C6" s="5" t="inlineStr">
        <is>
          <t>Banyo havlusu</t>
        </is>
      </c>
      <c r="D6" s="5" t="inlineStr">
        <is>
          <t>Demirbaş</t>
        </is>
      </c>
      <c r="E6" s="5" t="n"/>
      <c r="F6" s="7" t="n"/>
      <c r="G6" s="5" t="inlineStr">
        <is>
          <t>Çekilecek</t>
        </is>
      </c>
      <c r="H6" s="5" t="inlineStr">
        <is>
          <t>Video 18.10.2026</t>
        </is>
      </c>
      <c r="I6" s="5" t="n"/>
    </row>
    <row r="7">
      <c r="A7" s="5" t="inlineStr">
        <is>
          <t>Tare Houses Hotel</t>
        </is>
      </c>
      <c r="B7" s="5" t="inlineStr">
        <is>
          <t>bath_bin</t>
        </is>
      </c>
      <c r="C7" s="5" t="inlineStr">
        <is>
          <t>Banyo çöp kovası</t>
        </is>
      </c>
      <c r="D7" s="5" t="inlineStr">
        <is>
          <t>Demirbaş</t>
        </is>
      </c>
      <c r="E7" s="5" t="n"/>
      <c r="F7" s="5" t="inlineStr">
        <is>
          <t>item_photos/tare_houses/pedal_bin.jpg</t>
        </is>
      </c>
      <c r="G7" s="5" t="inlineStr">
        <is>
          <t>Var</t>
        </is>
      </c>
      <c r="H7" s="5" t="inlineStr">
        <is>
          <t>Video 18.10.2026</t>
        </is>
      </c>
      <c r="I7" s="5" t="n"/>
    </row>
    <row r="8" ht="39.6" customHeight="1">
      <c r="A8" s="5" t="inlineStr">
        <is>
          <t>Tare Houses Hotel</t>
        </is>
      </c>
      <c r="B8" s="5" t="inlineStr">
        <is>
          <t>bedside_wall_lamp</t>
        </is>
      </c>
      <c r="C8" s="5" t="inlineStr">
        <is>
          <t>Başucu apliği, dikey oval opal</t>
        </is>
      </c>
      <c r="D8" s="5" t="inlineStr">
        <is>
          <t>Demirbaş</t>
        </is>
      </c>
      <c r="E8" s="5" t="n"/>
      <c r="F8" s="5" t="inlineStr">
        <is>
          <t>item_photos/tare_houses/bedside_wall_lamp.jpg</t>
        </is>
      </c>
      <c r="G8" s="5" t="inlineStr">
        <is>
          <t>Var</t>
        </is>
      </c>
      <c r="H8" s="5" t="inlineStr">
        <is>
          <t>Drive foto 1qqZMbxPxzAY3tiWlJeU5zXJ4FJyKCBzS</t>
        </is>
      </c>
      <c r="I8" s="5" t="n"/>
    </row>
    <row r="9" ht="39.6" customHeight="1">
      <c r="A9" s="5" t="inlineStr">
        <is>
          <t>Tare Houses Hotel</t>
        </is>
      </c>
      <c r="B9" s="5" t="inlineStr">
        <is>
          <t>range_hood</t>
        </is>
      </c>
      <c r="C9" s="5" t="inlineStr">
        <is>
          <t>Davlumbaz/aspiratör (üst dolap altında)</t>
        </is>
      </c>
      <c r="D9" s="5" t="inlineStr">
        <is>
          <t>Demirbaş</t>
        </is>
      </c>
      <c r="E9" s="5" t="n"/>
      <c r="F9" s="7" t="n"/>
      <c r="G9" s="5" t="inlineStr">
        <is>
          <t>Çekilecek</t>
        </is>
      </c>
      <c r="H9" s="5" t="inlineStr">
        <is>
          <t>Drive foto 1FFkoBOtD_TWAwlnOYQPDiPXqnAMV2lbR</t>
        </is>
      </c>
      <c r="I9" s="5" t="n"/>
    </row>
    <row r="10" ht="39.6" customHeight="1">
      <c r="A10" s="5" t="inlineStr">
        <is>
          <t>Tare Houses Hotel</t>
        </is>
      </c>
      <c r="B10" s="5" t="inlineStr">
        <is>
          <t>decor_branches</t>
        </is>
      </c>
      <c r="C10" s="5" t="inlineStr">
        <is>
          <t>Dekoratif kuru dal, cam vazoda</t>
        </is>
      </c>
      <c r="D10" s="5" t="inlineStr">
        <is>
          <t>Demirbaş</t>
        </is>
      </c>
      <c r="E10" s="5" t="n"/>
      <c r="F10" s="5" t="inlineStr">
        <is>
          <t>item_photos/tare_houses/decor_branches.jpg</t>
        </is>
      </c>
      <c r="G10" s="5" t="inlineStr">
        <is>
          <t>Var</t>
        </is>
      </c>
      <c r="H10" s="5" t="inlineStr">
        <is>
          <t>Drive foto 17q0mqTudODHZ96MU-QhDuBn5dZGJSr3p</t>
        </is>
      </c>
      <c r="I10" s="5" t="n"/>
    </row>
    <row r="11" ht="39.6" customHeight="1">
      <c r="A11" s="5" t="inlineStr">
        <is>
          <t>Tare Houses Hotel</t>
        </is>
      </c>
      <c r="B11" s="5" t="inlineStr">
        <is>
          <t>smoke_detector</t>
        </is>
      </c>
      <c r="C11" s="5" t="inlineStr">
        <is>
          <t>Duman dedektörü (tavan)</t>
        </is>
      </c>
      <c r="D11" s="5" t="inlineStr">
        <is>
          <t>Demirbaş</t>
        </is>
      </c>
      <c r="E11" s="5" t="n"/>
      <c r="F11" s="7" t="n"/>
      <c r="G11" s="5" t="inlineStr">
        <is>
          <t>Çekilecek</t>
        </is>
      </c>
      <c r="H11" s="5" t="inlineStr">
        <is>
          <t>Drive foto 1FFkoBOtD_TWAwlnOYQPDiPXqnAMV2lbR</t>
        </is>
      </c>
      <c r="I11" s="5" t="n"/>
    </row>
    <row r="12" ht="26.4" customHeight="1">
      <c r="A12" s="5" t="inlineStr">
        <is>
          <t>Tare Houses Hotel</t>
        </is>
      </c>
      <c r="B12" s="5" t="inlineStr">
        <is>
          <t>dispenser</t>
        </is>
      </c>
      <c r="C12" s="5" t="inlineStr">
        <is>
          <t>Duvar dispenseri (şampuan, saç kremi, duş jeli)</t>
        </is>
      </c>
      <c r="D12" s="5" t="inlineStr">
        <is>
          <t>Demirbaş</t>
        </is>
      </c>
      <c r="E12" s="5" t="n"/>
      <c r="F12" s="5" t="inlineStr">
        <is>
          <t>item_photos/tare_houses/shower_dispenser.jpg</t>
        </is>
      </c>
      <c r="G12" s="5" t="inlineStr">
        <is>
          <t>Var</t>
        </is>
      </c>
      <c r="H12" s="5" t="inlineStr">
        <is>
          <t>Video 18.10.2026</t>
        </is>
      </c>
      <c r="I12" s="5" t="n"/>
    </row>
    <row r="13">
      <c r="A13" s="5" t="inlineStr">
        <is>
          <t>Tare Houses Hotel</t>
        </is>
      </c>
      <c r="B13" s="5" t="inlineStr">
        <is>
          <t>shower_basket</t>
        </is>
      </c>
      <c r="C13" s="5" t="inlineStr">
        <is>
          <t>Duş sepeti</t>
        </is>
      </c>
      <c r="D13" s="5" t="inlineStr">
        <is>
          <t>Demirbaş</t>
        </is>
      </c>
      <c r="E13" s="5" t="n"/>
      <c r="F13" s="7" t="n"/>
      <c r="G13" s="5" t="inlineStr">
        <is>
          <t>Çekilecek</t>
        </is>
      </c>
      <c r="H13" s="5" t="inlineStr">
        <is>
          <t>Video 18.10.2026</t>
        </is>
      </c>
      <c r="I13" s="5" t="n"/>
    </row>
    <row r="14">
      <c r="A14" s="5" t="inlineStr">
        <is>
          <t>Tare Houses Hotel</t>
        </is>
      </c>
      <c r="B14" s="5" t="inlineStr">
        <is>
          <t>hand_towel</t>
        </is>
      </c>
      <c r="C14" s="5" t="inlineStr">
        <is>
          <t>El havlusu</t>
        </is>
      </c>
      <c r="D14" s="5" t="inlineStr">
        <is>
          <t>Demirbaş</t>
        </is>
      </c>
      <c r="E14" s="5" t="n"/>
      <c r="F14" s="7" t="n"/>
      <c r="G14" s="5" t="inlineStr">
        <is>
          <t>Çekilecek</t>
        </is>
      </c>
      <c r="H14" s="5" t="inlineStr">
        <is>
          <t>Video 18.10.2026</t>
        </is>
      </c>
      <c r="I14" s="5" t="n"/>
    </row>
    <row r="15">
      <c r="A15" s="5" t="inlineStr">
        <is>
          <t>Tare Houses Hotel</t>
        </is>
      </c>
      <c r="B15" s="5" t="inlineStr">
        <is>
          <t>hanger</t>
        </is>
      </c>
      <c r="C15" s="5" t="inlineStr">
        <is>
          <t>Elbise askısı</t>
        </is>
      </c>
      <c r="D15" s="5" t="inlineStr">
        <is>
          <t>Demirbaş</t>
        </is>
      </c>
      <c r="E15" s="5" t="n"/>
      <c r="F15" s="7" t="n"/>
      <c r="G15" s="5" t="inlineStr">
        <is>
          <t>Çekilecek</t>
        </is>
      </c>
      <c r="H15" s="5" t="inlineStr">
        <is>
          <t>Video 18.10.2026</t>
        </is>
      </c>
      <c r="I15" s="5" t="n"/>
    </row>
    <row r="16" ht="39.6" customHeight="1">
      <c r="A16" s="5" t="inlineStr">
        <is>
          <t>Tare Houses Hotel</t>
        </is>
      </c>
      <c r="B16" s="5" t="inlineStr">
        <is>
          <t>wardrobe</t>
        </is>
      </c>
      <c r="C16" s="5" t="inlineStr">
        <is>
          <t>Gardırop, ahşap, çıtalı kapaklı (TV ünitesiyle birleşik)</t>
        </is>
      </c>
      <c r="D16" s="5" t="inlineStr">
        <is>
          <t>Demirbaş</t>
        </is>
      </c>
      <c r="E16" s="5" t="n"/>
      <c r="F16" s="7" t="n"/>
      <c r="G16" s="5" t="inlineStr">
        <is>
          <t>Çekilecek</t>
        </is>
      </c>
      <c r="H16" s="5" t="inlineStr">
        <is>
          <t>Drive foto 11rd4F0TCuwx9hu3hZWi60hOjhCx_ZmZJ</t>
        </is>
      </c>
      <c r="I16" s="5" t="n"/>
    </row>
    <row r="17" ht="39.6" customHeight="1">
      <c r="A17" s="5" t="inlineStr">
        <is>
          <t>Tare Houses Hotel</t>
        </is>
      </c>
      <c r="B17" s="5" t="inlineStr">
        <is>
          <t>flush_plate</t>
        </is>
      </c>
      <c r="C17" s="5" t="inlineStr">
        <is>
          <t>Gömme rezervuar kumanda paneli, mat siyah çift tuş</t>
        </is>
      </c>
      <c r="D17" s="5" t="inlineStr">
        <is>
          <t>Demirbaş</t>
        </is>
      </c>
      <c r="E17" s="5" t="n"/>
      <c r="F17" s="5" t="inlineStr">
        <is>
          <t>item_photos/tare_houses/flush_plate.jpg</t>
        </is>
      </c>
      <c r="G17" s="5" t="inlineStr">
        <is>
          <t>Var</t>
        </is>
      </c>
      <c r="H17" s="5" t="inlineStr">
        <is>
          <t>Drive foto 176Aiy4gXnqdkXqLiFXPG1py-NxVLLYce</t>
        </is>
      </c>
      <c r="I17" s="5" t="n"/>
    </row>
    <row r="18" ht="39.6" customHeight="1">
      <c r="A18" s="5" t="inlineStr">
        <is>
          <t>Tare Houses Hotel</t>
        </is>
      </c>
      <c r="B18" s="5" t="inlineStr">
        <is>
          <t>rug_striped</t>
        </is>
      </c>
      <c r="C18" s="5" t="inlineStr">
        <is>
          <t>Halı, krem çizgili + kiremit yuvarlak desenli</t>
        </is>
      </c>
      <c r="D18" s="5" t="inlineStr">
        <is>
          <t>Demirbaş</t>
        </is>
      </c>
      <c r="E18" s="5" t="n"/>
      <c r="F18" s="5" t="inlineStr">
        <is>
          <t>item_photos/tare_houses/rug_striped.jpg</t>
        </is>
      </c>
      <c r="G18" s="5" t="inlineStr">
        <is>
          <t>Var</t>
        </is>
      </c>
      <c r="H18" s="5" t="inlineStr">
        <is>
          <t>Drive foto 16QwrP4dnzdun3aDldvqDTQdKeKNFWyfn</t>
        </is>
      </c>
      <c r="I18" s="5" t="n"/>
    </row>
    <row r="19" ht="39.6" customHeight="1">
      <c r="A19" s="5" t="inlineStr">
        <is>
          <t>Tare Houses Hotel</t>
        </is>
      </c>
      <c r="B19" s="5" t="inlineStr">
        <is>
          <t>towel_bar</t>
        </is>
      </c>
      <c r="C19" s="5" t="inlineStr">
        <is>
          <t>Havlu askısı (çubuk), mat siyah</t>
        </is>
      </c>
      <c r="D19" s="5" t="inlineStr">
        <is>
          <t>Demirbaş</t>
        </is>
      </c>
      <c r="E19" s="5" t="n"/>
      <c r="F19" s="5" t="inlineStr">
        <is>
          <t>item_photos/tare_houses/towel_bar.jpg</t>
        </is>
      </c>
      <c r="G19" s="5" t="inlineStr">
        <is>
          <t>Var</t>
        </is>
      </c>
      <c r="H19" s="5" t="inlineStr">
        <is>
          <t>Drive foto 1CWO16nd8G3iNKOmA8b9EgwJjXPrJnCHm</t>
        </is>
      </c>
      <c r="I19" s="5" t="n"/>
    </row>
    <row r="20" ht="39.6" customHeight="1">
      <c r="A20" s="5" t="inlineStr">
        <is>
          <t>Tare Houses Hotel</t>
        </is>
      </c>
      <c r="B20" s="5" t="inlineStr">
        <is>
          <t>towel_ring</t>
        </is>
      </c>
      <c r="C20" s="5" t="inlineStr">
        <is>
          <t>Havlu halkası, mat siyah</t>
        </is>
      </c>
      <c r="D20" s="5" t="inlineStr">
        <is>
          <t>Demirbaş</t>
        </is>
      </c>
      <c r="E20" s="5" t="n"/>
      <c r="F20" s="5" t="inlineStr">
        <is>
          <t>item_photos/tare_houses/towel_ring.jpg</t>
        </is>
      </c>
      <c r="G20" s="5" t="inlineStr">
        <is>
          <t>Var</t>
        </is>
      </c>
      <c r="H20" s="5" t="inlineStr">
        <is>
          <t>Drive foto 176Aiy4gXnqdkXqLiFXPG1py-NxVLLYce</t>
        </is>
      </c>
      <c r="I20" s="5" t="n"/>
    </row>
    <row r="21" ht="39.6" customHeight="1">
      <c r="A21" s="5" t="inlineStr">
        <is>
          <t>Tare Houses Hotel</t>
        </is>
      </c>
      <c r="B21" s="5" t="inlineStr">
        <is>
          <t>sofa_gray</t>
        </is>
      </c>
      <c r="C21" s="5" t="inlineStr">
        <is>
          <t>Kanepe (açılır sofa yatak olabilir), gri kadife</t>
        </is>
      </c>
      <c r="D21" s="5" t="inlineStr">
        <is>
          <t>Demirbaş</t>
        </is>
      </c>
      <c r="E21" s="5" t="n"/>
      <c r="F21" s="5" t="inlineStr">
        <is>
          <t>item_photos/tare_houses/sofa_gray.jpg</t>
        </is>
      </c>
      <c r="G21" s="5" t="inlineStr">
        <is>
          <t>Var</t>
        </is>
      </c>
      <c r="H21" s="5" t="inlineStr">
        <is>
          <t>Drive foto 16QwrP4dnzdun3aDldvqDTQdKeKNFWyfn</t>
        </is>
      </c>
      <c r="I21" s="5" t="n"/>
    </row>
    <row r="22">
      <c r="A22" s="5" t="inlineStr">
        <is>
          <t>Tare Houses Hotel</t>
        </is>
      </c>
      <c r="B22" s="5" t="inlineStr">
        <is>
          <t>kettle</t>
        </is>
      </c>
      <c r="C22" s="5" t="inlineStr">
        <is>
          <t>Kettle</t>
        </is>
      </c>
      <c r="D22" s="5" t="inlineStr">
        <is>
          <t>Demirbaş</t>
        </is>
      </c>
      <c r="E22" s="5" t="n"/>
      <c r="F22" s="5" t="inlineStr">
        <is>
          <t>item_photos/tare_houses/kettle.jpg</t>
        </is>
      </c>
      <c r="G22" s="5" t="inlineStr">
        <is>
          <t>Var</t>
        </is>
      </c>
      <c r="H22" s="5" t="inlineStr">
        <is>
          <t>Video 18.10.2026</t>
        </is>
      </c>
      <c r="I22" s="5" t="n"/>
    </row>
    <row r="23" ht="39.6" customHeight="1">
      <c r="A23" s="5" t="inlineStr">
        <is>
          <t>Tare Houses Hotel</t>
        </is>
      </c>
      <c r="B23" s="5" t="inlineStr">
        <is>
          <t>air_conditioner</t>
        </is>
      </c>
      <c r="C23" s="5" t="inlineStr">
        <is>
          <t>Klima iç ünitesi, siyah duvar tipi</t>
        </is>
      </c>
      <c r="D23" s="5" t="inlineStr">
        <is>
          <t>Demirbaş</t>
        </is>
      </c>
      <c r="E23" s="5" t="n"/>
      <c r="F23" s="5" t="inlineStr">
        <is>
          <t>item_photos/tare_houses/air_conditioner.jpg</t>
        </is>
      </c>
      <c r="G23" s="5" t="inlineStr">
        <is>
          <t>Var</t>
        </is>
      </c>
      <c r="H23" s="5" t="inlineStr">
        <is>
          <t>Drive foto 14VC92YctQ5syDFseOCS7bOidn1pAtrxE</t>
        </is>
      </c>
      <c r="I23" s="5" t="n"/>
    </row>
    <row r="24">
      <c r="A24" s="5" t="inlineStr">
        <is>
          <t>Tare Houses Hotel</t>
        </is>
      </c>
      <c r="B24" s="5" t="inlineStr">
        <is>
          <t>armchair</t>
        </is>
      </c>
      <c r="C24" s="5" t="inlineStr">
        <is>
          <t>Koltuk</t>
        </is>
      </c>
      <c r="D24" s="5" t="inlineStr">
        <is>
          <t>Demirbaş</t>
        </is>
      </c>
      <c r="E24" s="5" t="n"/>
      <c r="F24" s="5" t="inlineStr">
        <is>
          <t>item_photos/tare_houses/armchair.jpg</t>
        </is>
      </c>
      <c r="G24" s="5" t="inlineStr">
        <is>
          <t>Var</t>
        </is>
      </c>
      <c r="H24" s="5" t="inlineStr">
        <is>
          <t>Video 18.10.2026</t>
        </is>
      </c>
      <c r="I24" s="5" t="n"/>
    </row>
    <row r="25">
      <c r="A25" s="5" t="inlineStr">
        <is>
          <t>Tare Houses Hotel</t>
        </is>
      </c>
      <c r="B25" s="5" t="inlineStr">
        <is>
          <t>nightstand</t>
        </is>
      </c>
      <c r="C25" s="5" t="inlineStr">
        <is>
          <t>Komodin</t>
        </is>
      </c>
      <c r="D25" s="5" t="inlineStr">
        <is>
          <t>Demirbaş</t>
        </is>
      </c>
      <c r="E25" s="5" t="n"/>
      <c r="F25" s="5" t="inlineStr">
        <is>
          <t>item_photos/tare_houses/nightstand.jpg</t>
        </is>
      </c>
      <c r="G25" s="5" t="inlineStr">
        <is>
          <t>Var</t>
        </is>
      </c>
      <c r="H25" s="5" t="inlineStr">
        <is>
          <t>Video 18.10.2026</t>
        </is>
      </c>
      <c r="I25" s="5" t="n"/>
    </row>
    <row r="26">
      <c r="A26" s="5" t="inlineStr">
        <is>
          <t>Tare Houses Hotel</t>
        </is>
      </c>
      <c r="B26" s="5" t="inlineStr">
        <is>
          <t>remote</t>
        </is>
      </c>
      <c r="C26" s="5" t="inlineStr">
        <is>
          <t>Kumanda (TV + klima)</t>
        </is>
      </c>
      <c r="D26" s="5" t="inlineStr">
        <is>
          <t>Demirbaş</t>
        </is>
      </c>
      <c r="E26" s="5" t="n"/>
      <c r="F26" s="7" t="n"/>
      <c r="G26" s="5" t="inlineStr">
        <is>
          <t>Çekilecek</t>
        </is>
      </c>
      <c r="H26" s="5" t="inlineStr">
        <is>
          <t>Video 18.10.2026</t>
        </is>
      </c>
      <c r="I26" s="5" t="n"/>
    </row>
    <row r="27" ht="39.6" customHeight="1">
      <c r="A27" s="5" t="inlineStr">
        <is>
          <t>Tare Houses Hotel</t>
        </is>
      </c>
      <c r="B27" s="5" t="inlineStr">
        <is>
          <t>floor_lamp</t>
        </is>
      </c>
      <c r="C27" s="5" t="inlineStr">
        <is>
          <t>Lambader, pirinç ayaklı beyaz abajurlu, yan tablalı</t>
        </is>
      </c>
      <c r="D27" s="5" t="inlineStr">
        <is>
          <t>Demirbaş</t>
        </is>
      </c>
      <c r="E27" s="5" t="n"/>
      <c r="F27" s="5" t="inlineStr">
        <is>
          <t>item_photos/tare_houses/floor_lamp.jpg</t>
        </is>
      </c>
      <c r="G27" s="5" t="inlineStr">
        <is>
          <t>Var</t>
        </is>
      </c>
      <c r="H27" s="5" t="inlineStr">
        <is>
          <t>Drive foto 16QwrP4dnzdun3aDldvqDTQdKeKNFWyfn</t>
        </is>
      </c>
      <c r="I27" s="5" t="n"/>
    </row>
    <row r="28" ht="39.6" customHeight="1">
      <c r="A28" s="5" t="inlineStr">
        <is>
          <t>Tare Houses Hotel</t>
        </is>
      </c>
      <c r="B28" s="5" t="inlineStr">
        <is>
          <t>vanity_unit</t>
        </is>
      </c>
      <c r="C28" s="5" t="inlineStr">
        <is>
          <t>Lavabo altı açık raflı ahşap ünite</t>
        </is>
      </c>
      <c r="D28" s="5" t="inlineStr">
        <is>
          <t>Demirbaş</t>
        </is>
      </c>
      <c r="E28" s="5" t="n"/>
      <c r="F28" s="5" t="inlineStr">
        <is>
          <t>item_photos/tare_houses/vanity_unit.jpg</t>
        </is>
      </c>
      <c r="G28" s="5" t="inlineStr">
        <is>
          <t>Var</t>
        </is>
      </c>
      <c r="H28" s="5" t="inlineStr">
        <is>
          <t>Drive foto 176Aiy4gXnqdkXqLiFXPG1py-NxVLLYce</t>
        </is>
      </c>
      <c r="I28" s="5" t="n"/>
    </row>
    <row r="29" ht="39.6" customHeight="1">
      <c r="A29" s="5" t="inlineStr">
        <is>
          <t>Tare Houses Hotel</t>
        </is>
      </c>
      <c r="B29" s="5" t="inlineStr">
        <is>
          <t>basin_faucet</t>
        </is>
      </c>
      <c r="C29" s="5" t="inlineStr">
        <is>
          <t>Lavabo bataryası, mat siyah kuğu boyun</t>
        </is>
      </c>
      <c r="D29" s="5" t="inlineStr">
        <is>
          <t>Demirbaş</t>
        </is>
      </c>
      <c r="E29" s="5" t="n"/>
      <c r="F29" s="5" t="inlineStr">
        <is>
          <t>item_photos/tare_houses/basin_faucet.jpg</t>
        </is>
      </c>
      <c r="G29" s="5" t="inlineStr">
        <is>
          <t>Var</t>
        </is>
      </c>
      <c r="H29" s="5" t="inlineStr">
        <is>
          <t>Drive foto 1rS9OAXDtSWqHfMKIU_QdvLSU1WPLW-2j</t>
        </is>
      </c>
      <c r="I29" s="5" t="n"/>
    </row>
    <row r="30" ht="39.6" customHeight="1">
      <c r="A30" s="5" t="inlineStr">
        <is>
          <t>Tare Houses Hotel</t>
        </is>
      </c>
      <c r="B30" s="5" t="inlineStr">
        <is>
          <t>globe_table_lamp</t>
        </is>
      </c>
      <c r="C30" s="5" t="inlineStr">
        <is>
          <t>Masa/başucu lambası, opal küre + pirinç gövde</t>
        </is>
      </c>
      <c r="D30" s="5" t="inlineStr">
        <is>
          <t>Demirbaş</t>
        </is>
      </c>
      <c r="E30" s="5" t="n"/>
      <c r="F30" s="5" t="inlineStr">
        <is>
          <t>item_photos/tare_houses/globe_table_lamp.jpg</t>
        </is>
      </c>
      <c r="G30" s="5" t="inlineStr">
        <is>
          <t>Var</t>
        </is>
      </c>
      <c r="H30" s="5" t="inlineStr">
        <is>
          <t>Drive foto 1WEP_jDIwucwzg6uxwakrZL5JQ3wq34tk</t>
        </is>
      </c>
      <c r="I30" s="5" t="n"/>
    </row>
    <row r="31" ht="39.6" customHeight="1">
      <c r="A31" s="5" t="inlineStr">
        <is>
          <t>Tare Houses Hotel</t>
        </is>
      </c>
      <c r="B31" s="5" t="inlineStr">
        <is>
          <t>mini_fridge</t>
        </is>
      </c>
      <c r="C31" s="5" t="inlineStr">
        <is>
          <t>Mini buzdolabı, beyaz, tezgah altı</t>
        </is>
      </c>
      <c r="D31" s="5" t="inlineStr">
        <is>
          <t>Demirbaş</t>
        </is>
      </c>
      <c r="E31" s="5" t="n"/>
      <c r="F31" s="5" t="inlineStr">
        <is>
          <t>item_photos/tare_houses/mini_fridge.jpg</t>
        </is>
      </c>
      <c r="G31" s="5" t="inlineStr">
        <is>
          <t>Var</t>
        </is>
      </c>
      <c r="H31" s="5" t="inlineStr">
        <is>
          <t>Drive foto 1FFkoBOtD_TWAwlnOYQPDiPXqnAMV2lbR</t>
        </is>
      </c>
      <c r="I31" s="5" t="n"/>
    </row>
    <row r="32">
      <c r="A32" s="5" t="inlineStr">
        <is>
          <t>Tare Houses Hotel</t>
        </is>
      </c>
      <c r="B32" s="5" t="inlineStr">
        <is>
          <t>room_bin</t>
        </is>
      </c>
      <c r="C32" s="5" t="inlineStr">
        <is>
          <t>Oda çöp kovası</t>
        </is>
      </c>
      <c r="D32" s="5" t="inlineStr">
        <is>
          <t>Demirbaş</t>
        </is>
      </c>
      <c r="E32" s="5" t="n"/>
      <c r="F32" s="7" t="n"/>
      <c r="G32" s="5" t="inlineStr">
        <is>
          <t>Çekilecek</t>
        </is>
      </c>
      <c r="H32" s="5" t="inlineStr">
        <is>
          <t>Video 18.10.2026</t>
        </is>
      </c>
      <c r="I32" s="5" t="n"/>
    </row>
    <row r="33" ht="39.6" customHeight="1">
      <c r="A33" s="5" t="inlineStr">
        <is>
          <t>Tare Houses Hotel</t>
        </is>
      </c>
      <c r="B33" s="5" t="inlineStr">
        <is>
          <t>coffee_table_glass</t>
        </is>
      </c>
      <c r="C33" s="5" t="inlineStr">
        <is>
          <t>Orta sehpa, yuvarlak cam tablalı siyah metal</t>
        </is>
      </c>
      <c r="D33" s="5" t="inlineStr">
        <is>
          <t>Demirbaş</t>
        </is>
      </c>
      <c r="E33" s="5" t="n"/>
      <c r="F33" s="5" t="inlineStr">
        <is>
          <t>item_photos/tare_houses/coffee_table_glass.jpg</t>
        </is>
      </c>
      <c r="G33" s="5" t="inlineStr">
        <is>
          <t>Var</t>
        </is>
      </c>
      <c r="H33" s="5" t="inlineStr">
        <is>
          <t>Drive foto 16QwrP4dnzdun3aDldvqDTQdKeKNFWyfn</t>
        </is>
      </c>
      <c r="I33" s="5" t="n"/>
    </row>
    <row r="34" ht="39.6" customHeight="1">
      <c r="A34" s="5" t="inlineStr">
        <is>
          <t>Tare Houses Hotel</t>
        </is>
      </c>
      <c r="B34" s="5" t="inlineStr">
        <is>
          <t>pendant_lamp</t>
        </is>
      </c>
      <c r="C34" s="5" t="inlineStr">
        <is>
          <t>Sarkıt avize, siyah metal disk</t>
        </is>
      </c>
      <c r="D34" s="5" t="inlineStr">
        <is>
          <t>Demirbaş</t>
        </is>
      </c>
      <c r="E34" s="5" t="n"/>
      <c r="F34" s="5" t="inlineStr">
        <is>
          <t>item_photos/tare_houses/pendant_lamp.jpg</t>
        </is>
      </c>
      <c r="G34" s="5" t="inlineStr">
        <is>
          <t>Var</t>
        </is>
      </c>
      <c r="H34" s="5" t="inlineStr">
        <is>
          <t>Drive foto 14qRyaeW762Tt7lrP6OYjJLumQDBFxCAt</t>
        </is>
      </c>
      <c r="I34" s="5" t="n"/>
    </row>
    <row r="35">
      <c r="A35" s="5" t="inlineStr">
        <is>
          <t>Tare Houses Hotel</t>
        </is>
      </c>
      <c r="B35" s="5" t="inlineStr">
        <is>
          <t>tv</t>
        </is>
      </c>
      <c r="C35" s="5" t="inlineStr">
        <is>
          <t>TV</t>
        </is>
      </c>
      <c r="D35" s="5" t="inlineStr">
        <is>
          <t>Demirbaş</t>
        </is>
      </c>
      <c r="E35" s="5" t="n"/>
      <c r="F35" s="5" t="inlineStr">
        <is>
          <t>item_photos/tare_houses/tv.jpg</t>
        </is>
      </c>
      <c r="G35" s="5" t="inlineStr">
        <is>
          <t>Var</t>
        </is>
      </c>
      <c r="H35" s="5" t="inlineStr">
        <is>
          <t>Video 18.10.2026</t>
        </is>
      </c>
      <c r="I35" s="5" t="n"/>
    </row>
    <row r="36" ht="39.6" customHeight="1">
      <c r="A36" s="5" t="inlineStr">
        <is>
          <t>Tare Houses Hotel</t>
        </is>
      </c>
      <c r="B36" s="5" t="inlineStr">
        <is>
          <t>wall_art</t>
        </is>
      </c>
      <c r="C36" s="5" t="inlineStr">
        <is>
          <t>Tablo, siyah çerçeveli portre baskı (her odada farklı figür)</t>
        </is>
      </c>
      <c r="D36" s="5" t="inlineStr">
        <is>
          <t>Demirbaş</t>
        </is>
      </c>
      <c r="E36" s="5" t="n"/>
      <c r="F36" s="5" t="inlineStr">
        <is>
          <t>item_photos/tare_houses/wall_art.jpg</t>
        </is>
      </c>
      <c r="G36" s="5" t="inlineStr">
        <is>
          <t>Var</t>
        </is>
      </c>
      <c r="H36" s="5" t="inlineStr">
        <is>
          <t>Drive foto 1qqZMbxPxzAY3tiWlJeU5zXJ4FJyKCBzS</t>
        </is>
      </c>
      <c r="I36" s="5" t="n"/>
    </row>
    <row r="37" ht="39.6" customHeight="1">
      <c r="A37" s="5" t="inlineStr">
        <is>
          <t>Tare Houses Hotel</t>
        </is>
      </c>
      <c r="B37" s="5" t="inlineStr">
        <is>
          <t>shower_set</t>
        </is>
      </c>
      <c r="C37" s="5" t="inlineStr">
        <is>
          <t>Tepe duşlu termostatik duş seti + el duşu, mat siyah</t>
        </is>
      </c>
      <c r="D37" s="5" t="inlineStr">
        <is>
          <t>Demirbaş</t>
        </is>
      </c>
      <c r="E37" s="5" t="n"/>
      <c r="F37" s="5" t="inlineStr">
        <is>
          <t>item_photos/tare_houses/shower_set.jpg</t>
        </is>
      </c>
      <c r="G37" s="5" t="inlineStr">
        <is>
          <t>Var</t>
        </is>
      </c>
      <c r="H37" s="5" t="inlineStr">
        <is>
          <t>Drive foto 176Aiy4gXnqdkXqLiFXPG1py-NxVLLYce</t>
        </is>
      </c>
      <c r="I37" s="5" t="n"/>
    </row>
    <row r="38" ht="39.6" customHeight="1">
      <c r="A38" s="5" t="inlineStr">
        <is>
          <t>Tare Houses Hotel</t>
        </is>
      </c>
      <c r="B38" s="5" t="inlineStr">
        <is>
          <t>vessel_sink</t>
        </is>
      </c>
      <c r="C38" s="5" t="inlineStr">
        <is>
          <t>Tezgah üstü lavabo, traverten taş görünümlü</t>
        </is>
      </c>
      <c r="D38" s="5" t="inlineStr">
        <is>
          <t>Demirbaş</t>
        </is>
      </c>
      <c r="E38" s="5" t="n"/>
      <c r="F38" s="5" t="inlineStr">
        <is>
          <t>item_photos/tare_houses/vessel_sink.jpg</t>
        </is>
      </c>
      <c r="G38" s="5" t="inlineStr">
        <is>
          <t>Var</t>
        </is>
      </c>
      <c r="H38" s="5" t="inlineStr">
        <is>
          <t>Drive foto 1rS9OAXDtSWqHfMKIU_QdvLSU1WPLW-2j</t>
        </is>
      </c>
      <c r="I38" s="5" t="n"/>
    </row>
    <row r="39" ht="39.6" customHeight="1">
      <c r="A39" s="5" t="inlineStr">
        <is>
          <t>Tare Houses Hotel</t>
        </is>
      </c>
      <c r="B39" s="5" t="inlineStr">
        <is>
          <t>toilet_paper_holder</t>
        </is>
      </c>
      <c r="C39" s="5" t="inlineStr">
        <is>
          <t>Tuvalet kağıtlığı, kapaklı mat siyah</t>
        </is>
      </c>
      <c r="D39" s="5" t="inlineStr">
        <is>
          <t>Demirbaş</t>
        </is>
      </c>
      <c r="E39" s="5" t="n"/>
      <c r="F39" s="5" t="inlineStr">
        <is>
          <t>item_photos/tare_houses/toilet_paper_holder.jpg</t>
        </is>
      </c>
      <c r="G39" s="5" t="inlineStr">
        <is>
          <t>Var</t>
        </is>
      </c>
      <c r="H39" s="5" t="inlineStr">
        <is>
          <t>Drive foto 1J_9i45zMZRnEq7xGQCd53p9mfgJAQ6kF</t>
        </is>
      </c>
      <c r="I39" s="5" t="n"/>
    </row>
    <row r="40">
      <c r="A40" s="5" t="inlineStr">
        <is>
          <t>Tare Houses Hotel</t>
        </is>
      </c>
      <c r="B40" s="5" t="inlineStr">
        <is>
          <t>toilet_brush</t>
        </is>
      </c>
      <c r="C40" s="5" t="inlineStr">
        <is>
          <t>WC fırçası</t>
        </is>
      </c>
      <c r="D40" s="5" t="inlineStr">
        <is>
          <t>Demirbaş</t>
        </is>
      </c>
      <c r="E40" s="5" t="n"/>
      <c r="F40" s="7" t="n"/>
      <c r="G40" s="5" t="inlineStr">
        <is>
          <t>Çekilecek</t>
        </is>
      </c>
      <c r="H40" s="5" t="inlineStr">
        <is>
          <t>Video 18.10.2026</t>
        </is>
      </c>
      <c r="I40" s="5" t="n"/>
    </row>
    <row r="41">
      <c r="A41" s="5" t="inlineStr">
        <is>
          <t>Tare Houses Hotel</t>
        </is>
      </c>
      <c r="B41" s="5" t="inlineStr">
        <is>
          <t>pillow</t>
        </is>
      </c>
      <c r="C41" s="5" t="inlineStr">
        <is>
          <t>Yastık</t>
        </is>
      </c>
      <c r="D41" s="5" t="inlineStr">
        <is>
          <t>Demirbaş</t>
        </is>
      </c>
      <c r="E41" s="5" t="n"/>
      <c r="F41" s="5" t="inlineStr">
        <is>
          <t>item_photos/tare_houses/pillow.jpg</t>
        </is>
      </c>
      <c r="G41" s="5" t="inlineStr">
        <is>
          <t>Var</t>
        </is>
      </c>
      <c r="H41" s="5" t="inlineStr">
        <is>
          <t>Video 18.10.2026</t>
        </is>
      </c>
      <c r="I41" s="5" t="n"/>
    </row>
    <row r="42">
      <c r="A42" s="5" t="inlineStr">
        <is>
          <t>Tare Houses Hotel</t>
        </is>
      </c>
      <c r="B42" s="5" t="inlineStr">
        <is>
          <t>spare_blanket</t>
        </is>
      </c>
      <c r="C42" s="5" t="inlineStr">
        <is>
          <t>Yedek battaniye</t>
        </is>
      </c>
      <c r="D42" s="5" t="inlineStr">
        <is>
          <t>Demirbaş</t>
        </is>
      </c>
      <c r="E42" s="5" t="n"/>
      <c r="F42" s="7" t="n"/>
      <c r="G42" s="5" t="inlineStr">
        <is>
          <t>Çekilecek</t>
        </is>
      </c>
      <c r="H42" s="5" t="inlineStr">
        <is>
          <t>Video 18.10.2026</t>
        </is>
      </c>
      <c r="I42" s="5" t="n"/>
    </row>
    <row r="43" ht="39.6" customHeight="1">
      <c r="A43" s="5" t="inlineStr">
        <is>
          <t>Tare Houses Hotel</t>
        </is>
      </c>
      <c r="B43" s="5" t="inlineStr">
        <is>
          <t>led_mirror</t>
        </is>
      </c>
      <c r="C43" s="5" t="inlineStr">
        <is>
          <t>Yuvarlak LED arkadan aydınlatmalı ayna</t>
        </is>
      </c>
      <c r="D43" s="5" t="inlineStr">
        <is>
          <t>Demirbaş</t>
        </is>
      </c>
      <c r="E43" s="5" t="n"/>
      <c r="F43" s="5" t="inlineStr">
        <is>
          <t>item_photos/tare_houses/led_mirror.jpg</t>
        </is>
      </c>
      <c r="G43" s="5" t="inlineStr">
        <is>
          <t>Var</t>
        </is>
      </c>
      <c r="H43" s="5" t="inlineStr">
        <is>
          <t>Drive foto 176Aiy4gXnqdkXqLiFXPG1py-NxVLLYce</t>
        </is>
      </c>
      <c r="I43" s="5" t="n"/>
    </row>
    <row r="44" ht="39.6" customHeight="1">
      <c r="A44" s="5" t="inlineStr">
        <is>
          <t>Tare Houses Hotel</t>
        </is>
      </c>
      <c r="B44" s="5" t="inlineStr">
        <is>
          <t>round_wall_lamp</t>
        </is>
      </c>
      <c r="C44" s="5" t="inlineStr">
        <is>
          <t>Yuvarlak duvar apliği (sarı iç yüzey)</t>
        </is>
      </c>
      <c r="D44" s="5" t="inlineStr">
        <is>
          <t>Demirbaş</t>
        </is>
      </c>
      <c r="E44" s="5" t="n"/>
      <c r="F44" s="5" t="inlineStr">
        <is>
          <t>item_photos/tare_houses/round_wall_lamp.jpg</t>
        </is>
      </c>
      <c r="G44" s="5" t="inlineStr">
        <is>
          <t>Var</t>
        </is>
      </c>
      <c r="H44" s="5" t="inlineStr">
        <is>
          <t>Drive foto 17q0mqTudODHZ96MU-QhDuBn5dZGJSr3p</t>
        </is>
      </c>
      <c r="I44" s="5" t="n"/>
    </row>
    <row r="45" ht="39.6" customHeight="1">
      <c r="A45" s="5" t="inlineStr">
        <is>
          <t>Tare Houses Hotel</t>
        </is>
      </c>
      <c r="B45" s="5" t="inlineStr">
        <is>
          <t>round_rug_woven</t>
        </is>
      </c>
      <c r="C45" s="5" t="inlineStr">
        <is>
          <t>Yuvarlak hasır/örgü halı, lacivert-gri</t>
        </is>
      </c>
      <c r="D45" s="5" t="inlineStr">
        <is>
          <t>Demirbaş</t>
        </is>
      </c>
      <c r="E45" s="5" t="n"/>
      <c r="F45" s="5" t="inlineStr">
        <is>
          <t>item_photos/tare_houses/round_rug_woven.jpg</t>
        </is>
      </c>
      <c r="G45" s="5" t="inlineStr">
        <is>
          <t>Var</t>
        </is>
      </c>
      <c r="H45" s="5" t="inlineStr">
        <is>
          <t>Drive foto 14qRyaeW762Tt7lrP6OYjJLumQDBFxCAt</t>
        </is>
      </c>
      <c r="I45" s="5" t="n"/>
    </row>
    <row r="46" ht="39.6" customHeight="1">
      <c r="A46" s="5" t="inlineStr">
        <is>
          <t>Tare Houses Hotel</t>
        </is>
      </c>
      <c r="B46" s="5" t="inlineStr">
        <is>
          <t>round_table</t>
        </is>
      </c>
      <c r="C46" s="5" t="inlineStr">
        <is>
          <t>Yuvarlak masa, ahşap tek ayaklı</t>
        </is>
      </c>
      <c r="D46" s="5" t="inlineStr">
        <is>
          <t>Demirbaş</t>
        </is>
      </c>
      <c r="E46" s="5" t="n"/>
      <c r="F46" s="5" t="inlineStr">
        <is>
          <t>item_photos/tare_houses/round_table.jpg</t>
        </is>
      </c>
      <c r="G46" s="5" t="inlineStr">
        <is>
          <t>Var</t>
        </is>
      </c>
      <c r="H46" s="5" t="inlineStr">
        <is>
          <t>Drive foto 1qqZMbxPxzAY3tiWlJeU5zXJ4FJyKCBzS</t>
        </is>
      </c>
      <c r="I46" s="5" t="n"/>
    </row>
    <row r="47" ht="39.6" customHeight="1">
      <c r="A47" s="5" t="inlineStr">
        <is>
          <t>Tare Houses Hotel</t>
        </is>
      </c>
      <c r="B47" s="5" t="inlineStr">
        <is>
          <t>round_bed</t>
        </is>
      </c>
      <c r="C47" s="5" t="inlineStr">
        <is>
          <t>Yuvarlak yatak, kavisli ahşap başlık/arkalık</t>
        </is>
      </c>
      <c r="D47" s="5" t="inlineStr">
        <is>
          <t>Demirbaş</t>
        </is>
      </c>
      <c r="E47" s="5" t="n"/>
      <c r="F47" s="5" t="inlineStr">
        <is>
          <t>item_photos/tare_houses/round_bed.jpg</t>
        </is>
      </c>
      <c r="G47" s="5" t="inlineStr">
        <is>
          <t>Var</t>
        </is>
      </c>
      <c r="H47" s="5" t="inlineStr">
        <is>
          <t>Drive foto 14qRyaeW762Tt7lrP6OYjJLumQDBFxCAt</t>
        </is>
      </c>
      <c r="I47" s="5" t="n"/>
    </row>
    <row r="48" ht="39.6" customHeight="1">
      <c r="A48" s="5" t="inlineStr">
        <is>
          <t>Tare Houses Hotel</t>
        </is>
      </c>
      <c r="B48" s="5" t="inlineStr">
        <is>
          <t>desk_with_chair</t>
        </is>
      </c>
      <c r="C48" s="5" t="inlineStr">
        <is>
          <t>Çalışma/konsol masası, ahşap</t>
        </is>
      </c>
      <c r="D48" s="5" t="inlineStr">
        <is>
          <t>Demirbaş</t>
        </is>
      </c>
      <c r="E48" s="5" t="n"/>
      <c r="F48" s="5" t="inlineStr">
        <is>
          <t>item_photos/tare_houses/desk_with_chair.jpg</t>
        </is>
      </c>
      <c r="G48" s="5" t="inlineStr">
        <is>
          <t>Var</t>
        </is>
      </c>
      <c r="H48" s="5" t="inlineStr">
        <is>
          <t>Drive foto 1g33AxJn7o6rMzP3P8xLRLZ0LghBuqYLy</t>
        </is>
      </c>
      <c r="I48" s="5" t="n"/>
    </row>
    <row r="49" ht="39.6" customHeight="1">
      <c r="A49" s="5" t="inlineStr">
        <is>
          <t>Tare Houses Hotel</t>
        </is>
      </c>
      <c r="B49" s="5" t="inlineStr">
        <is>
          <t>bed</t>
        </is>
      </c>
      <c r="C49" s="5" t="inlineStr">
        <is>
          <t>Çift kişilik yatak, ahşap platform baza + dalgalı ahşap başlık</t>
        </is>
      </c>
      <c r="D49" s="5" t="inlineStr">
        <is>
          <t>Demirbaş</t>
        </is>
      </c>
      <c r="E49" s="5" t="n"/>
      <c r="F49" s="5" t="inlineStr">
        <is>
          <t>item_photos/tare_houses/bed.jpg</t>
        </is>
      </c>
      <c r="G49" s="5" t="inlineStr">
        <is>
          <t>Var</t>
        </is>
      </c>
      <c r="H49" s="5" t="inlineStr">
        <is>
          <t>Drive foto 1LcC8KwgiEYRpYcW1xVOTBI30H2b-odfS</t>
        </is>
      </c>
      <c r="I49" s="5" t="n"/>
    </row>
    <row r="50">
      <c r="A50" s="5" t="inlineStr">
        <is>
          <t>Tare Houses Hotel</t>
        </is>
      </c>
      <c r="B50" s="5" t="inlineStr">
        <is>
          <t>paper_towel</t>
        </is>
      </c>
      <c r="C50" s="5" t="inlineStr">
        <is>
          <t>Kağıt havlu standı + rulo</t>
        </is>
      </c>
      <c r="D50" s="5" t="inlineStr">
        <is>
          <t>Sarf</t>
        </is>
      </c>
      <c r="E50" s="5" t="n"/>
      <c r="F50" s="7" t="n"/>
      <c r="G50" s="5" t="inlineStr">
        <is>
          <t>Çekilecek</t>
        </is>
      </c>
      <c r="H50" s="5" t="inlineStr">
        <is>
          <t>Video 18.10.2026</t>
        </is>
      </c>
      <c r="I50" s="5" t="n"/>
    </row>
    <row r="51">
      <c r="A51" s="5" t="inlineStr">
        <is>
          <t>Tare Houses Hotel</t>
        </is>
      </c>
      <c r="B51" s="5" t="inlineStr">
        <is>
          <t>liquid_soap</t>
        </is>
      </c>
      <c r="C51" s="5" t="inlineStr">
        <is>
          <t>Sıvı el sabunu</t>
        </is>
      </c>
      <c r="D51" s="5" t="inlineStr">
        <is>
          <t>Sarf</t>
        </is>
      </c>
      <c r="E51" s="5" t="n"/>
      <c r="F51" s="7" t="n"/>
      <c r="G51" s="5" t="inlineStr">
        <is>
          <t>Çekilecek</t>
        </is>
      </c>
      <c r="H51" s="5" t="inlineStr">
        <is>
          <t>Video 18.10.2026</t>
        </is>
      </c>
      <c r="I51" s="5" t="n"/>
    </row>
    <row r="52">
      <c r="A52" s="5" t="inlineStr">
        <is>
          <t>Tare Houses Hotel</t>
        </is>
      </c>
      <c r="B52" s="5" t="inlineStr">
        <is>
          <t>toilet_paper</t>
        </is>
      </c>
      <c r="C52" s="5" t="inlineStr">
        <is>
          <t>Tuvalet kağıdı (takılı)</t>
        </is>
      </c>
      <c r="D52" s="5" t="inlineStr">
        <is>
          <t>Sarf</t>
        </is>
      </c>
      <c r="E52" s="5" t="n"/>
      <c r="F52" s="7" t="n"/>
      <c r="G52" s="5" t="inlineStr">
        <is>
          <t>Çekilecek</t>
        </is>
      </c>
      <c r="H52" s="5" t="inlineStr">
        <is>
          <t>Video 18.10.2026</t>
        </is>
      </c>
      <c r="I52" s="5" t="n"/>
    </row>
    <row r="53">
      <c r="A53" s="5" t="inlineStr">
        <is>
          <t>Tare Houses Hotel</t>
        </is>
      </c>
      <c r="B53" s="5" t="inlineStr">
        <is>
          <t>toilet_paper_spare</t>
        </is>
      </c>
      <c r="C53" s="5" t="inlineStr">
        <is>
          <t>Yedek tuvalet kağıdı</t>
        </is>
      </c>
      <c r="D53" s="5" t="inlineStr">
        <is>
          <t>Sarf</t>
        </is>
      </c>
      <c r="E53" s="5" t="n"/>
      <c r="F53" s="7" t="n"/>
      <c r="G53" s="5" t="inlineStr">
        <is>
          <t>Çekilecek</t>
        </is>
      </c>
      <c r="H53" s="5" t="inlineStr">
        <is>
          <t>Video 18.10.2026</t>
        </is>
      </c>
      <c r="I53" s="5" t="n"/>
    </row>
    <row r="54">
      <c r="A54" s="5" t="inlineStr">
        <is>
          <t>Tare Houses Hotel</t>
        </is>
      </c>
      <c r="B54" s="5" t="inlineStr">
        <is>
          <t>wooden_bowl</t>
        </is>
      </c>
      <c r="C54" s="5" t="inlineStr">
        <is>
          <t>Ahşap kase</t>
        </is>
      </c>
      <c r="D54" s="5" t="inlineStr">
        <is>
          <t>Mutfak Malzemesi</t>
        </is>
      </c>
      <c r="E54" s="5" t="n"/>
      <c r="F54" s="7" t="n"/>
      <c r="G54" s="5" t="inlineStr">
        <is>
          <t>Çekilecek</t>
        </is>
      </c>
      <c r="H54" s="5" t="inlineStr">
        <is>
          <t>Video 18.10.2026</t>
        </is>
      </c>
      <c r="I54" s="5" t="n"/>
    </row>
    <row r="55">
      <c r="A55" s="5" t="inlineStr">
        <is>
          <t>Tare Houses Hotel</t>
        </is>
      </c>
      <c r="B55" s="5" t="inlineStr">
        <is>
          <t>dish_rack</t>
        </is>
      </c>
      <c r="C55" s="5" t="inlineStr">
        <is>
          <t>Bulaşıklık</t>
        </is>
      </c>
      <c r="D55" s="5" t="inlineStr">
        <is>
          <t>Mutfak Malzemesi</t>
        </is>
      </c>
      <c r="E55" s="5" t="n"/>
      <c r="F55" s="5" t="inlineStr">
        <is>
          <t>item_photos/tare_houses/dish_rack.jpg</t>
        </is>
      </c>
      <c r="G55" s="5" t="inlineStr">
        <is>
          <t>Var</t>
        </is>
      </c>
      <c r="H55" s="5" t="inlineStr">
        <is>
          <t>Video 18.10.2026</t>
        </is>
      </c>
      <c r="I55" s="5" t="n"/>
    </row>
    <row r="56">
      <c r="A56" s="5" t="inlineStr">
        <is>
          <t>Tare Houses Hotel</t>
        </is>
      </c>
      <c r="B56" s="5" t="inlineStr">
        <is>
          <t>dinner_plate</t>
        </is>
      </c>
      <c r="C56" s="5" t="inlineStr">
        <is>
          <t>Büyük tabak (gri)</t>
        </is>
      </c>
      <c r="D56" s="5" t="inlineStr">
        <is>
          <t>Mutfak Malzemesi</t>
        </is>
      </c>
      <c r="E56" s="5" t="n"/>
      <c r="F56" s="5" t="inlineStr">
        <is>
          <t>item_photos/tare_houses/dinner_plate_gray.jpg</t>
        </is>
      </c>
      <c r="G56" s="5" t="inlineStr">
        <is>
          <t>Var</t>
        </is>
      </c>
      <c r="H56" s="5" t="inlineStr">
        <is>
          <t>Video 18.10.2026</t>
        </is>
      </c>
      <c r="I56" s="5" t="n"/>
    </row>
    <row r="57">
      <c r="A57" s="5" t="inlineStr">
        <is>
          <t>Tare Houses Hotel</t>
        </is>
      </c>
      <c r="B57" s="5" t="inlineStr">
        <is>
          <t>sponge_caddy</t>
        </is>
      </c>
      <c r="C57" s="5" t="inlineStr">
        <is>
          <t>Fırça + sünger + deterjan standı</t>
        </is>
      </c>
      <c r="D57" s="5" t="inlineStr">
        <is>
          <t>Mutfak Malzemesi</t>
        </is>
      </c>
      <c r="E57" s="5" t="n"/>
      <c r="F57" s="5" t="inlineStr">
        <is>
          <t>item_photos/tare_houses/sink_caddy.jpg</t>
        </is>
      </c>
      <c r="G57" s="5" t="inlineStr">
        <is>
          <t>Var</t>
        </is>
      </c>
      <c r="H57" s="5" t="inlineStr">
        <is>
          <t>Video 18.10.2026</t>
        </is>
      </c>
      <c r="I57" s="5" t="n"/>
    </row>
    <row r="58">
      <c r="A58" s="5" t="inlineStr">
        <is>
          <t>Tare Houses Hotel</t>
        </is>
      </c>
      <c r="B58" s="5" t="inlineStr">
        <is>
          <t>bowl</t>
        </is>
      </c>
      <c r="C58" s="5" t="inlineStr">
        <is>
          <t>Kase (yeşil)</t>
        </is>
      </c>
      <c r="D58" s="5" t="inlineStr">
        <is>
          <t>Mutfak Malzemesi</t>
        </is>
      </c>
      <c r="E58" s="5" t="n"/>
      <c r="F58" s="5" t="inlineStr">
        <is>
          <t>item_photos/tare_houses/bowl.jpg</t>
        </is>
      </c>
      <c r="G58" s="5" t="inlineStr">
        <is>
          <t>Var</t>
        </is>
      </c>
      <c r="H58" s="5" t="inlineStr">
        <is>
          <t>Video 18.10.2026</t>
        </is>
      </c>
      <c r="I58" s="5" t="n"/>
    </row>
    <row r="59" ht="26.4" customHeight="1">
      <c r="A59" s="5" t="inlineStr">
        <is>
          <t>Tare Houses Hotel</t>
        </is>
      </c>
      <c r="B59" s="5" t="inlineStr">
        <is>
          <t>cutting_board</t>
        </is>
      </c>
      <c r="C59" s="5" t="inlineStr">
        <is>
          <t>Kesme tahtası</t>
        </is>
      </c>
      <c r="D59" s="5" t="inlineStr">
        <is>
          <t>Mutfak Malzemesi</t>
        </is>
      </c>
      <c r="E59" s="5" t="n"/>
      <c r="F59" s="5" t="inlineStr">
        <is>
          <t>item_photos/tare_houses/cutting_board_glass.jpg</t>
        </is>
      </c>
      <c r="G59" s="5" t="inlineStr">
        <is>
          <t>Var</t>
        </is>
      </c>
      <c r="H59" s="5" t="inlineStr">
        <is>
          <t>Video 18.10.2026</t>
        </is>
      </c>
      <c r="I59" s="5" t="n"/>
    </row>
    <row r="60">
      <c r="A60" s="5" t="inlineStr">
        <is>
          <t>Tare Houses Hotel</t>
        </is>
      </c>
      <c r="B60" s="5" t="inlineStr">
        <is>
          <t>knife_set</t>
        </is>
      </c>
      <c r="C60" s="5" t="inlineStr">
        <is>
          <t>Kiyomi bıçak seti</t>
        </is>
      </c>
      <c r="D60" s="5" t="inlineStr">
        <is>
          <t>Mutfak Malzemesi</t>
        </is>
      </c>
      <c r="E60" s="5" t="n"/>
      <c r="F60" s="5" t="inlineStr">
        <is>
          <t>item_photos/tare_houses/knife_set_box.jpg</t>
        </is>
      </c>
      <c r="G60" s="5" t="inlineStr">
        <is>
          <t>Var</t>
        </is>
      </c>
      <c r="H60" s="5" t="inlineStr">
        <is>
          <t>Video 18.10.2026</t>
        </is>
      </c>
      <c r="I60" s="5" t="n"/>
    </row>
    <row r="61">
      <c r="A61" s="5" t="inlineStr">
        <is>
          <t>Tare Houses Hotel</t>
        </is>
      </c>
      <c r="B61" s="5" t="inlineStr">
        <is>
          <t>saucepan</t>
        </is>
      </c>
      <c r="C61" s="5" t="inlineStr">
        <is>
          <t>Kulplu küçük tencere + kapak</t>
        </is>
      </c>
      <c r="D61" s="5" t="inlineStr">
        <is>
          <t>Mutfak Malzemesi</t>
        </is>
      </c>
      <c r="E61" s="5" t="n"/>
      <c r="F61" s="7" t="n"/>
      <c r="G61" s="5" t="inlineStr">
        <is>
          <t>Çekilecek</t>
        </is>
      </c>
      <c r="H61" s="5" t="inlineStr">
        <is>
          <t>Video 18.10.2026</t>
        </is>
      </c>
      <c r="I61" s="5" t="n"/>
    </row>
    <row r="62">
      <c r="A62" s="5" t="inlineStr">
        <is>
          <t>Tare Houses Hotel</t>
        </is>
      </c>
      <c r="B62" s="5" t="inlineStr">
        <is>
          <t>mug</t>
        </is>
      </c>
      <c r="C62" s="5" t="inlineStr">
        <is>
          <t>Kupa</t>
        </is>
      </c>
      <c r="D62" s="5" t="inlineStr">
        <is>
          <t>Mutfak Malzemesi</t>
        </is>
      </c>
      <c r="E62" s="5" t="n"/>
      <c r="F62" s="5" t="inlineStr">
        <is>
          <t>item_photos/tare_houses/cup.jpg</t>
        </is>
      </c>
      <c r="G62" s="5" t="inlineStr">
        <is>
          <t>Var</t>
        </is>
      </c>
      <c r="H62" s="5" t="inlineStr">
        <is>
          <t>Video 18.10.2026</t>
        </is>
      </c>
      <c r="I62" s="5" t="n"/>
    </row>
    <row r="63">
      <c r="A63" s="5" t="inlineStr">
        <is>
          <t>Tare Houses Hotel</t>
        </is>
      </c>
      <c r="B63" s="5" t="inlineStr">
        <is>
          <t>side_plate</t>
        </is>
      </c>
      <c r="C63" s="5" t="inlineStr">
        <is>
          <t>Küçük tabak (gri)</t>
        </is>
      </c>
      <c r="D63" s="5" t="inlineStr">
        <is>
          <t>Mutfak Malzemesi</t>
        </is>
      </c>
      <c r="E63" s="5" t="n"/>
      <c r="F63" s="5" t="inlineStr">
        <is>
          <t>item_photos/tare_houses/small_plate_gray.jpg</t>
        </is>
      </c>
      <c r="G63" s="5" t="inlineStr">
        <is>
          <t>Var</t>
        </is>
      </c>
      <c r="H63" s="5" t="inlineStr">
        <is>
          <t>Video 18.10.2026</t>
        </is>
      </c>
      <c r="I63" s="5" t="n"/>
    </row>
    <row r="64" ht="26.4" customHeight="1">
      <c r="A64" s="5" t="inlineStr">
        <is>
          <t>Tare Houses Hotel</t>
        </is>
      </c>
      <c r="B64" s="5" t="inlineStr">
        <is>
          <t>small_plate_green</t>
        </is>
      </c>
      <c r="C64" s="5" t="inlineStr">
        <is>
          <t>Küçük tabak (yeşil)</t>
        </is>
      </c>
      <c r="D64" s="5" t="inlineStr">
        <is>
          <t>Mutfak Malzemesi</t>
        </is>
      </c>
      <c r="E64" s="5" t="n"/>
      <c r="F64" s="5" t="inlineStr">
        <is>
          <t>item_photos/tare_houses/saucer_plate_olive.jpg</t>
        </is>
      </c>
      <c r="G64" s="5" t="inlineStr">
        <is>
          <t>Var</t>
        </is>
      </c>
      <c r="H64" s="5" t="inlineStr">
        <is>
          <t>Video 18.10.2026</t>
        </is>
      </c>
      <c r="I64" s="5" t="n"/>
    </row>
    <row r="65">
      <c r="A65" s="5" t="inlineStr">
        <is>
          <t>Tare Houses Hotel</t>
        </is>
      </c>
      <c r="B65" s="5" t="inlineStr">
        <is>
          <t>trivet</t>
        </is>
      </c>
      <c r="C65" s="5" t="inlineStr">
        <is>
          <t>Mantar nihale</t>
        </is>
      </c>
      <c r="D65" s="5" t="inlineStr">
        <is>
          <t>Mutfak Malzemesi</t>
        </is>
      </c>
      <c r="E65" s="5" t="n"/>
      <c r="F65" s="7" t="n"/>
      <c r="G65" s="5" t="inlineStr">
        <is>
          <t>Çekilecek</t>
        </is>
      </c>
      <c r="H65" s="5" t="inlineStr">
        <is>
          <t>Video 18.10.2026</t>
        </is>
      </c>
      <c r="I65" s="5" t="n"/>
    </row>
    <row r="66">
      <c r="A66" s="5" t="inlineStr">
        <is>
          <t>Tare Houses Hotel</t>
        </is>
      </c>
      <c r="B66" s="5" t="inlineStr">
        <is>
          <t>silicone_slotted</t>
        </is>
      </c>
      <c r="C66" s="5" t="inlineStr">
        <is>
          <t>Silikon delikli kepçe</t>
        </is>
      </c>
      <c r="D66" s="5" t="inlineStr">
        <is>
          <t>Mutfak Malzemesi</t>
        </is>
      </c>
      <c r="E66" s="5" t="n"/>
      <c r="F66" s="5" t="inlineStr">
        <is>
          <t>item_photos/tare_houses/silicone_skimmer.jpg</t>
        </is>
      </c>
      <c r="G66" s="5" t="inlineStr">
        <is>
          <t>Var</t>
        </is>
      </c>
      <c r="H66" s="5" t="inlineStr">
        <is>
          <t>Video 18.10.2026</t>
        </is>
      </c>
      <c r="I66" s="5" t="n"/>
    </row>
    <row r="67" ht="26.4" customHeight="1">
      <c r="A67" s="5" t="inlineStr">
        <is>
          <t>Tare Houses Hotel</t>
        </is>
      </c>
      <c r="B67" s="5" t="inlineStr">
        <is>
          <t>silicone_spoon</t>
        </is>
      </c>
      <c r="C67" s="5" t="inlineStr">
        <is>
          <t>Silikon servis kaşığı</t>
        </is>
      </c>
      <c r="D67" s="5" t="inlineStr">
        <is>
          <t>Mutfak Malzemesi</t>
        </is>
      </c>
      <c r="E67" s="5" t="n"/>
      <c r="F67" s="5" t="inlineStr">
        <is>
          <t>item_photos/tare_houses/silicone_serving_spoon.jpg</t>
        </is>
      </c>
      <c r="G67" s="5" t="inlineStr">
        <is>
          <t>Var</t>
        </is>
      </c>
      <c r="H67" s="5" t="inlineStr">
        <is>
          <t>Video 18.10.2026</t>
        </is>
      </c>
      <c r="I67" s="5" t="n"/>
    </row>
    <row r="68">
      <c r="A68" s="5" t="inlineStr">
        <is>
          <t>Tare Houses Hotel</t>
        </is>
      </c>
      <c r="B68" s="5" t="inlineStr">
        <is>
          <t>sauce_bowl</t>
        </is>
      </c>
      <c r="C68" s="5" t="inlineStr">
        <is>
          <t>Sos kasesi (krem)</t>
        </is>
      </c>
      <c r="D68" s="5" t="inlineStr">
        <is>
          <t>Mutfak Malzemesi</t>
        </is>
      </c>
      <c r="E68" s="5" t="n"/>
      <c r="F68" s="5" t="inlineStr">
        <is>
          <t>item_photos/tare_houses/sauce_bowl.jpg</t>
        </is>
      </c>
      <c r="G68" s="5" t="inlineStr">
        <is>
          <t>Var</t>
        </is>
      </c>
      <c r="H68" s="5" t="inlineStr">
        <is>
          <t>Video 18.10.2026</t>
        </is>
      </c>
      <c r="I68" s="5" t="n"/>
    </row>
    <row r="69">
      <c r="A69" s="5" t="inlineStr">
        <is>
          <t>Tare Houses Hotel</t>
        </is>
      </c>
      <c r="B69" s="5" t="inlineStr">
        <is>
          <t>water_glass</t>
        </is>
      </c>
      <c r="C69" s="5" t="inlineStr">
        <is>
          <t>Su bardağı</t>
        </is>
      </c>
      <c r="D69" s="5" t="inlineStr">
        <is>
          <t>Mutfak Malzemesi</t>
        </is>
      </c>
      <c r="E69" s="5" t="n"/>
      <c r="F69" s="5" t="inlineStr">
        <is>
          <t>item_photos/tare_houses/water_glass.jpg</t>
        </is>
      </c>
      <c r="G69" s="5" t="inlineStr">
        <is>
          <t>Var</t>
        </is>
      </c>
      <c r="H69" s="5" t="inlineStr">
        <is>
          <t>Video 18.10.2026</t>
        </is>
      </c>
      <c r="I69" s="5" t="n"/>
    </row>
    <row r="70">
      <c r="A70" s="5" t="inlineStr">
        <is>
          <t>Tare Houses Hotel</t>
        </is>
      </c>
      <c r="B70" s="5" t="inlineStr">
        <is>
          <t>frying_pan</t>
        </is>
      </c>
      <c r="C70" s="5" t="inlineStr">
        <is>
          <t>Tava</t>
        </is>
      </c>
      <c r="D70" s="5" t="inlineStr">
        <is>
          <t>Mutfak Malzemesi</t>
        </is>
      </c>
      <c r="E70" s="5" t="n"/>
      <c r="F70" s="7" t="n"/>
      <c r="G70" s="5" t="inlineStr">
        <is>
          <t>Çekilecek</t>
        </is>
      </c>
      <c r="H70" s="5" t="inlineStr">
        <is>
          <t>Video 18.10.2026</t>
        </is>
      </c>
      <c r="I70" s="5" t="n"/>
    </row>
    <row r="71">
      <c r="A71" s="5" t="inlineStr">
        <is>
          <t>Tare Houses Hotel</t>
        </is>
      </c>
      <c r="B71" s="5" t="inlineStr">
        <is>
          <t>pot</t>
        </is>
      </c>
      <c r="C71" s="5" t="inlineStr">
        <is>
          <t>Tencere + kapak</t>
        </is>
      </c>
      <c r="D71" s="5" t="inlineStr">
        <is>
          <t>Mutfak Malzemesi</t>
        </is>
      </c>
      <c r="E71" s="5" t="n"/>
      <c r="F71" s="7" t="n"/>
      <c r="G71" s="5" t="inlineStr">
        <is>
          <t>Çekilecek</t>
        </is>
      </c>
      <c r="H71" s="5" t="inlineStr">
        <is>
          <t>Video 18.10.2026</t>
        </is>
      </c>
      <c r="I71" s="5" t="n"/>
    </row>
    <row r="72">
      <c r="A72" s="5" t="inlineStr">
        <is>
          <t>Tare Houses Hotel</t>
        </is>
      </c>
      <c r="B72" s="5" t="inlineStr">
        <is>
          <t>salt_pepper_set</t>
        </is>
      </c>
      <c r="C72" s="5" t="inlineStr">
        <is>
          <t>Tuz-biber-kürdan standı</t>
        </is>
      </c>
      <c r="D72" s="5" t="inlineStr">
        <is>
          <t>Mutfak Malzemesi</t>
        </is>
      </c>
      <c r="E72" s="5" t="n"/>
      <c r="F72" s="5" t="inlineStr">
        <is>
          <t>item_photos/tare_houses/salt_pepper_stand.jpg</t>
        </is>
      </c>
      <c r="G72" s="5" t="inlineStr">
        <is>
          <t>Var</t>
        </is>
      </c>
      <c r="H72" s="5" t="inlineStr">
        <is>
          <t>Video 18.10.2026</t>
        </is>
      </c>
      <c r="I72" s="5" t="n"/>
    </row>
    <row r="73">
      <c r="A73" s="5" t="inlineStr">
        <is>
          <t>Tare Houses Hotel</t>
        </is>
      </c>
      <c r="B73" s="5" t="inlineStr">
        <is>
          <t>oil_bottle</t>
        </is>
      </c>
      <c r="C73" s="5" t="inlineStr">
        <is>
          <t>Yağ şişesi</t>
        </is>
      </c>
      <c r="D73" s="5" t="inlineStr">
        <is>
          <t>Mutfak Malzemesi</t>
        </is>
      </c>
      <c r="E73" s="5" t="n"/>
      <c r="F73" s="7" t="n"/>
      <c r="G73" s="5" t="inlineStr">
        <is>
          <t>Çekilecek</t>
        </is>
      </c>
      <c r="H73" s="5" t="inlineStr">
        <is>
          <t>Video 18.10.2026</t>
        </is>
      </c>
      <c r="I73" s="5" t="n"/>
    </row>
    <row r="74">
      <c r="A74" s="5" t="inlineStr">
        <is>
          <t>Tare Houses Hotel</t>
        </is>
      </c>
      <c r="B74" s="5" t="inlineStr">
        <is>
          <t>knife</t>
        </is>
      </c>
      <c r="C74" s="5" t="inlineStr">
        <is>
          <t>Yemek bıçağı</t>
        </is>
      </c>
      <c r="D74" s="5" t="inlineStr">
        <is>
          <t>Mutfak Malzemesi</t>
        </is>
      </c>
      <c r="E74" s="5" t="n"/>
      <c r="F74" s="5" t="inlineStr">
        <is>
          <t>item_photos/tare_houses/knife_spoon.jpg</t>
        </is>
      </c>
      <c r="G74" s="5" t="inlineStr">
        <is>
          <t>Var</t>
        </is>
      </c>
      <c r="H74" s="5" t="inlineStr">
        <is>
          <t>Video 18.10.2026</t>
        </is>
      </c>
      <c r="I74" s="5" t="n"/>
    </row>
    <row r="75">
      <c r="A75" s="5" t="inlineStr">
        <is>
          <t>Tare Houses Hotel</t>
        </is>
      </c>
      <c r="B75" s="5" t="inlineStr">
        <is>
          <t>spoon</t>
        </is>
      </c>
      <c r="C75" s="5" t="inlineStr">
        <is>
          <t>Yemek kaşığı</t>
        </is>
      </c>
      <c r="D75" s="5" t="inlineStr">
        <is>
          <t>Mutfak Malzemesi</t>
        </is>
      </c>
      <c r="E75" s="5" t="n"/>
      <c r="F75" s="5" t="inlineStr">
        <is>
          <t>item_photos/tare_houses/knife_spoon.jpg</t>
        </is>
      </c>
      <c r="G75" s="5" t="inlineStr">
        <is>
          <t>Var</t>
        </is>
      </c>
      <c r="H75" s="5" t="inlineStr">
        <is>
          <t>Video 18.10.2026</t>
        </is>
      </c>
      <c r="I75" s="5" t="n"/>
    </row>
    <row r="76">
      <c r="A76" s="5" t="inlineStr">
        <is>
          <t>Tare Houses Hotel</t>
        </is>
      </c>
      <c r="B76" s="5" t="inlineStr">
        <is>
          <t>fork</t>
        </is>
      </c>
      <c r="C76" s="5" t="inlineStr">
        <is>
          <t>Yemek çatalı</t>
        </is>
      </c>
      <c r="D76" s="5" t="inlineStr">
        <is>
          <t>Mutfak Malzemesi</t>
        </is>
      </c>
      <c r="E76" s="5" t="n"/>
      <c r="F76" s="5" t="inlineStr">
        <is>
          <t>item_photos/tare_houses/fork.jpg</t>
        </is>
      </c>
      <c r="G76" s="5" t="inlineStr">
        <is>
          <t>Var</t>
        </is>
      </c>
      <c r="H76" s="5" t="inlineStr">
        <is>
          <t>Video 18.10.2026</t>
        </is>
      </c>
      <c r="I76" s="5" t="n"/>
    </row>
    <row r="77" ht="39.6" customHeight="1">
      <c r="A77" s="5" t="inlineStr">
        <is>
          <t>Tare Houses Hotel</t>
        </is>
      </c>
      <c r="B77" s="5" t="inlineStr">
        <is>
          <t>cutlery_tray</t>
        </is>
      </c>
      <c r="C77" s="5" t="inlineStr">
        <is>
          <t>Çatal-bıçak kaşıklığı (gri plastik, 5 bölmeli) – çatal, kaşık, bıçak, çay kaşığı</t>
        </is>
      </c>
      <c r="D77" s="5" t="inlineStr">
        <is>
          <t>Mutfak Malzemesi</t>
        </is>
      </c>
      <c r="E77" s="5" t="n"/>
      <c r="F77" s="5" t="inlineStr">
        <is>
          <t>item_photos/tare_houses/cutlery_tray.jpg</t>
        </is>
      </c>
      <c r="G77" s="5" t="inlineStr">
        <is>
          <t>Var</t>
        </is>
      </c>
      <c r="H77" s="5" t="inlineStr">
        <is>
          <t>Drive foto 1gBhQHIi6bzk6tGomCZtnNvQvkrdWcUKS</t>
        </is>
      </c>
      <c r="I77" s="5" t="n"/>
    </row>
    <row r="78" ht="39.6" customHeight="1">
      <c r="A78" s="5" t="inlineStr">
        <is>
          <t>Tare Houses Hotel</t>
        </is>
      </c>
      <c r="B78" s="5" t="inlineStr">
        <is>
          <t>tea_glass</t>
        </is>
      </c>
      <c r="C78" s="5" t="inlineStr">
        <is>
          <t>Çay bardağı, ince belli şeffaf cam</t>
        </is>
      </c>
      <c r="D78" s="5" t="inlineStr">
        <is>
          <t>Mutfak Malzemesi</t>
        </is>
      </c>
      <c r="E78" s="5" t="n"/>
      <c r="F78" s="5" t="inlineStr">
        <is>
          <t>item_photos/tare_houses/tea_glass.jpg</t>
        </is>
      </c>
      <c r="G78" s="5" t="inlineStr">
        <is>
          <t>Var</t>
        </is>
      </c>
      <c r="H78" s="5" t="inlineStr">
        <is>
          <t>Drive foto 1awZJAU5Wpc9nJPY0E1_3Br2lAtjrUbBV</t>
        </is>
      </c>
      <c r="I78" s="5" t="n"/>
    </row>
    <row r="79">
      <c r="A79" s="5" t="inlineStr">
        <is>
          <t>Tare Houses Hotel</t>
        </is>
      </c>
      <c r="B79" s="5" t="inlineStr">
        <is>
          <t>teaspoon</t>
        </is>
      </c>
      <c r="C79" s="5" t="inlineStr">
        <is>
          <t>Çay kaşığı</t>
        </is>
      </c>
      <c r="D79" s="5" t="inlineStr">
        <is>
          <t>Mutfak Malzemesi</t>
        </is>
      </c>
      <c r="E79" s="5" t="n"/>
      <c r="F79" s="7" t="n"/>
      <c r="G79" s="5" t="inlineStr">
        <is>
          <t>Çekilecek</t>
        </is>
      </c>
      <c r="H79" s="5" t="inlineStr">
        <is>
          <t>Video 18.10.2026</t>
        </is>
      </c>
      <c r="I79" s="5" t="n"/>
    </row>
    <row r="80">
      <c r="A80" s="5" t="inlineStr">
        <is>
          <t>Tare Houses Hotel</t>
        </is>
      </c>
      <c r="B80" s="5" t="inlineStr">
        <is>
          <t>deep_plate</t>
        </is>
      </c>
      <c r="C80" s="5" t="inlineStr">
        <is>
          <t>Çukur tabak (yeşil)</t>
        </is>
      </c>
      <c r="D80" s="5" t="inlineStr">
        <is>
          <t>Mutfak Malzemesi</t>
        </is>
      </c>
      <c r="E80" s="5" t="n"/>
      <c r="F80" s="5" t="inlineStr">
        <is>
          <t>item_photos/tare_houses/deep_plate.jpg</t>
        </is>
      </c>
      <c r="G80" s="5" t="inlineStr">
        <is>
          <t>Var</t>
        </is>
      </c>
      <c r="H80" s="5" t="inlineStr">
        <is>
          <t>Video 18.10.2026</t>
        </is>
      </c>
      <c r="I80" s="5" t="n"/>
    </row>
    <row r="81">
      <c r="A81" s="5" t="inlineStr">
        <is>
          <t>Tare Houses Hotel</t>
        </is>
      </c>
      <c r="B81" s="5" t="inlineStr">
        <is>
          <t>corkscrew</t>
        </is>
      </c>
      <c r="C81" s="5" t="inlineStr">
        <is>
          <t>Şarap açacağı</t>
        </is>
      </c>
      <c r="D81" s="5" t="inlineStr">
        <is>
          <t>Mutfak Malzemesi</t>
        </is>
      </c>
      <c r="E81" s="5" t="n"/>
      <c r="F81" s="5" t="inlineStr">
        <is>
          <t>item_photos/tare_houses/corkscrew.jpg</t>
        </is>
      </c>
      <c r="G81" s="5" t="inlineStr">
        <is>
          <t>Var</t>
        </is>
      </c>
      <c r="H81" s="5" t="inlineStr">
        <is>
          <t>Video 18.10.2026</t>
        </is>
      </c>
      <c r="I81" s="5" t="n"/>
    </row>
    <row r="82">
      <c r="A82" s="5" t="inlineStr">
        <is>
          <t>Tare Houses Hotel</t>
        </is>
      </c>
      <c r="B82" s="5" t="inlineStr">
        <is>
          <t>wine_glass</t>
        </is>
      </c>
      <c r="C82" s="5" t="inlineStr">
        <is>
          <t>Şarap kadehi</t>
        </is>
      </c>
      <c r="D82" s="5" t="inlineStr">
        <is>
          <t>Mutfak Malzemesi</t>
        </is>
      </c>
      <c r="E82" s="5" t="n"/>
      <c r="F82" s="5" t="inlineStr">
        <is>
          <t>item_photos/tare_houses/wine_glass.jpg</t>
        </is>
      </c>
      <c r="G82" s="5" t="inlineStr">
        <is>
          <t>Var</t>
        </is>
      </c>
      <c r="H82" s="5" t="inlineStr">
        <is>
          <t>Video 18.10.2026</t>
        </is>
      </c>
      <c r="I82" s="5" t="n"/>
    </row>
    <row r="83">
      <c r="A83" s="5" t="inlineStr">
        <is>
          <t>Tare Houses Hotel</t>
        </is>
      </c>
      <c r="B83" s="5" t="inlineStr">
        <is>
          <t>water</t>
        </is>
      </c>
      <c r="C83" s="5" t="inlineStr">
        <is>
          <t>Su (şişe)</t>
        </is>
      </c>
      <c r="D83" s="5" t="inlineStr">
        <is>
          <t>İçecek</t>
        </is>
      </c>
      <c r="E83" s="5" t="n"/>
      <c r="F83" s="7" t="inlineStr">
        <is>
          <t>item_photos/suites_urla/wc_set.jpg</t>
        </is>
      </c>
      <c r="G83" s="5" t="inlineStr">
        <is>
          <t>Çekilecek</t>
        </is>
      </c>
      <c r="H83" s="5" t="inlineStr">
        <is>
          <t>Video 18.10.2026</t>
        </is>
      </c>
      <c r="I83" s="5" t="n"/>
    </row>
    <row r="84">
      <c r="A84" s="5" t="inlineStr">
        <is>
          <t>Tare Houses Hotel</t>
        </is>
      </c>
      <c r="B84" s="5" t="inlineStr">
        <is>
          <t>coffee</t>
        </is>
      </c>
      <c r="C84" s="5" t="inlineStr">
        <is>
          <t>Kahve (stick/kapsül)</t>
        </is>
      </c>
      <c r="D84" s="5" t="inlineStr">
        <is>
          <t>İkram</t>
        </is>
      </c>
      <c r="E84" s="5" t="n"/>
      <c r="F84" s="7" t="n"/>
      <c r="G84" s="5" t="inlineStr">
        <is>
          <t>Çekilecek</t>
        </is>
      </c>
      <c r="H84" s="5" t="inlineStr">
        <is>
          <t>Video 18.10.2026</t>
        </is>
      </c>
      <c r="I84" s="5" t="n"/>
    </row>
    <row r="85">
      <c r="A85" s="5" t="inlineStr">
        <is>
          <t>Tare Houses Hotel</t>
        </is>
      </c>
      <c r="B85" s="5" t="inlineStr">
        <is>
          <t>tea</t>
        </is>
      </c>
      <c r="C85" s="5" t="inlineStr">
        <is>
          <t>Çay (poşet)</t>
        </is>
      </c>
      <c r="D85" s="5" t="inlineStr">
        <is>
          <t>İkram</t>
        </is>
      </c>
      <c r="E85" s="5" t="n"/>
      <c r="F85" s="7" t="n"/>
      <c r="G85" s="5" t="inlineStr">
        <is>
          <t>Çekilecek</t>
        </is>
      </c>
      <c r="H85" s="5" t="inlineStr">
        <is>
          <t>Video 18.10.2026</t>
        </is>
      </c>
      <c r="I85" s="5" t="n"/>
    </row>
    <row r="86">
      <c r="A86" s="5" t="inlineStr">
        <is>
          <t>Tare Houses Hotel</t>
        </is>
      </c>
      <c r="B86" s="5" t="inlineStr">
        <is>
          <t>sugar</t>
        </is>
      </c>
      <c r="C86" s="5" t="inlineStr">
        <is>
          <t>Şeker (stick)</t>
        </is>
      </c>
      <c r="D86" s="5" t="inlineStr">
        <is>
          <t>İkram</t>
        </is>
      </c>
      <c r="E86" s="5" t="n"/>
      <c r="F86" s="7" t="n"/>
      <c r="G86" s="5" t="inlineStr">
        <is>
          <t>Çekilecek</t>
        </is>
      </c>
      <c r="H86" s="5" t="inlineStr">
        <is>
          <t>Video 18.10.2026</t>
        </is>
      </c>
      <c r="I86" s="5" t="n"/>
    </row>
    <row r="87" ht="66" customHeight="1">
      <c r="A87" s="5" t="inlineStr">
        <is>
          <t>Tare Suites Urla</t>
        </is>
      </c>
      <c r="B87" s="5" t="inlineStr">
        <is>
          <t>asma_klozet</t>
        </is>
      </c>
      <c r="C87" s="5" t="inlineStr">
        <is>
          <t>Asma klozet + gömme rezervuar</t>
        </is>
      </c>
      <c r="D87" s="5" t="inlineStr">
        <is>
          <t>Demirbaş</t>
        </is>
      </c>
      <c r="E87" s="5" t="n"/>
      <c r="F87" s="7" t="inlineStr">
        <is>
          <t>item_photos/suites_urla/wc_set.jpg</t>
        </is>
      </c>
      <c r="G87" s="5" t="inlineStr">
        <is>
          <t>Var</t>
        </is>
      </c>
      <c r="H87" s="5" t="inlineStr">
        <is>
          <t>Drive foto EDR_IMG_1221 / DSSW_IMG_1216 / EXSB_IMG_1222 / DS_IMG_1541 / DFS_IMG_1159</t>
        </is>
      </c>
      <c r="I87" s="5" t="n"/>
    </row>
    <row r="88" ht="26.4" customHeight="1">
      <c r="A88" s="5" t="inlineStr">
        <is>
          <t>Tare Suites Urla</t>
        </is>
      </c>
      <c r="B88" s="5" t="inlineStr">
        <is>
          <t>ikram_tepsisi</t>
        </is>
      </c>
      <c r="C88" s="5" t="inlineStr">
        <is>
          <t>Bambu ikram tepsisi</t>
        </is>
      </c>
      <c r="D88" s="5" t="inlineStr">
        <is>
          <t>Demirbaş</t>
        </is>
      </c>
      <c r="E88" s="5" t="n"/>
      <c r="F88" s="5" t="inlineStr">
        <is>
          <t>item_photos/suites_urla/ikram_tepsisi.jpg</t>
        </is>
      </c>
      <c r="G88" s="5" t="inlineStr">
        <is>
          <t>Var</t>
        </is>
      </c>
      <c r="H88" s="5" t="inlineStr">
        <is>
          <t>Drive foto EDR_IMG_1218 / DFS_IMG_1152</t>
        </is>
      </c>
      <c r="I88" s="5" t="n"/>
    </row>
    <row r="89" ht="52.8" customHeight="1">
      <c r="A89" s="5" t="inlineStr">
        <is>
          <t>Tare Suites Urla</t>
        </is>
      </c>
      <c r="B89" s="5" t="inlineStr">
        <is>
          <t>banyo_aynasi</t>
        </is>
      </c>
      <c r="C89" s="5" t="inlineStr">
        <is>
          <t>Banyo aynası</t>
        </is>
      </c>
      <c r="D89" s="5" t="inlineStr">
        <is>
          <t>Demirbaş</t>
        </is>
      </c>
      <c r="E89" s="5" t="n"/>
      <c r="F89" s="7" t="inlineStr">
        <is>
          <t>item_photos/suites_urla/yuvarlak_ayna.jpg</t>
        </is>
      </c>
      <c r="G89" s="5" t="inlineStr">
        <is>
          <t>Var</t>
        </is>
      </c>
      <c r="H89" s="5" t="inlineStr">
        <is>
          <t>Drive foto EDR_IMG_1220 / DSSW_IMG_1215 / EXSB_IMG_1222 / DS_IMG_1542</t>
        </is>
      </c>
      <c r="I89" s="5" t="n"/>
    </row>
    <row r="90" ht="26.4" customHeight="1">
      <c r="A90" s="5" t="inlineStr">
        <is>
          <t>Tare Suites Urla</t>
        </is>
      </c>
      <c r="B90" s="5" t="inlineStr">
        <is>
          <t>duman_dedektoru</t>
        </is>
      </c>
      <c r="C90" s="5" t="inlineStr">
        <is>
          <t>Duman dedektörü</t>
        </is>
      </c>
      <c r="D90" s="5" t="inlineStr">
        <is>
          <t>Demirbaş</t>
        </is>
      </c>
      <c r="E90" s="5" t="n"/>
      <c r="F90" s="7" t="inlineStr">
        <is>
          <t>item_photos/suites_urla/duvar_tv.jpg</t>
        </is>
      </c>
      <c r="G90" s="5" t="inlineStr">
        <is>
          <t>Çekilecek</t>
        </is>
      </c>
      <c r="H90" s="5" t="inlineStr">
        <is>
          <t>Drive foto EDR_IMG_1218 / DSSW_IMG_1211</t>
        </is>
      </c>
      <c r="I90" s="5" t="n"/>
    </row>
    <row r="91" ht="66" customHeight="1">
      <c r="A91" s="5" t="inlineStr">
        <is>
          <t>Tare Suites Urla</t>
        </is>
      </c>
      <c r="B91" s="5" t="inlineStr">
        <is>
          <t>aplik</t>
        </is>
      </c>
      <c r="C91" s="5" t="inlineStr">
        <is>
          <t>Duvar apliği</t>
        </is>
      </c>
      <c r="D91" s="5" t="inlineStr">
        <is>
          <t>Demirbaş</t>
        </is>
      </c>
      <c r="E91" s="5" t="n"/>
      <c r="F91" s="7" t="n"/>
      <c r="G91" s="5" t="inlineStr">
        <is>
          <t>Çekilecek</t>
        </is>
      </c>
      <c r="H91" s="5" t="inlineStr">
        <is>
          <t>Drive foto EDR_IMG_1545 / DSSW_IMG_1214 / EXSB_IMG_1225 / DS_IMG_1539 / DFS_IMG_1161</t>
        </is>
      </c>
      <c r="I91" s="5" t="n"/>
    </row>
    <row r="92" ht="66" customHeight="1">
      <c r="A92" s="5" t="inlineStr">
        <is>
          <t>Tare Suites Urla</t>
        </is>
      </c>
      <c r="B92" s="5" t="inlineStr">
        <is>
          <t>havlu_rafi</t>
        </is>
      </c>
      <c r="C92" s="5" t="inlineStr">
        <is>
          <t>Duvar havlu rafı (krom, 2 katlı)</t>
        </is>
      </c>
      <c r="D92" s="5" t="inlineStr">
        <is>
          <t>Demirbaş</t>
        </is>
      </c>
      <c r="E92" s="5" t="n"/>
      <c r="F92" s="5" t="inlineStr">
        <is>
          <t>item_photos/suites_urla/havlu_rafi.jpg</t>
        </is>
      </c>
      <c r="G92" s="5" t="inlineStr">
        <is>
          <t>Var</t>
        </is>
      </c>
      <c r="H92" s="5" t="inlineStr">
        <is>
          <t>Drive foto EDR_IMG_1221 / DSSW_IMG_1216 / EXSB_IMG_1222 / DS_IMG_1541 / DFS_IMG_1158</t>
        </is>
      </c>
      <c r="I92" s="5" t="n"/>
    </row>
    <row r="93" ht="66" customHeight="1">
      <c r="A93" s="5" t="inlineStr">
        <is>
          <t>Tare Suites Urla</t>
        </is>
      </c>
      <c r="B93" s="5" t="inlineStr">
        <is>
          <t>tablo</t>
        </is>
      </c>
      <c r="C93" s="5" t="inlineStr">
        <is>
          <t>Duvar tablosu</t>
        </is>
      </c>
      <c r="D93" s="5" t="inlineStr">
        <is>
          <t>Demirbaş</t>
        </is>
      </c>
      <c r="E93" s="5" t="n"/>
      <c r="F93" s="7" t="inlineStr">
        <is>
          <t>item_photos/suites_urla/gardirop.jpg</t>
        </is>
      </c>
      <c r="G93" s="5" t="inlineStr">
        <is>
          <t>Çekilecek</t>
        </is>
      </c>
      <c r="H93" s="5" t="inlineStr">
        <is>
          <t>Drive foto EDR_IMG_1543 / DSSW_IMG_1214 / EXSB_IMG_1223 / DS_IMG_1539 / DFS_IMG_1160</t>
        </is>
      </c>
      <c r="I93" s="5" t="n"/>
    </row>
    <row r="94" ht="66" customHeight="1">
      <c r="A94" s="5" t="inlineStr">
        <is>
          <t>Tare Suites Urla</t>
        </is>
      </c>
      <c r="B94" s="5" t="inlineStr">
        <is>
          <t>duvar_tv</t>
        </is>
      </c>
      <c r="C94" s="5" t="inlineStr">
        <is>
          <t>Duvar tipi TV</t>
        </is>
      </c>
      <c r="D94" s="5" t="inlineStr">
        <is>
          <t>Demirbaş</t>
        </is>
      </c>
      <c r="E94" s="5" t="n"/>
      <c r="F94" s="5" t="inlineStr">
        <is>
          <t>item_photos/suites_urla/duvar_tv.jpg</t>
        </is>
      </c>
      <c r="G94" s="5" t="inlineStr">
        <is>
          <t>Var</t>
        </is>
      </c>
      <c r="H94" s="5" t="inlineStr">
        <is>
          <t>Drive foto EDR_IMG_1219 / DSSW_IMG_1213 / EXSB_IMG_1226 / DS_IMG_1537 / DFS_IMG_1153</t>
        </is>
      </c>
      <c r="I94" s="5" t="n"/>
    </row>
    <row r="95" ht="26.4" customHeight="1">
      <c r="A95" s="5" t="inlineStr">
        <is>
          <t>Tare Suites Urla</t>
        </is>
      </c>
      <c r="B95" s="5" t="inlineStr">
        <is>
          <t>dus_rafi</t>
        </is>
      </c>
      <c r="C95" s="5" t="inlineStr">
        <is>
          <t>Duş içi tel raf/sepet</t>
        </is>
      </c>
      <c r="D95" s="5" t="inlineStr">
        <is>
          <t>Demirbaş</t>
        </is>
      </c>
      <c r="E95" s="5" t="n"/>
      <c r="F95" s="7" t="inlineStr">
        <is>
          <t>item_photos/suites_urla/calisma_masasi_ayna.jpg</t>
        </is>
      </c>
      <c r="G95" s="5" t="inlineStr">
        <is>
          <t>Çekilecek</t>
        </is>
      </c>
      <c r="H95" s="5" t="inlineStr">
        <is>
          <t>Drive foto EDR_IMG_1220 / DSSW_IMG_1215</t>
        </is>
      </c>
      <c r="I95" s="5" t="n"/>
    </row>
    <row r="96" ht="66" customHeight="1">
      <c r="A96" s="5" t="inlineStr">
        <is>
          <t>Tare Suites Urla</t>
        </is>
      </c>
      <c r="B96" s="5" t="inlineStr">
        <is>
          <t>dus_kabini</t>
        </is>
      </c>
      <c r="C96" s="5" t="inlineStr">
        <is>
          <t>Duş kabini (cam, köşe)</t>
        </is>
      </c>
      <c r="D96" s="5" t="inlineStr">
        <is>
          <t>Demirbaş</t>
        </is>
      </c>
      <c r="E96" s="5" t="n"/>
      <c r="F96" s="7" t="inlineStr">
        <is>
          <t>item_photos/suites_urla/dus_kabini.jpg</t>
        </is>
      </c>
      <c r="G96" s="5" t="inlineStr">
        <is>
          <t>Var</t>
        </is>
      </c>
      <c r="H96" s="5" t="inlineStr">
        <is>
          <t>Drive foto EDR_IMG_1220 / DSSW_IMG_1215 / EXSB_IMG_1222 / DS_IMG_1541 / DFS_IMG_1158</t>
        </is>
      </c>
      <c r="I96" s="5" t="n"/>
    </row>
    <row r="97">
      <c r="A97" s="5" t="inlineStr">
        <is>
          <t>Tare Suites Urla</t>
        </is>
      </c>
      <c r="B97" s="5" t="inlineStr">
        <is>
          <t>gardirop</t>
        </is>
      </c>
      <c r="C97" s="5" t="inlineStr">
        <is>
          <t>Gardırop (2 kapaklı)</t>
        </is>
      </c>
      <c r="D97" s="5" t="inlineStr">
        <is>
          <t>Demirbaş</t>
        </is>
      </c>
      <c r="E97" s="5" t="n"/>
      <c r="F97" s="7" t="inlineStr">
        <is>
          <t>item_photos/suites_urla/gardirop.jpg</t>
        </is>
      </c>
      <c r="G97" s="5" t="inlineStr">
        <is>
          <t>Var</t>
        </is>
      </c>
      <c r="H97" s="5" t="inlineStr">
        <is>
          <t>Drive foto EXSB_IMG_1226</t>
        </is>
      </c>
      <c r="I97" s="5" t="n"/>
    </row>
    <row r="98" ht="66" customHeight="1">
      <c r="A98" s="5" t="inlineStr">
        <is>
          <t>Tare Suites Urla</t>
        </is>
      </c>
      <c r="B98" s="5" t="inlineStr">
        <is>
          <t>komodin</t>
        </is>
      </c>
      <c r="C98" s="5" t="inlineStr">
        <is>
          <t>Komodin (çekmeceli, açık raflı)</t>
        </is>
      </c>
      <c r="D98" s="5" t="inlineStr">
        <is>
          <t>Demirbaş</t>
        </is>
      </c>
      <c r="E98" s="5" t="n"/>
      <c r="F98" s="5" t="inlineStr">
        <is>
          <t>item_photos/suites_urla/komodin.jpg</t>
        </is>
      </c>
      <c r="G98" s="5" t="inlineStr">
        <is>
          <t>Var</t>
        </is>
      </c>
      <c r="H98" s="5" t="inlineStr">
        <is>
          <t>Drive foto EDR_IMG_1543 / DSSW_IMG_1214 / EXSB_IMG_1225 / DS_IMG_1539 / DFS_IMG_1161</t>
        </is>
      </c>
      <c r="I98" s="5" t="n"/>
    </row>
    <row r="99" ht="52.8" customHeight="1">
      <c r="A99" s="5" t="inlineStr">
        <is>
          <t>Tare Suites Urla</t>
        </is>
      </c>
      <c r="B99" s="5" t="inlineStr">
        <is>
          <t>calisma_masasi_ayna</t>
        </is>
      </c>
      <c r="C99" s="5" t="inlineStr">
        <is>
          <t>Konsol/çalışma masası + duvar aynası</t>
        </is>
      </c>
      <c r="D99" s="5" t="inlineStr">
        <is>
          <t>Demirbaş</t>
        </is>
      </c>
      <c r="E99" s="5" t="n"/>
      <c r="F99" s="5" t="inlineStr">
        <is>
          <t>item_photos/suites_urla/calisma_masasi_ayna.jpg</t>
        </is>
      </c>
      <c r="G99" s="5" t="inlineStr">
        <is>
          <t>Var</t>
        </is>
      </c>
      <c r="H99" s="5" t="inlineStr">
        <is>
          <t>Drive foto EDR_IMG_1219 / DSSW_IMG_1211 / EXSB_IMG_1226 / DS_IMG_1537</t>
        </is>
      </c>
      <c r="I99" s="5" t="n"/>
    </row>
    <row r="100">
      <c r="A100" s="5" t="inlineStr">
        <is>
          <t>Tare Suites Urla</t>
        </is>
      </c>
      <c r="B100" s="5" t="inlineStr">
        <is>
          <t>kumanda</t>
        </is>
      </c>
      <c r="C100" s="5" t="inlineStr">
        <is>
          <t>Kumanda (TV + klima)</t>
        </is>
      </c>
      <c r="D100" s="5" t="inlineStr">
        <is>
          <t>Demirbaş</t>
        </is>
      </c>
      <c r="E100" s="5" t="n"/>
      <c r="F100" s="7" t="n"/>
      <c r="G100" s="5" t="inlineStr">
        <is>
          <t>Çekilecek</t>
        </is>
      </c>
      <c r="H100" s="5" t="inlineStr">
        <is>
          <t>Drive foto</t>
        </is>
      </c>
      <c r="I100" s="5" t="n"/>
    </row>
    <row r="101" ht="66" customHeight="1">
      <c r="A101" s="5" t="inlineStr">
        <is>
          <t>Tare Suites Urla</t>
        </is>
      </c>
      <c r="B101" s="5" t="inlineStr">
        <is>
          <t>lavabo_dolabi</t>
        </is>
      </c>
      <c r="C101" s="5" t="inlineStr">
        <is>
          <t>Lavabo + alt dolap</t>
        </is>
      </c>
      <c r="D101" s="5" t="inlineStr">
        <is>
          <t>Demirbaş</t>
        </is>
      </c>
      <c r="E101" s="5" t="n"/>
      <c r="F101" s="7" t="inlineStr">
        <is>
          <t>item_photos/suites_urla/masa_sandalye_seti.jpg</t>
        </is>
      </c>
      <c r="G101" s="5" t="inlineStr">
        <is>
          <t>Çekilecek</t>
        </is>
      </c>
      <c r="H101" s="5" t="inlineStr">
        <is>
          <t>Drive foto EDR_IMG_1220 / DSSW_IMG_1215 / EXSB_IMG_1222 / DS_IMG_1542 / DFS_IMG_1158</t>
        </is>
      </c>
      <c r="I101" s="5" t="n"/>
    </row>
    <row r="102" ht="52.8" customHeight="1">
      <c r="A102" s="5" t="inlineStr">
        <is>
          <t>Tare Suites Urla</t>
        </is>
      </c>
      <c r="B102" s="5" t="inlineStr">
        <is>
          <t>mini_buzdolabi</t>
        </is>
      </c>
      <c r="C102" s="5" t="inlineStr">
        <is>
          <t>Mini buzdolabı (masa altı)</t>
        </is>
      </c>
      <c r="D102" s="5" t="inlineStr">
        <is>
          <t>Demirbaş</t>
        </is>
      </c>
      <c r="E102" s="5" t="n"/>
      <c r="F102" s="5" t="inlineStr">
        <is>
          <t>item_photos/suites_urla/mini_buzdolabi.jpg</t>
        </is>
      </c>
      <c r="G102" s="5" t="inlineStr">
        <is>
          <t>Var</t>
        </is>
      </c>
      <c r="H102" s="5" t="inlineStr">
        <is>
          <t>Drive foto EDR_IMG_1219 / DSSW_IMG_1211 / EXSB_IMG_1226 / DS_IMG_1537</t>
        </is>
      </c>
      <c r="I102" s="5" t="n"/>
    </row>
    <row r="103" ht="26.4" customHeight="1">
      <c r="A103" s="5" t="inlineStr">
        <is>
          <t>Tare Suites Urla</t>
        </is>
      </c>
      <c r="B103" s="5" t="inlineStr">
        <is>
          <t>banyo_cop_kovasi</t>
        </is>
      </c>
      <c r="C103" s="5" t="inlineStr">
        <is>
          <t>Pedallı çöp kovası (siyah)</t>
        </is>
      </c>
      <c r="D103" s="5" t="inlineStr">
        <is>
          <t>Demirbaş</t>
        </is>
      </c>
      <c r="E103" s="5" t="n"/>
      <c r="F103" s="5" t="inlineStr">
        <is>
          <t>item_photos/suites_urla/wc_set.jpg</t>
        </is>
      </c>
      <c r="G103" s="5" t="inlineStr">
        <is>
          <t>Var</t>
        </is>
      </c>
      <c r="H103" s="5" t="inlineStr">
        <is>
          <t>Drive foto EDR_IMG_1221 / DS_IMG_1541</t>
        </is>
      </c>
      <c r="I103" s="5" t="n"/>
    </row>
    <row r="104" ht="26.4" customHeight="1">
      <c r="A104" s="5" t="inlineStr">
        <is>
          <t>Tare Suites Urla</t>
        </is>
      </c>
      <c r="B104" s="5" t="inlineStr">
        <is>
          <t>perde_tul</t>
        </is>
      </c>
      <c r="C104" s="5" t="inlineStr">
        <is>
          <t>Perde + tül takımı</t>
        </is>
      </c>
      <c r="D104" s="5" t="inlineStr">
        <is>
          <t>Demirbaş</t>
        </is>
      </c>
      <c r="E104" s="5" t="n"/>
      <c r="F104" s="7" t="inlineStr">
        <is>
          <t>item_photos/suites_urla/kettle.jpg</t>
        </is>
      </c>
      <c r="G104" s="5" t="inlineStr">
        <is>
          <t>Çekilecek</t>
        </is>
      </c>
      <c r="H104" s="5" t="inlineStr">
        <is>
          <t>Drive foto EDR_IMG_1218 / DSSW_IMG_1212</t>
        </is>
      </c>
      <c r="I104" s="5" t="n"/>
    </row>
    <row r="105" ht="52.8" customHeight="1">
      <c r="A105" s="5" t="inlineStr">
        <is>
          <t>Tare Suites Urla</t>
        </is>
      </c>
      <c r="B105" s="5" t="inlineStr">
        <is>
          <t>sandalye</t>
        </is>
      </c>
      <c r="C105" s="5" t="inlineStr">
        <is>
          <t>Sandalye (hasır sırtlı, beyaz minder)</t>
        </is>
      </c>
      <c r="D105" s="5" t="inlineStr">
        <is>
          <t>Demirbaş</t>
        </is>
      </c>
      <c r="E105" s="5" t="n"/>
      <c r="F105" s="5" t="inlineStr">
        <is>
          <t>item_photos/suites_urla/masa_sandalye_seti.jpg</t>
        </is>
      </c>
      <c r="G105" s="5" t="inlineStr">
        <is>
          <t>Var</t>
        </is>
      </c>
      <c r="H105" s="5" t="inlineStr">
        <is>
          <t>Drive foto DSSW_IMG_1212 / EXSB_IMG_1223 / DS_IMG_1537 / DFS_IMG_1154</t>
        </is>
      </c>
      <c r="I105" s="5" t="n"/>
    </row>
    <row r="106">
      <c r="A106" s="5" t="inlineStr">
        <is>
          <t>Tare Suites Urla</t>
        </is>
      </c>
      <c r="B106" s="5" t="inlineStr">
        <is>
          <t>sac_kurutma</t>
        </is>
      </c>
      <c r="C106" s="5" t="inlineStr">
        <is>
          <t>Saç kurutma makinesi (beyaz)</t>
        </is>
      </c>
      <c r="D106" s="5" t="inlineStr">
        <is>
          <t>Demirbaş</t>
        </is>
      </c>
      <c r="E106" s="5" t="n"/>
      <c r="F106" s="5" t="inlineStr">
        <is>
          <t>item_photos/suites_urla/sac_kurutma.jpg</t>
        </is>
      </c>
      <c r="G106" s="5" t="inlineStr">
        <is>
          <t>Var</t>
        </is>
      </c>
      <c r="H106" s="5" t="inlineStr">
        <is>
          <t>Drive foto EDR_IMG_1220</t>
        </is>
      </c>
      <c r="I106" s="5" t="n"/>
    </row>
    <row r="107" ht="66" customHeight="1">
      <c r="A107" s="5" t="inlineStr">
        <is>
          <t>Tare Suites Urla</t>
        </is>
      </c>
      <c r="B107" s="5" t="inlineStr">
        <is>
          <t>klima</t>
        </is>
      </c>
      <c r="C107" s="5" t="inlineStr">
        <is>
          <t>Split klima</t>
        </is>
      </c>
      <c r="D107" s="5" t="inlineStr">
        <is>
          <t>Demirbaş</t>
        </is>
      </c>
      <c r="E107" s="5" t="n"/>
      <c r="F107" s="7" t="inlineStr">
        <is>
          <t>item_photos/suites_urla/klima.jpg</t>
        </is>
      </c>
      <c r="G107" s="5" t="inlineStr">
        <is>
          <t>Var</t>
        </is>
      </c>
      <c r="H107" s="5" t="inlineStr">
        <is>
          <t>Drive foto EDR_IMG_1219 / DSSW_IMG_1214 / EXSB_IMG_1226 / DS_IMG_1537 / DFS_IMG_1153</t>
        </is>
      </c>
      <c r="I107" s="5" t="n"/>
    </row>
    <row r="108" ht="66" customHeight="1">
      <c r="A108" s="5" t="inlineStr">
        <is>
          <t>Tare Suites Urla</t>
        </is>
      </c>
      <c r="B108" s="5" t="inlineStr">
        <is>
          <t>kettle</t>
        </is>
      </c>
      <c r="C108" s="5" t="inlineStr">
        <is>
          <t>Su ısıtıcısı (beyaz kettle)</t>
        </is>
      </c>
      <c r="D108" s="5" t="inlineStr">
        <is>
          <t>Demirbaş</t>
        </is>
      </c>
      <c r="E108" s="5" t="n"/>
      <c r="F108" s="5" t="inlineStr">
        <is>
          <t>item_photos/suites_urla/kettle.jpg</t>
        </is>
      </c>
      <c r="G108" s="5" t="inlineStr">
        <is>
          <t>Var</t>
        </is>
      </c>
      <c r="H108" s="5" t="inlineStr">
        <is>
          <t>Drive foto EDR_IMG_1218 / DSSW_IMG_1211 / EXSB_IMG_1223 / DS_IMG_1537 / DFS_IMG_1152</t>
        </is>
      </c>
      <c r="I108" s="5" t="n"/>
    </row>
    <row r="109" ht="39.6" customHeight="1">
      <c r="A109" s="5" t="inlineStr">
        <is>
          <t>Tare Suites Urla</t>
        </is>
      </c>
      <c r="B109" s="5" t="inlineStr">
        <is>
          <t>tuvalet_kagidi_aparati</t>
        </is>
      </c>
      <c r="C109" s="5" t="inlineStr">
        <is>
          <t>Tuvalet kâğıdı aparatı</t>
        </is>
      </c>
      <c r="D109" s="5" t="inlineStr">
        <is>
          <t>Demirbaş</t>
        </is>
      </c>
      <c r="E109" s="5" t="n"/>
      <c r="F109" s="7" t="inlineStr">
        <is>
          <t>item_photos/suites_urla/wc_set.jpg</t>
        </is>
      </c>
      <c r="G109" s="5" t="inlineStr">
        <is>
          <t>Var</t>
        </is>
      </c>
      <c r="H109" s="5" t="inlineStr">
        <is>
          <t>Drive foto EDR_IMG_1221 / DS_IMG_1541 / DFS_IMG_1159</t>
        </is>
      </c>
      <c r="I109" s="5" t="n"/>
    </row>
    <row r="110" ht="39.6" customHeight="1">
      <c r="A110" s="5" t="inlineStr">
        <is>
          <t>Tare Suites Urla</t>
        </is>
      </c>
      <c r="B110" s="5" t="inlineStr">
        <is>
          <t>wc_fircasi</t>
        </is>
      </c>
      <c r="C110" s="5" t="inlineStr">
        <is>
          <t>WC fırçası (siyah)</t>
        </is>
      </c>
      <c r="D110" s="5" t="inlineStr">
        <is>
          <t>Demirbaş</t>
        </is>
      </c>
      <c r="E110" s="5" t="n"/>
      <c r="F110" s="5" t="inlineStr">
        <is>
          <t>item_photos/suites_urla/wc_set.jpg</t>
        </is>
      </c>
      <c r="G110" s="5" t="inlineStr">
        <is>
          <t>Var</t>
        </is>
      </c>
      <c r="H110" s="5" t="inlineStr">
        <is>
          <t>Drive foto EDR_IMG_1221 / DSSW_IMG_1216 / DS_IMG_1541</t>
        </is>
      </c>
      <c r="I110" s="5" t="n"/>
    </row>
    <row r="111" ht="66" customHeight="1">
      <c r="A111" s="5" t="inlineStr">
        <is>
          <t>Tare Suites Urla</t>
        </is>
      </c>
      <c r="B111" s="5" t="inlineStr">
        <is>
          <t>yastik</t>
        </is>
      </c>
      <c r="C111" s="5" t="inlineStr">
        <is>
          <t>Yastık</t>
        </is>
      </c>
      <c r="D111" s="5" t="inlineStr">
        <is>
          <t>Demirbaş</t>
        </is>
      </c>
      <c r="E111" s="5" t="n"/>
      <c r="F111" s="7" t="inlineStr">
        <is>
          <t>item_photos/suites_urla/sivi_sabun_dispenser.jpg</t>
        </is>
      </c>
      <c r="G111" s="5" t="inlineStr">
        <is>
          <t>Çekilecek</t>
        </is>
      </c>
      <c r="H111" s="5" t="inlineStr">
        <is>
          <t>Drive foto EDR_IMG_1219 / DSSW_IMG_1214 / EXSB_IMG_1226 / DS_IMG_1539 / DFS_IMG_1160</t>
        </is>
      </c>
      <c r="I111" s="5" t="n"/>
    </row>
    <row r="112" ht="52.8" customHeight="1">
      <c r="A112" s="5" t="inlineStr">
        <is>
          <t>Tare Suites Urla</t>
        </is>
      </c>
      <c r="B112" s="5" t="inlineStr">
        <is>
          <t>masa_sandalye_seti</t>
        </is>
      </c>
      <c r="C112" s="5" t="inlineStr">
        <is>
          <t>Yuvarlak masa + 2 hasır sırtlı sandalye</t>
        </is>
      </c>
      <c r="D112" s="5" t="inlineStr">
        <is>
          <t>Demirbaş</t>
        </is>
      </c>
      <c r="E112" s="5" t="n"/>
      <c r="F112" s="5" t="inlineStr">
        <is>
          <t>item_photos/suites_urla/masa_sandalye_seti.jpg</t>
        </is>
      </c>
      <c r="G112" s="5" t="inlineStr">
        <is>
          <t>Var</t>
        </is>
      </c>
      <c r="H112" s="5" t="inlineStr">
        <is>
          <t>Drive foto DSSW_IMG_1212 / EXSB_IMG_1223 / DS_IMG_1537 / DFS_IMG_1154</t>
        </is>
      </c>
      <c r="I112" s="5" t="n"/>
    </row>
    <row r="113" ht="66" customHeight="1">
      <c r="A113" s="5" t="inlineStr">
        <is>
          <t>Tare Suites Urla</t>
        </is>
      </c>
      <c r="B113" s="5" t="inlineStr">
        <is>
          <t>cift_kisilik_yatak</t>
        </is>
      </c>
      <c r="C113" s="5" t="inlineStr">
        <is>
          <t>Çift kişilik yatak (bazalı)</t>
        </is>
      </c>
      <c r="D113" s="5" t="inlineStr">
        <is>
          <t>Demirbaş</t>
        </is>
      </c>
      <c r="E113" s="5" t="n"/>
      <c r="F113" s="7" t="inlineStr">
        <is>
          <t>item_photos/suites_urla/terlik.jpg</t>
        </is>
      </c>
      <c r="G113" s="5" t="inlineStr">
        <is>
          <t>Çekilecek</t>
        </is>
      </c>
      <c r="H113" s="5" t="inlineStr">
        <is>
          <t>Drive foto EDR_IMG_1543 / DSSW_IMG_1214 / EXSB_IMG_1225 / DS_IMG_1539 / DFS_IMG_1161</t>
        </is>
      </c>
      <c r="I113" s="5" t="n"/>
    </row>
    <row r="114" ht="26.4" customHeight="1">
      <c r="A114" s="5" t="inlineStr">
        <is>
          <t>Tare Suites Urla</t>
        </is>
      </c>
      <c r="B114" s="5" t="inlineStr">
        <is>
          <t>banyo_havlusu</t>
        </is>
      </c>
      <c r="C114" s="5" t="inlineStr">
        <is>
          <t>Banyo havlusu</t>
        </is>
      </c>
      <c r="D114" s="5" t="inlineStr">
        <is>
          <t>Sarf</t>
        </is>
      </c>
      <c r="E114" s="5" t="n"/>
      <c r="F114" s="5" t="inlineStr">
        <is>
          <t>item_photos/suites_urla/havlu_rafi.jpg</t>
        </is>
      </c>
      <c r="G114" s="5" t="inlineStr">
        <is>
          <t>Var</t>
        </is>
      </c>
      <c r="H114" s="5" t="inlineStr">
        <is>
          <t>Drive foto DSSW_IMG_1216 / EXSB_IMG_1222</t>
        </is>
      </c>
      <c r="I114" s="5" t="n"/>
    </row>
    <row r="115" ht="26.4" customHeight="1">
      <c r="A115" s="5" t="inlineStr">
        <is>
          <t>Tare Suites Urla</t>
        </is>
      </c>
      <c r="B115" s="5" t="inlineStr">
        <is>
          <t>sivi_sabun_dispenser</t>
        </is>
      </c>
      <c r="C115" s="5" t="inlineStr">
        <is>
          <t>Duvar tipi amber pompalı dispenser</t>
        </is>
      </c>
      <c r="D115" s="5" t="inlineStr">
        <is>
          <t>Sarf</t>
        </is>
      </c>
      <c r="E115" s="5" t="n"/>
      <c r="F115" s="5" t="inlineStr">
        <is>
          <t>item_photos/suites_urla/sivi_sabun_dispenser.jpg</t>
        </is>
      </c>
      <c r="G115" s="5" t="inlineStr">
        <is>
          <t>Var</t>
        </is>
      </c>
      <c r="H115" s="5" t="inlineStr">
        <is>
          <t>Drive foto DS_IMG_1541 / DS_IMG_1542</t>
        </is>
      </c>
      <c r="I115" s="5" t="n"/>
    </row>
    <row r="116">
      <c r="A116" s="5" t="inlineStr">
        <is>
          <t>Tare Suites Urla</t>
        </is>
      </c>
      <c r="B116" s="5" t="inlineStr">
        <is>
          <t>el_havlusu</t>
        </is>
      </c>
      <c r="C116" s="5" t="inlineStr">
        <is>
          <t>El/yüz havlusu</t>
        </is>
      </c>
      <c r="D116" s="5" t="inlineStr">
        <is>
          <t>Sarf</t>
        </is>
      </c>
      <c r="E116" s="5" t="n"/>
      <c r="F116" s="5" t="inlineStr">
        <is>
          <t>item_photos/suites_urla/havlu_rafi.jpg</t>
        </is>
      </c>
      <c r="G116" s="5" t="inlineStr">
        <is>
          <t>Var</t>
        </is>
      </c>
      <c r="H116" s="5" t="inlineStr">
        <is>
          <t>Drive foto DSSW_IMG_1216</t>
        </is>
      </c>
      <c r="I116" s="5" t="n"/>
    </row>
    <row r="117">
      <c r="A117" s="5" t="inlineStr">
        <is>
          <t>Tare Suites Urla</t>
        </is>
      </c>
      <c r="B117" s="5" t="inlineStr">
        <is>
          <t>terlik</t>
        </is>
      </c>
      <c r="C117" s="5" t="inlineStr">
        <is>
          <t>Tek kullanımlık terlik (çift)</t>
        </is>
      </c>
      <c r="D117" s="5" t="inlineStr">
        <is>
          <t>Sarf</t>
        </is>
      </c>
      <c r="E117" s="5" t="n"/>
      <c r="F117" s="7" t="inlineStr">
        <is>
          <t>item_photos/suites_urla/terlik.jpg</t>
        </is>
      </c>
      <c r="G117" s="5" t="inlineStr">
        <is>
          <t>Var</t>
        </is>
      </c>
      <c r="H117" s="5" t="inlineStr">
        <is>
          <t>Drive foto DS_IMG_1539</t>
        </is>
      </c>
      <c r="I117" s="5" t="n"/>
    </row>
    <row r="118" ht="26.4" customHeight="1">
      <c r="A118" s="5" t="inlineStr">
        <is>
          <t>Tare Suites Urla</t>
        </is>
      </c>
      <c r="B118" s="5" t="inlineStr">
        <is>
          <t>cift_cidarli_bardak</t>
        </is>
      </c>
      <c r="C118" s="5" t="inlineStr">
        <is>
          <t>Çift cidarlı cam fincan/bardak</t>
        </is>
      </c>
      <c r="D118" s="5" t="inlineStr">
        <is>
          <t>Mutfak Malzemesi</t>
        </is>
      </c>
      <c r="E118" s="5" t="n"/>
      <c r="F118" s="5" t="inlineStr">
        <is>
          <t>item_photos/suites_urla/ikram_tepsisi.jpg</t>
        </is>
      </c>
      <c r="G118" s="5" t="inlineStr">
        <is>
          <t>Var</t>
        </is>
      </c>
      <c r="H118" s="5" t="inlineStr">
        <is>
          <t>Drive foto EDR_IMG_1218 / DFS_IMG_1152</t>
        </is>
      </c>
      <c r="I118" s="5" t="n"/>
    </row>
    <row r="119" ht="26.4" customHeight="1">
      <c r="A119" s="5" t="inlineStr">
        <is>
          <t>Tare Village Urla</t>
        </is>
      </c>
      <c r="B119" s="5" t="inlineStr">
        <is>
          <t>bank</t>
        </is>
      </c>
      <c r="C119" s="5" t="inlineStr">
        <is>
          <t>Ahşap bank</t>
        </is>
      </c>
      <c r="D119" s="5" t="inlineStr">
        <is>
          <t>Demirbaş</t>
        </is>
      </c>
      <c r="E119" s="5" t="n"/>
      <c r="F119" s="7" t="inlineStr">
        <is>
          <t>item_photos/village/yemek_masasi_bank_sandalye.jpg</t>
        </is>
      </c>
      <c r="G119" s="5" t="inlineStr">
        <is>
          <t>Var</t>
        </is>
      </c>
      <c r="H119" s="5" t="inlineStr">
        <is>
          <t>Drive foto IMG_2040/2043</t>
        </is>
      </c>
      <c r="I119" s="5" t="n"/>
    </row>
    <row r="120">
      <c r="A120" s="5" t="inlineStr">
        <is>
          <t>Tare Village Urla</t>
        </is>
      </c>
      <c r="B120" s="5" t="inlineStr">
        <is>
          <t>ankastre_firin</t>
        </is>
      </c>
      <c r="C120" s="5" t="inlineStr">
        <is>
          <t>Ankastre fırın</t>
        </is>
      </c>
      <c r="D120" s="5" t="inlineStr">
        <is>
          <t>Demirbaş</t>
        </is>
      </c>
      <c r="E120" s="5" t="n"/>
      <c r="F120" s="5" t="inlineStr">
        <is>
          <t>item_photos/village/ankastre_firin.jpg</t>
        </is>
      </c>
      <c r="G120" s="5" t="inlineStr">
        <is>
          <t>Var</t>
        </is>
      </c>
      <c r="H120" s="5" t="inlineStr">
        <is>
          <t>Drive foto IMG_2017/2014</t>
        </is>
      </c>
      <c r="I120" s="5" t="n"/>
    </row>
    <row r="121">
      <c r="A121" s="5" t="inlineStr">
        <is>
          <t>Tare Village Urla</t>
        </is>
      </c>
      <c r="B121" s="5" t="inlineStr">
        <is>
          <t>buzdolabi</t>
        </is>
      </c>
      <c r="C121" s="5" t="inlineStr">
        <is>
          <t>Buzdolabı</t>
        </is>
      </c>
      <c r="D121" s="5" t="inlineStr">
        <is>
          <t>Demirbaş</t>
        </is>
      </c>
      <c r="E121" s="5" t="n"/>
      <c r="F121" s="7" t="inlineStr">
        <is>
          <t>item_photos/village/gardirop.jpg</t>
        </is>
      </c>
      <c r="G121" s="5" t="inlineStr">
        <is>
          <t>Çekilecek</t>
        </is>
      </c>
      <c r="H121" s="5" t="inlineStr">
        <is>
          <t>Drive foto IMG_1995</t>
        </is>
      </c>
      <c r="I121" s="5" t="n"/>
    </row>
    <row r="122">
      <c r="A122" s="5" t="inlineStr">
        <is>
          <t>Tare Village Urla</t>
        </is>
      </c>
      <c r="B122" s="5" t="inlineStr">
        <is>
          <t>davlumbaz</t>
        </is>
      </c>
      <c r="C122" s="5" t="inlineStr">
        <is>
          <t>Davlumbaz</t>
        </is>
      </c>
      <c r="D122" s="5" t="inlineStr">
        <is>
          <t>Demirbaş</t>
        </is>
      </c>
      <c r="E122" s="5" t="n"/>
      <c r="F122" s="5" t="inlineStr">
        <is>
          <t>item_photos/village/davlumbaz.jpg</t>
        </is>
      </c>
      <c r="G122" s="5" t="inlineStr">
        <is>
          <t>Var</t>
        </is>
      </c>
      <c r="H122" s="5" t="inlineStr">
        <is>
          <t>Drive foto IMG_1995/2017</t>
        </is>
      </c>
      <c r="I122" s="5" t="n"/>
    </row>
    <row r="123">
      <c r="A123" s="5" t="inlineStr">
        <is>
          <t>Tare Village Urla</t>
        </is>
      </c>
      <c r="B123" s="5" t="inlineStr">
        <is>
          <t>duvar_saati</t>
        </is>
      </c>
      <c r="C123" s="5" t="inlineStr">
        <is>
          <t>Duvar saati</t>
        </is>
      </c>
      <c r="D123" s="5" t="inlineStr">
        <is>
          <t>Demirbaş</t>
        </is>
      </c>
      <c r="E123" s="5" t="n"/>
      <c r="F123" s="7" t="inlineStr">
        <is>
          <t>item_photos/village/jut_paspas.jpg</t>
        </is>
      </c>
      <c r="G123" s="5" t="inlineStr">
        <is>
          <t>Çekilecek</t>
        </is>
      </c>
      <c r="H123" s="5" t="inlineStr">
        <is>
          <t>Drive foto IMG_1997</t>
        </is>
      </c>
      <c r="I123" s="5" t="n"/>
    </row>
    <row r="124" ht="26.4" customHeight="1">
      <c r="A124" s="5" t="inlineStr">
        <is>
          <t>Tare Village Urla</t>
        </is>
      </c>
      <c r="B124" s="5" t="inlineStr">
        <is>
          <t>dus_kabini</t>
        </is>
      </c>
      <c r="C124" s="5" t="inlineStr">
        <is>
          <t>Duş kabini (sürgülü cam)</t>
        </is>
      </c>
      <c r="D124" s="5" t="inlineStr">
        <is>
          <t>Demirbaş</t>
        </is>
      </c>
      <c r="E124" s="5" t="n"/>
      <c r="F124" s="5" t="inlineStr">
        <is>
          <t>item_photos/village/dus_kabini.jpg</t>
        </is>
      </c>
      <c r="G124" s="5" t="inlineStr">
        <is>
          <t>Var</t>
        </is>
      </c>
      <c r="H124" s="5" t="inlineStr">
        <is>
          <t>Drive foto IMG_2006/2012/2027/2036</t>
        </is>
      </c>
      <c r="I124" s="5" t="n"/>
    </row>
    <row r="125">
      <c r="A125" s="5" t="inlineStr">
        <is>
          <t>Tare Village Urla</t>
        </is>
      </c>
      <c r="B125" s="5" t="inlineStr">
        <is>
          <t>gardirop</t>
        </is>
      </c>
      <c r="C125" s="5" t="inlineStr">
        <is>
          <t>Gardırop (2 kapaklı)</t>
        </is>
      </c>
      <c r="D125" s="5" t="inlineStr">
        <is>
          <t>Demirbaş</t>
        </is>
      </c>
      <c r="E125" s="5" t="n"/>
      <c r="F125" s="5" t="inlineStr">
        <is>
          <t>item_photos/village/gardirop.jpg</t>
        </is>
      </c>
      <c r="G125" s="5" t="inlineStr">
        <is>
          <t>Var</t>
        </is>
      </c>
      <c r="H125" s="5" t="inlineStr">
        <is>
          <t>Drive foto IMG_2007/2023</t>
        </is>
      </c>
      <c r="I125" s="5" t="n"/>
    </row>
    <row r="126" ht="26.4" customHeight="1">
      <c r="A126" s="5" t="inlineStr">
        <is>
          <t>Tare Village Urla</t>
        </is>
      </c>
      <c r="B126" s="5" t="inlineStr">
        <is>
          <t>hasir_sepet</t>
        </is>
      </c>
      <c r="C126" s="5" t="inlineStr">
        <is>
          <t>Hasır sepet (lavabo yanı)</t>
        </is>
      </c>
      <c r="D126" s="5" t="inlineStr">
        <is>
          <t>Demirbaş</t>
        </is>
      </c>
      <c r="E126" s="5" t="n"/>
      <c r="F126" s="5" t="inlineStr">
        <is>
          <t>item_photos/village/lavabo_hasir_sepet.jpg</t>
        </is>
      </c>
      <c r="G126" s="5" t="inlineStr">
        <is>
          <t>Var</t>
        </is>
      </c>
      <c r="H126" s="5" t="inlineStr">
        <is>
          <t>Drive foto IMG_1996/2021/2027/2035</t>
        </is>
      </c>
      <c r="I126" s="5" t="n"/>
    </row>
    <row r="127" ht="39.6" customHeight="1">
      <c r="A127" s="5" t="inlineStr">
        <is>
          <t>Tare Village Urla</t>
        </is>
      </c>
      <c r="B127" s="5" t="inlineStr">
        <is>
          <t>jut_paspas</t>
        </is>
      </c>
      <c r="C127" s="5" t="inlineStr">
        <is>
          <t>Jüt banyo paspası (oval)</t>
        </is>
      </c>
      <c r="D127" s="5" t="inlineStr">
        <is>
          <t>Demirbaş</t>
        </is>
      </c>
      <c r="E127" s="5" t="n"/>
      <c r="F127" s="5" t="inlineStr">
        <is>
          <t>item_photos/village/jut_paspas.jpg</t>
        </is>
      </c>
      <c r="G127" s="5" t="inlineStr">
        <is>
          <t>Var</t>
        </is>
      </c>
      <c r="H127" s="5" t="inlineStr">
        <is>
          <t>Drive foto IMG_1996/2002/2012/2027/2036/2038</t>
        </is>
      </c>
      <c r="I127" s="5" t="n"/>
    </row>
    <row r="128" ht="26.4" customHeight="1">
      <c r="A128" s="5" t="inlineStr">
        <is>
          <t>Tare Village Urla</t>
        </is>
      </c>
      <c r="B128" s="5" t="inlineStr">
        <is>
          <t>dis_masa</t>
        </is>
      </c>
      <c r="C128" s="5" t="inlineStr">
        <is>
          <t>Katlanır ahşap masa</t>
        </is>
      </c>
      <c r="D128" s="5" t="inlineStr">
        <is>
          <t>Demirbaş</t>
        </is>
      </c>
      <c r="E128" s="5" t="n"/>
      <c r="F128" s="7" t="inlineStr">
        <is>
          <t>item_photos/village/balkon_masa_sandalye.jpg</t>
        </is>
      </c>
      <c r="G128" s="5" t="inlineStr">
        <is>
          <t>Var</t>
        </is>
      </c>
      <c r="H128" s="5" t="inlineStr">
        <is>
          <t>Drive foto IMG_2011/2016/2030</t>
        </is>
      </c>
      <c r="I128" s="5" t="n"/>
    </row>
    <row r="129" ht="26.4" customHeight="1">
      <c r="A129" s="5" t="inlineStr">
        <is>
          <t>Tare Village Urla</t>
        </is>
      </c>
      <c r="B129" s="5" t="inlineStr">
        <is>
          <t>dis_sandalye</t>
        </is>
      </c>
      <c r="C129" s="5" t="inlineStr">
        <is>
          <t>Katlanır ahşap sandalye (minderli)</t>
        </is>
      </c>
      <c r="D129" s="5" t="inlineStr">
        <is>
          <t>Demirbaş</t>
        </is>
      </c>
      <c r="E129" s="5" t="n"/>
      <c r="F129" s="5" t="inlineStr">
        <is>
          <t>item_photos/village/balkon_masa_sandalye.jpg</t>
        </is>
      </c>
      <c r="G129" s="5" t="inlineStr">
        <is>
          <t>Var</t>
        </is>
      </c>
      <c r="H129" s="5" t="inlineStr">
        <is>
          <t>Drive foto IMG_2011/2016/2030</t>
        </is>
      </c>
      <c r="I129" s="5" t="n"/>
    </row>
    <row r="130">
      <c r="A130" s="5" t="inlineStr">
        <is>
          <t>Tare Village Urla</t>
        </is>
      </c>
      <c r="B130" s="5" t="inlineStr">
        <is>
          <t>dis_katlanir_koltuk</t>
        </is>
      </c>
      <c r="C130" s="5" t="inlineStr">
        <is>
          <t>Katlanır bahçe koltuğu (minderli)</t>
        </is>
      </c>
      <c r="D130" s="5" t="inlineStr">
        <is>
          <t>Demirbaş</t>
        </is>
      </c>
      <c r="E130" s="5" t="n"/>
      <c r="F130" s="5" t="inlineStr">
        <is>
          <t>item_photos/village/balkon_masa_sandalye.jpg</t>
        </is>
      </c>
      <c r="G130" s="5" t="inlineStr">
        <is>
          <t>Var</t>
        </is>
      </c>
      <c r="H130" s="5" t="inlineStr">
        <is>
          <t>Drive foto IMG_2030</t>
        </is>
      </c>
      <c r="I130" s="5" t="n"/>
    </row>
    <row r="131" ht="26.4" customHeight="1">
      <c r="A131" s="5" t="inlineStr">
        <is>
          <t>Tare Village Urla</t>
        </is>
      </c>
      <c r="B131" s="5" t="inlineStr">
        <is>
          <t>klima</t>
        </is>
      </c>
      <c r="C131" s="5" t="inlineStr">
        <is>
          <t>Klima (split)</t>
        </is>
      </c>
      <c r="D131" s="5" t="inlineStr">
        <is>
          <t>Demirbaş</t>
        </is>
      </c>
      <c r="E131" s="5" t="n"/>
      <c r="F131" s="5" t="inlineStr">
        <is>
          <t>item_photos/village/klima.jpg</t>
        </is>
      </c>
      <c r="G131" s="5" t="inlineStr">
        <is>
          <t>Var</t>
        </is>
      </c>
      <c r="H131" s="5" t="inlineStr">
        <is>
          <t>Drive foto IMG_2007/2022/2032</t>
        </is>
      </c>
      <c r="I131" s="5" t="n"/>
    </row>
    <row r="132" ht="26.4" customHeight="1">
      <c r="A132" s="5" t="inlineStr">
        <is>
          <t>Tare Village Urla</t>
        </is>
      </c>
      <c r="B132" s="5" t="inlineStr">
        <is>
          <t>klozet</t>
        </is>
      </c>
      <c r="C132" s="5" t="inlineStr">
        <is>
          <t>Klozet</t>
        </is>
      </c>
      <c r="D132" s="5" t="inlineStr">
        <is>
          <t>Demirbaş</t>
        </is>
      </c>
      <c r="E132" s="5" t="n"/>
      <c r="F132" s="7" t="inlineStr">
        <is>
          <t>item_photos/village/mutfak_cop_kovasi.jpg</t>
        </is>
      </c>
      <c r="G132" s="5" t="inlineStr">
        <is>
          <t>Çekilecek</t>
        </is>
      </c>
      <c r="H132" s="5" t="inlineStr">
        <is>
          <t>Drive foto IMG_1996/2012/2036</t>
        </is>
      </c>
      <c r="I132" s="5" t="n"/>
    </row>
    <row r="133" ht="26.4" customHeight="1">
      <c r="A133" s="5" t="inlineStr">
        <is>
          <t>Tare Village Urla</t>
        </is>
      </c>
      <c r="B133" s="5" t="inlineStr">
        <is>
          <t>komodin</t>
        </is>
      </c>
      <c r="C133" s="5" t="inlineStr">
        <is>
          <t>Komodin (hasır çekmeceli)</t>
        </is>
      </c>
      <c r="D133" s="5" t="inlineStr">
        <is>
          <t>Demirbaş</t>
        </is>
      </c>
      <c r="E133" s="5" t="n"/>
      <c r="F133" s="5" t="inlineStr">
        <is>
          <t>item_photos/village/komodin.jpg</t>
        </is>
      </c>
      <c r="G133" s="5" t="inlineStr">
        <is>
          <t>Var</t>
        </is>
      </c>
      <c r="H133" s="5" t="inlineStr">
        <is>
          <t>Drive foto IMG_2007/2022/2032</t>
        </is>
      </c>
      <c r="I133" s="5" t="n"/>
    </row>
    <row r="134" ht="26.4" customHeight="1">
      <c r="A134" s="5" t="inlineStr">
        <is>
          <t>Tare Village Urla</t>
        </is>
      </c>
      <c r="B134" s="5" t="inlineStr">
        <is>
          <t>kose_koltuk</t>
        </is>
      </c>
      <c r="C134" s="5" t="inlineStr">
        <is>
          <t>Köşe koltuk / kanepe (yeşil kadife)</t>
        </is>
      </c>
      <c r="D134" s="5" t="inlineStr">
        <is>
          <t>Demirbaş</t>
        </is>
      </c>
      <c r="E134" s="5" t="n"/>
      <c r="F134" s="5" t="inlineStr">
        <is>
          <t>item_photos/village/kose_koltuk.jpg</t>
        </is>
      </c>
      <c r="G134" s="5" t="inlineStr">
        <is>
          <t>Var</t>
        </is>
      </c>
      <c r="H134" s="5" t="inlineStr">
        <is>
          <t>Drive foto IMG_1994/2019/2022/2042</t>
        </is>
      </c>
      <c r="I134" s="5" t="n"/>
    </row>
    <row r="135">
      <c r="A135" s="5" t="inlineStr">
        <is>
          <t>Tare Village Urla</t>
        </is>
      </c>
      <c r="B135" s="5" t="inlineStr">
        <is>
          <t>kul_tablasi</t>
        </is>
      </c>
      <c r="C135" s="5" t="inlineStr">
        <is>
          <t>Metal küllük</t>
        </is>
      </c>
      <c r="D135" s="5" t="inlineStr">
        <is>
          <t>Demirbaş</t>
        </is>
      </c>
      <c r="E135" s="5" t="n"/>
      <c r="F135" s="5" t="inlineStr">
        <is>
          <t>item_photos/village/kul_tablasi.jpg</t>
        </is>
      </c>
      <c r="G135" s="5" t="inlineStr">
        <is>
          <t>Var</t>
        </is>
      </c>
      <c r="H135" s="5" t="inlineStr">
        <is>
          <t>Drive foto IMG_2017/2014</t>
        </is>
      </c>
      <c r="I135" s="5" t="n"/>
    </row>
    <row r="136">
      <c r="A136" s="5" t="inlineStr">
        <is>
          <t>Tare Village Urla</t>
        </is>
      </c>
      <c r="B136" s="5" t="inlineStr">
        <is>
          <t>mutfak_cop_kovasi</t>
        </is>
      </c>
      <c r="C136" s="5" t="inlineStr">
        <is>
          <t>Mutfak çöp kovası (kırmızı)</t>
        </is>
      </c>
      <c r="D136" s="5" t="inlineStr">
        <is>
          <t>Demirbaş</t>
        </is>
      </c>
      <c r="E136" s="5" t="n"/>
      <c r="F136" s="7" t="inlineStr">
        <is>
          <t>item_photos/village/mutfak_cop_kovasi.jpg</t>
        </is>
      </c>
      <c r="G136" s="5" t="inlineStr">
        <is>
          <t>Var</t>
        </is>
      </c>
      <c r="H136" s="5" t="inlineStr">
        <is>
          <t>Drive foto IMG_2017/2023</t>
        </is>
      </c>
      <c r="I136" s="5" t="n"/>
    </row>
    <row r="137">
      <c r="A137" s="5" t="inlineStr">
        <is>
          <t>Tare Village Urla</t>
        </is>
      </c>
      <c r="B137" s="5" t="inlineStr">
        <is>
          <t>ocak</t>
        </is>
      </c>
      <c r="C137" s="5" t="inlineStr">
        <is>
          <t>Ocak (ankastre ya da portatif)</t>
        </is>
      </c>
      <c r="D137" s="5" t="inlineStr">
        <is>
          <t>Demirbaş</t>
        </is>
      </c>
      <c r="E137" s="5" t="n"/>
      <c r="F137" s="5" t="inlineStr">
        <is>
          <t>item_photos/village/portatif_ocak.jpg</t>
        </is>
      </c>
      <c r="G137" s="5" t="inlineStr">
        <is>
          <t>Var</t>
        </is>
      </c>
      <c r="H137" s="5" t="inlineStr">
        <is>
          <t>Drive foto IMG_2017/2026</t>
        </is>
      </c>
      <c r="I137" s="5" t="n"/>
    </row>
    <row r="138" ht="26.4" customHeight="1">
      <c r="A138" s="5" t="inlineStr">
        <is>
          <t>Tare Village Urla</t>
        </is>
      </c>
      <c r="B138" s="5" t="inlineStr">
        <is>
          <t>orta_sehpa</t>
        </is>
      </c>
      <c r="C138" s="5" t="inlineStr">
        <is>
          <t>Orta sehpa</t>
        </is>
      </c>
      <c r="D138" s="5" t="inlineStr">
        <is>
          <t>Demirbaş</t>
        </is>
      </c>
      <c r="E138" s="5" t="n"/>
      <c r="F138" s="5" t="inlineStr">
        <is>
          <t>item_photos/village/orta_sehpa.jpg</t>
        </is>
      </c>
      <c r="G138" s="5" t="inlineStr">
        <is>
          <t>Var</t>
        </is>
      </c>
      <c r="H138" s="5" t="inlineStr">
        <is>
          <t>Drive foto IMG_1994/2019/2025/2029</t>
        </is>
      </c>
      <c r="I138" s="5" t="n"/>
    </row>
    <row r="139" ht="26.4" customHeight="1">
      <c r="A139" s="5" t="inlineStr">
        <is>
          <t>Tare Village Urla</t>
        </is>
      </c>
      <c r="B139" s="5" t="inlineStr">
        <is>
          <t>banyo_cop_kovasi</t>
        </is>
      </c>
      <c r="C139" s="5" t="inlineStr">
        <is>
          <t>Pedallı banyo çöp kovası</t>
        </is>
      </c>
      <c r="D139" s="5" t="inlineStr">
        <is>
          <t>Demirbaş</t>
        </is>
      </c>
      <c r="E139" s="5" t="n"/>
      <c r="F139" s="5" t="inlineStr">
        <is>
          <t>item_photos/village/wc_fircasi_ve_cop_kovasi.jpg</t>
        </is>
      </c>
      <c r="G139" s="5" t="inlineStr">
        <is>
          <t>Var</t>
        </is>
      </c>
      <c r="H139" s="5" t="inlineStr">
        <is>
          <t>Drive foto IMG_2002/2012/2036</t>
        </is>
      </c>
      <c r="I139" s="5" t="n"/>
    </row>
    <row r="140" ht="26.4" customHeight="1">
      <c r="A140" s="5" t="inlineStr">
        <is>
          <t>Tare Village Urla</t>
        </is>
      </c>
      <c r="B140" s="5" t="inlineStr">
        <is>
          <t>tavan_sarkit_lamba</t>
        </is>
      </c>
      <c r="C140" s="5" t="inlineStr">
        <is>
          <t>Sarkıt tavan lambası</t>
        </is>
      </c>
      <c r="D140" s="5" t="inlineStr">
        <is>
          <t>Demirbaş</t>
        </is>
      </c>
      <c r="E140" s="5" t="n"/>
      <c r="F140" s="7" t="inlineStr">
        <is>
          <t>item_photos/village/tablo.jpg</t>
        </is>
      </c>
      <c r="G140" s="5" t="inlineStr">
        <is>
          <t>Çekilecek</t>
        </is>
      </c>
      <c r="H140" s="5" t="inlineStr">
        <is>
          <t>Drive foto IMG_1997/2007/2019</t>
        </is>
      </c>
      <c r="I140" s="5" t="n"/>
    </row>
    <row r="141" ht="26.4" customHeight="1">
      <c r="A141" s="5" t="inlineStr">
        <is>
          <t>Tare Village Urla</t>
        </is>
      </c>
      <c r="B141" s="5" t="inlineStr">
        <is>
          <t>sac_kurutma_makinesi</t>
        </is>
      </c>
      <c r="C141" s="5" t="inlineStr">
        <is>
          <t>Saç kurutma makinesi</t>
        </is>
      </c>
      <c r="D141" s="5" t="inlineStr">
        <is>
          <t>Demirbaş</t>
        </is>
      </c>
      <c r="E141" s="5" t="n"/>
      <c r="F141" s="7" t="inlineStr">
        <is>
          <t>item_photos/village/sac_kurutma_makinesi.jpg</t>
        </is>
      </c>
      <c r="G141" s="5" t="inlineStr">
        <is>
          <t>Var</t>
        </is>
      </c>
      <c r="H141" s="5" t="inlineStr">
        <is>
          <t>Drive foto IMG_1996/2013/2027</t>
        </is>
      </c>
      <c r="I141" s="5" t="n"/>
    </row>
    <row r="142" ht="26.4" customHeight="1">
      <c r="A142" s="5" t="inlineStr">
        <is>
          <t>Tare Village Urla</t>
        </is>
      </c>
      <c r="B142" s="5" t="inlineStr">
        <is>
          <t>tv</t>
        </is>
      </c>
      <c r="C142" s="5" t="inlineStr">
        <is>
          <t>TV</t>
        </is>
      </c>
      <c r="D142" s="5" t="inlineStr">
        <is>
          <t>Demirbaş</t>
        </is>
      </c>
      <c r="E142" s="5" t="n"/>
      <c r="F142" s="5" t="inlineStr">
        <is>
          <t>item_photos/village/tv_ayakli.jpg</t>
        </is>
      </c>
      <c r="G142" s="5" t="inlineStr">
        <is>
          <t>Var</t>
        </is>
      </c>
      <c r="H142" s="5" t="inlineStr">
        <is>
          <t>Drive foto IMG_2020/2022/2043</t>
        </is>
      </c>
      <c r="I142" s="5" t="n"/>
    </row>
    <row r="143">
      <c r="A143" s="5" t="inlineStr">
        <is>
          <t>Tare Village Urla</t>
        </is>
      </c>
      <c r="B143" s="5" t="inlineStr">
        <is>
          <t>tv_kumandasi</t>
        </is>
      </c>
      <c r="C143" s="5" t="inlineStr">
        <is>
          <t>TV kumandası</t>
        </is>
      </c>
      <c r="D143" s="5" t="inlineStr">
        <is>
          <t>Demirbaş</t>
        </is>
      </c>
      <c r="E143" s="5" t="n"/>
      <c r="F143" s="5" t="inlineStr">
        <is>
          <t>item_photos/village/tv_kumandasi.jpg</t>
        </is>
      </c>
      <c r="G143" s="5" t="inlineStr">
        <is>
          <t>Var</t>
        </is>
      </c>
      <c r="H143" s="5" t="inlineStr">
        <is>
          <t>Drive foto IMG_2017/2014</t>
        </is>
      </c>
      <c r="I143" s="5" t="n"/>
    </row>
    <row r="144" ht="39.6" customHeight="1">
      <c r="A144" s="5" t="inlineStr">
        <is>
          <t>Tare Village Urla</t>
        </is>
      </c>
      <c r="B144" s="5" t="inlineStr">
        <is>
          <t>tablo</t>
        </is>
      </c>
      <c r="C144" s="5" t="inlineStr">
        <is>
          <t>Tablo</t>
        </is>
      </c>
      <c r="D144" s="5" t="inlineStr">
        <is>
          <t>Demirbaş</t>
        </is>
      </c>
      <c r="E144" s="5" t="n"/>
      <c r="F144" s="5" t="inlineStr">
        <is>
          <t>item_photos/village/tablo.jpg</t>
        </is>
      </c>
      <c r="G144" s="5" t="inlineStr">
        <is>
          <t>Var</t>
        </is>
      </c>
      <c r="H144" s="5" t="inlineStr">
        <is>
          <t>Drive foto IMG_1997/2007/2018/2022/2029/2041</t>
        </is>
      </c>
      <c r="I144" s="5" t="n"/>
    </row>
    <row r="145" ht="26.4" customHeight="1">
      <c r="A145" s="5" t="inlineStr">
        <is>
          <t>Tare Village Urla</t>
        </is>
      </c>
      <c r="B145" s="5" t="inlineStr">
        <is>
          <t>lavabo_tas_canak</t>
        </is>
      </c>
      <c r="C145" s="5" t="inlineStr">
        <is>
          <t>Taş çanak lavabo + ahşap dolap</t>
        </is>
      </c>
      <c r="D145" s="5" t="inlineStr">
        <is>
          <t>Demirbaş</t>
        </is>
      </c>
      <c r="E145" s="5" t="n"/>
      <c r="F145" s="7" t="inlineStr">
        <is>
          <t>item_photos/village/yangin_sondurucu.jpg</t>
        </is>
      </c>
      <c r="G145" s="5" t="inlineStr">
        <is>
          <t>Çekilecek</t>
        </is>
      </c>
      <c r="H145" s="5" t="inlineStr">
        <is>
          <t>Drive foto IMG_1996/2013/2027/2035</t>
        </is>
      </c>
      <c r="I145" s="5" t="n"/>
    </row>
    <row r="146" ht="26.4" customHeight="1">
      <c r="A146" s="5" t="inlineStr">
        <is>
          <t>Tare Village Urla</t>
        </is>
      </c>
      <c r="B146" s="5" t="inlineStr">
        <is>
          <t>tel_sandalye</t>
        </is>
      </c>
      <c r="C146" s="5" t="inlineStr">
        <is>
          <t>Tel sandalye (minderli)</t>
        </is>
      </c>
      <c r="D146" s="5" t="inlineStr">
        <is>
          <t>Demirbaş</t>
        </is>
      </c>
      <c r="E146" s="5" t="n"/>
      <c r="F146" s="5" t="inlineStr">
        <is>
          <t>item_photos/village/yemek_masasi_bank_sandalye.jpg</t>
        </is>
      </c>
      <c r="G146" s="5" t="inlineStr">
        <is>
          <t>Var</t>
        </is>
      </c>
      <c r="H146" s="5" t="inlineStr">
        <is>
          <t>Drive foto IMG_2040/2043</t>
        </is>
      </c>
      <c r="I146" s="5" t="n"/>
    </row>
    <row r="147" ht="26.4" customHeight="1">
      <c r="A147" s="5" t="inlineStr">
        <is>
          <t>Tare Village Urla</t>
        </is>
      </c>
      <c r="B147" s="5" t="inlineStr">
        <is>
          <t>tuvalet_kagidi_aparati</t>
        </is>
      </c>
      <c r="C147" s="5" t="inlineStr">
        <is>
          <t>Tuvalet kağıdı aparatı (siyah)</t>
        </is>
      </c>
      <c r="D147" s="5" t="inlineStr">
        <is>
          <t>Demirbaş</t>
        </is>
      </c>
      <c r="E147" s="5" t="n"/>
      <c r="F147" s="5" t="inlineStr">
        <is>
          <t>item_photos/village/tuvalet_kagidi_aparati.jpg</t>
        </is>
      </c>
      <c r="G147" s="5" t="inlineStr">
        <is>
          <t>Var</t>
        </is>
      </c>
      <c r="H147" s="5" t="inlineStr">
        <is>
          <t>Drive foto IMG_1996/2012/2036</t>
        </is>
      </c>
      <c r="I147" s="5" t="n"/>
    </row>
    <row r="148" ht="26.4" customHeight="1">
      <c r="A148" s="5" t="inlineStr">
        <is>
          <t>Tare Village Urla</t>
        </is>
      </c>
      <c r="B148" s="5" t="inlineStr">
        <is>
          <t>wc_fircasi</t>
        </is>
      </c>
      <c r="C148" s="5" t="inlineStr">
        <is>
          <t>WC fırçası</t>
        </is>
      </c>
      <c r="D148" s="5" t="inlineStr">
        <is>
          <t>Demirbaş</t>
        </is>
      </c>
      <c r="E148" s="5" t="n"/>
      <c r="F148" s="5" t="inlineStr">
        <is>
          <t>item_photos/village/wc_fircasi_ve_cop_kovasi.jpg</t>
        </is>
      </c>
      <c r="G148" s="5" t="inlineStr">
        <is>
          <t>Var</t>
        </is>
      </c>
      <c r="H148" s="5" t="inlineStr">
        <is>
          <t>Drive foto IMG_2002/2012</t>
        </is>
      </c>
      <c r="I148" s="5" t="n"/>
    </row>
    <row r="149">
      <c r="A149" s="5" t="inlineStr">
        <is>
          <t>Tare Village Urla</t>
        </is>
      </c>
      <c r="B149" s="5" t="inlineStr">
        <is>
          <t>yangin_sondurucu</t>
        </is>
      </c>
      <c r="C149" s="5" t="inlineStr">
        <is>
          <t>Yangın söndürücü</t>
        </is>
      </c>
      <c r="D149" s="5" t="inlineStr">
        <is>
          <t>Demirbaş</t>
        </is>
      </c>
      <c r="E149" s="5" t="n"/>
      <c r="F149" s="7" t="inlineStr">
        <is>
          <t>item_photos/village/yangin_sondurucu.jpg</t>
        </is>
      </c>
      <c r="G149" s="5" t="inlineStr">
        <is>
          <t>Var</t>
        </is>
      </c>
      <c r="H149" s="5" t="inlineStr">
        <is>
          <t>Drive foto IMG_2017/2014</t>
        </is>
      </c>
      <c r="I149" s="5" t="n"/>
    </row>
    <row r="150" ht="26.4" customHeight="1">
      <c r="A150" s="5" t="inlineStr">
        <is>
          <t>Tare Village Urla</t>
        </is>
      </c>
      <c r="B150" s="5" t="inlineStr">
        <is>
          <t>saksi_bitki</t>
        </is>
      </c>
      <c r="C150" s="5" t="inlineStr">
        <is>
          <t>Yapay saksı bitkisi</t>
        </is>
      </c>
      <c r="D150" s="5" t="inlineStr">
        <is>
          <t>Demirbaş</t>
        </is>
      </c>
      <c r="E150" s="5" t="n"/>
      <c r="F150" s="7" t="inlineStr">
        <is>
          <t>item_photos/village/saksi_bitki.jpg</t>
        </is>
      </c>
      <c r="G150" s="5" t="inlineStr">
        <is>
          <t>Var</t>
        </is>
      </c>
      <c r="H150" s="5" t="inlineStr">
        <is>
          <t>Drive foto IMG_1994/2022/2039</t>
        </is>
      </c>
      <c r="I150" s="5" t="n"/>
    </row>
    <row r="151" ht="26.4" customHeight="1">
      <c r="A151" s="5" t="inlineStr">
        <is>
          <t>Tare Village Urla</t>
        </is>
      </c>
      <c r="B151" s="5" t="inlineStr">
        <is>
          <t>yastik</t>
        </is>
      </c>
      <c r="C151" s="5" t="inlineStr">
        <is>
          <t>Yastık</t>
        </is>
      </c>
      <c r="D151" s="5" t="inlineStr">
        <is>
          <t>Demirbaş</t>
        </is>
      </c>
      <c r="E151" s="5" t="n"/>
      <c r="F151" s="5" t="inlineStr">
        <is>
          <t>item_photos/village/yastik.jpg</t>
        </is>
      </c>
      <c r="G151" s="5" t="inlineStr">
        <is>
          <t>Var</t>
        </is>
      </c>
      <c r="H151" s="5" t="inlineStr">
        <is>
          <t>Drive foto IMG_1998/2007/2022/2032</t>
        </is>
      </c>
      <c r="I151" s="5" t="n"/>
    </row>
    <row r="152" ht="26.4" customHeight="1">
      <c r="A152" s="5" t="inlineStr">
        <is>
          <t>Tare Village Urla</t>
        </is>
      </c>
      <c r="B152" s="5" t="inlineStr">
        <is>
          <t>yemek_masasi</t>
        </is>
      </c>
      <c r="C152" s="5" t="inlineStr">
        <is>
          <t>Yemek masası</t>
        </is>
      </c>
      <c r="D152" s="5" t="inlineStr">
        <is>
          <t>Demirbaş</t>
        </is>
      </c>
      <c r="E152" s="5" t="n"/>
      <c r="F152" s="7" t="inlineStr">
        <is>
          <t>item_photos/village/yemek_masasi_bank_sandalye.jpg</t>
        </is>
      </c>
      <c r="G152" s="5" t="inlineStr">
        <is>
          <t>Var</t>
        </is>
      </c>
      <c r="H152" s="5" t="inlineStr">
        <is>
          <t>Drive foto IMG_1995/2040</t>
        </is>
      </c>
      <c r="I152" s="5" t="n"/>
    </row>
    <row r="153" ht="26.4" customHeight="1">
      <c r="A153" s="5" t="inlineStr">
        <is>
          <t>Tare Village Urla</t>
        </is>
      </c>
      <c r="B153" s="5" t="inlineStr">
        <is>
          <t>ayna_yuvarlak</t>
        </is>
      </c>
      <c r="C153" s="5" t="inlineStr">
        <is>
          <t>Yuvarlak ayna</t>
        </is>
      </c>
      <c r="D153" s="5" t="inlineStr">
        <is>
          <t>Demirbaş</t>
        </is>
      </c>
      <c r="E153" s="5" t="n"/>
      <c r="F153" s="7" t="n"/>
      <c r="G153" s="5" t="inlineStr">
        <is>
          <t>Çekilecek</t>
        </is>
      </c>
      <c r="H153" s="5" t="inlineStr">
        <is>
          <t>Drive foto IMG_1996/2013/2027/2038</t>
        </is>
      </c>
      <c r="I153" s="5" t="n"/>
    </row>
    <row r="154" ht="26.4" customHeight="1">
      <c r="A154" s="5" t="inlineStr">
        <is>
          <t>Tare Village Urla</t>
        </is>
      </c>
      <c r="B154" s="5" t="inlineStr">
        <is>
          <t>cift_kisilik_yatak</t>
        </is>
      </c>
      <c r="C154" s="5" t="inlineStr">
        <is>
          <t>Çift kişilik / king yatak (ahşap baza)</t>
        </is>
      </c>
      <c r="D154" s="5" t="inlineStr">
        <is>
          <t>Demirbaş</t>
        </is>
      </c>
      <c r="E154" s="5" t="n"/>
      <c r="F154" s="7" t="inlineStr">
        <is>
          <t>item_photos/village/havlu_rafi.jpg</t>
        </is>
      </c>
      <c r="G154" s="5" t="inlineStr">
        <is>
          <t>Çekilecek</t>
        </is>
      </c>
      <c r="H154" s="5" t="inlineStr">
        <is>
          <t>Drive foto IMG_1997/2007/2022/2032</t>
        </is>
      </c>
      <c r="I154" s="5" t="n"/>
    </row>
    <row r="155" ht="26.4" customHeight="1">
      <c r="A155" s="5" t="inlineStr">
        <is>
          <t>Tare Village Urla</t>
        </is>
      </c>
      <c r="B155" s="5" t="inlineStr">
        <is>
          <t>sivi_sabun_dispenseri</t>
        </is>
      </c>
      <c r="C155" s="5" t="inlineStr">
        <is>
          <t>İkili duvar sıvı sabun / şampuan dispenseri</t>
        </is>
      </c>
      <c r="D155" s="5" t="inlineStr">
        <is>
          <t>Demirbaş</t>
        </is>
      </c>
      <c r="E155" s="5" t="n"/>
      <c r="F155" s="5" t="inlineStr">
        <is>
          <t>item_photos/village/sivi_sabun_dispenseri_ikili.jpg</t>
        </is>
      </c>
      <c r="G155" s="5" t="inlineStr">
        <is>
          <t>Var</t>
        </is>
      </c>
      <c r="H155" s="5" t="inlineStr">
        <is>
          <t>Drive foto IMG_1996</t>
        </is>
      </c>
      <c r="I155" s="5" t="n"/>
    </row>
    <row r="156">
      <c r="A156" s="5" t="inlineStr">
        <is>
          <t>Tare Village Urla</t>
        </is>
      </c>
      <c r="B156" s="5" t="inlineStr">
        <is>
          <t>sifonyer</t>
        </is>
      </c>
      <c r="C156" s="5" t="inlineStr">
        <is>
          <t>Şifonyer / çekmeceli dolap</t>
        </is>
      </c>
      <c r="D156" s="5" t="inlineStr">
        <is>
          <t>Demirbaş</t>
        </is>
      </c>
      <c r="E156" s="5" t="n"/>
      <c r="F156" s="7" t="n"/>
      <c r="G156" s="5" t="inlineStr">
        <is>
          <t>Çekilecek</t>
        </is>
      </c>
      <c r="H156" s="5" t="inlineStr">
        <is>
          <t>Drive foto IMG_2022/2025</t>
        </is>
      </c>
      <c r="I156" s="5" t="n"/>
    </row>
    <row r="157">
      <c r="A157" s="5" t="inlineStr">
        <is>
          <t>Tare Village Urla</t>
        </is>
      </c>
      <c r="B157" s="5" t="inlineStr">
        <is>
          <t>bulasik_deterjani</t>
        </is>
      </c>
      <c r="C157" s="5" t="inlineStr">
        <is>
          <t>Bulaşık deterjanı (eviye yanı)</t>
        </is>
      </c>
      <c r="D157" s="5" t="inlineStr">
        <is>
          <t>Sarf</t>
        </is>
      </c>
      <c r="E157" s="5" t="n"/>
      <c r="F157" s="7" t="n"/>
      <c r="G157" s="5" t="inlineStr">
        <is>
          <t>Çekilecek</t>
        </is>
      </c>
      <c r="H157" s="5" t="inlineStr">
        <is>
          <t>Drive foto IMG_2017</t>
        </is>
      </c>
      <c r="I157" s="5" t="n"/>
    </row>
    <row r="158" ht="26.4" customHeight="1">
      <c r="A158" s="5" t="inlineStr">
        <is>
          <t>Tare Village Urla</t>
        </is>
      </c>
      <c r="B158" s="5" t="inlineStr">
        <is>
          <t>havlu</t>
        </is>
      </c>
      <c r="C158" s="5" t="inlineStr">
        <is>
          <t>Havlu (lavabo altı rafta katlı)</t>
        </is>
      </c>
      <c r="D158" s="5" t="inlineStr">
        <is>
          <t>Sarf</t>
        </is>
      </c>
      <c r="E158" s="5" t="n"/>
      <c r="F158" s="7" t="inlineStr">
        <is>
          <t>item_photos/village/havlu_rafi.jpg</t>
        </is>
      </c>
      <c r="G158" s="5" t="inlineStr">
        <is>
          <t>Var</t>
        </is>
      </c>
      <c r="H158" s="5" t="inlineStr">
        <is>
          <t>Drive foto IMG_1996/2013/2027</t>
        </is>
      </c>
      <c r="I158" s="5" t="n"/>
    </row>
    <row r="159">
      <c r="A159" s="5" t="inlineStr">
        <is>
          <t>Tare Village Urla</t>
        </is>
      </c>
      <c r="B159" s="5" t="inlineStr">
        <is>
          <t>kagit_havlu</t>
        </is>
      </c>
      <c r="C159" s="5" t="inlineStr">
        <is>
          <t>Kağıt havlu rulosu</t>
        </is>
      </c>
      <c r="D159" s="5" t="inlineStr">
        <is>
          <t>Sarf</t>
        </is>
      </c>
      <c r="E159" s="5" t="n"/>
      <c r="F159" s="7" t="inlineStr">
        <is>
          <t>item_photos/village/kagit_havlu.jpg</t>
        </is>
      </c>
      <c r="G159" s="5" t="inlineStr">
        <is>
          <t>Var</t>
        </is>
      </c>
      <c r="H159" s="5" t="inlineStr">
        <is>
          <t>Drive foto IMG_2017/2026</t>
        </is>
      </c>
      <c r="I159" s="5" t="n"/>
    </row>
    <row r="160" ht="26.4" customHeight="1">
      <c r="A160" s="5" t="inlineStr">
        <is>
          <t>Tare Village Urla</t>
        </is>
      </c>
      <c r="B160" s="5" t="inlineStr">
        <is>
          <t>yatak_ortusu</t>
        </is>
      </c>
      <c r="C160" s="5" t="inlineStr">
        <is>
          <t>Pike / yatak örtüsü (beyaz waffle)</t>
        </is>
      </c>
      <c r="D160" s="5" t="inlineStr">
        <is>
          <t>Sarf</t>
        </is>
      </c>
      <c r="E160" s="5" t="n"/>
      <c r="F160" s="7" t="inlineStr">
        <is>
          <t>item_photos/village/kettle.jpg</t>
        </is>
      </c>
      <c r="G160" s="5" t="inlineStr">
        <is>
          <t>Çekilecek</t>
        </is>
      </c>
      <c r="H160" s="5" t="inlineStr">
        <is>
          <t>Drive foto IMG_1997/2007/2022</t>
        </is>
      </c>
      <c r="I160" s="5" t="n"/>
    </row>
    <row r="161">
      <c r="A161" s="5" t="inlineStr">
        <is>
          <t>Tare Village Urla</t>
        </is>
      </c>
      <c r="B161" s="5" t="inlineStr">
        <is>
          <t>dis_minder</t>
        </is>
      </c>
      <c r="C161" s="5" t="inlineStr">
        <is>
          <t>Sandalye minderi (krem)</t>
        </is>
      </c>
      <c r="D161" s="5" t="inlineStr">
        <is>
          <t>Sarf</t>
        </is>
      </c>
      <c r="E161" s="5" t="n"/>
      <c r="F161" s="7" t="inlineStr">
        <is>
          <t>item_photos/village/servis_gerecleri_kabi.jpg</t>
        </is>
      </c>
      <c r="G161" s="5" t="inlineStr">
        <is>
          <t>Çekilecek</t>
        </is>
      </c>
      <c r="H161" s="5" t="inlineStr">
        <is>
          <t>Drive foto IMG_2011/2030</t>
        </is>
      </c>
      <c r="I161" s="5" t="n"/>
    </row>
    <row r="162">
      <c r="A162" s="5" t="inlineStr">
        <is>
          <t>Tare Village Urla</t>
        </is>
      </c>
      <c r="B162" s="5" t="inlineStr">
        <is>
          <t>yedek_tuvalet_kagidi</t>
        </is>
      </c>
      <c r="C162" s="5" t="inlineStr">
        <is>
          <t>Yedek tuvalet kağıdı (lavabo rafı)</t>
        </is>
      </c>
      <c r="D162" s="5" t="inlineStr">
        <is>
          <t>Sarf</t>
        </is>
      </c>
      <c r="E162" s="5" t="n"/>
      <c r="F162" s="7" t="n"/>
      <c r="G162" s="5" t="inlineStr">
        <is>
          <t>Çekilecek</t>
        </is>
      </c>
      <c r="H162" s="5" t="inlineStr">
        <is>
          <t>Drive foto IMG_2013</t>
        </is>
      </c>
      <c r="I162" s="5" t="n"/>
    </row>
    <row r="163">
      <c r="A163" s="5" t="inlineStr">
        <is>
          <t>Tare Village Urla</t>
        </is>
      </c>
      <c r="B163" s="5" t="inlineStr">
        <is>
          <t>bulasik_kurutma_mati</t>
        </is>
      </c>
      <c r="C163" s="5" t="inlineStr">
        <is>
          <t>Bulaşık kurutma matı</t>
        </is>
      </c>
      <c r="D163" s="5" t="inlineStr">
        <is>
          <t>Mutfak Malzemesi</t>
        </is>
      </c>
      <c r="E163" s="5" t="n"/>
      <c r="F163" s="7" t="inlineStr">
        <is>
          <t>item_photos/village/yag_sisesi.jpg</t>
        </is>
      </c>
      <c r="G163" s="5" t="inlineStr">
        <is>
          <t>Çekilecek</t>
        </is>
      </c>
      <c r="H163" s="5" t="inlineStr">
        <is>
          <t>Drive foto IMG_2026</t>
        </is>
      </c>
      <c r="I163" s="5" t="n"/>
    </row>
    <row r="164" ht="26.4" customHeight="1">
      <c r="A164" s="5" t="inlineStr">
        <is>
          <t>Tare Village Urla</t>
        </is>
      </c>
      <c r="B164" s="5" t="inlineStr">
        <is>
          <t>kettle</t>
        </is>
      </c>
      <c r="C164" s="5" t="inlineStr">
        <is>
          <t>Kettle / su ısıtıcısı</t>
        </is>
      </c>
      <c r="D164" s="5" t="inlineStr">
        <is>
          <t>Mutfak Malzemesi</t>
        </is>
      </c>
      <c r="E164" s="5" t="n"/>
      <c r="F164" s="5" t="inlineStr">
        <is>
          <t>item_photos/village/kettle.jpg</t>
        </is>
      </c>
      <c r="G164" s="5" t="inlineStr">
        <is>
          <t>Var</t>
        </is>
      </c>
      <c r="H164" s="5" t="inlineStr">
        <is>
          <t>Drive foto IMG_1995/2014/2026/2040</t>
        </is>
      </c>
      <c r="I164" s="5" t="n"/>
    </row>
    <row r="165" ht="26.4" customHeight="1">
      <c r="A165" s="5" t="inlineStr">
        <is>
          <t>Tare Village Urla</t>
        </is>
      </c>
      <c r="B165" s="5" t="inlineStr">
        <is>
          <t>servis_gerecleri_kabi</t>
        </is>
      </c>
      <c r="C165" s="5" t="inlineStr">
        <is>
          <t>Servis gereçleri kabı + silikon/ahşap gereçler</t>
        </is>
      </c>
      <c r="D165" s="5" t="inlineStr">
        <is>
          <t>Mutfak Malzemesi</t>
        </is>
      </c>
      <c r="E165" s="5" t="n"/>
      <c r="F165" s="5" t="inlineStr">
        <is>
          <t>item_photos/village/servis_gerecleri_kabi.jpg</t>
        </is>
      </c>
      <c r="G165" s="5" t="inlineStr">
        <is>
          <t>Var</t>
        </is>
      </c>
      <c r="H165" s="5" t="inlineStr">
        <is>
          <t>Drive foto IMG_2017/2026/2040</t>
        </is>
      </c>
      <c r="I165" s="5" t="n"/>
    </row>
    <row r="166" ht="26.4" customHeight="1">
      <c r="A166" s="5" t="inlineStr">
        <is>
          <t>Tare Village Urla</t>
        </is>
      </c>
      <c r="B166" s="5" t="inlineStr">
        <is>
          <t>tabak_bardak_catal_vb</t>
        </is>
      </c>
      <c r="C166" s="5" t="inlineStr">
        <is>
          <t>Tabak, bardak, çatal-bıçak, tencere-tava</t>
        </is>
      </c>
      <c r="D166" s="5" t="inlineStr">
        <is>
          <t>Mutfak Malzemesi</t>
        </is>
      </c>
      <c r="E166" s="5" t="n"/>
      <c r="F166" s="7" t="inlineStr">
        <is>
          <t>item_photos/tiny_houses/bahce_masa_sandalye.jpg</t>
        </is>
      </c>
      <c r="G166" s="5" t="inlineStr">
        <is>
          <t>Çekilecek</t>
        </is>
      </c>
      <c r="H166" s="5" t="inlineStr">
        <is>
          <t>Drive foto -</t>
        </is>
      </c>
      <c r="I166" s="5" t="n"/>
    </row>
    <row r="167">
      <c r="A167" s="5" t="inlineStr">
        <is>
          <t>Tare Village Urla</t>
        </is>
      </c>
      <c r="B167" s="5" t="inlineStr">
        <is>
          <t>yag_sisesi</t>
        </is>
      </c>
      <c r="C167" s="5" t="inlineStr">
        <is>
          <t>Yağ şişesi (cam, dozajlı)</t>
        </is>
      </c>
      <c r="D167" s="5" t="inlineStr">
        <is>
          <t>Mutfak Malzemesi</t>
        </is>
      </c>
      <c r="E167" s="5" t="n"/>
      <c r="F167" s="5" t="inlineStr">
        <is>
          <t>item_photos/village/yag_sisesi.jpg</t>
        </is>
      </c>
      <c r="G167" s="5" t="inlineStr">
        <is>
          <t>Var</t>
        </is>
      </c>
      <c r="H167" s="5" t="inlineStr">
        <is>
          <t>Drive foto IMG_2026</t>
        </is>
      </c>
      <c r="I167" s="5" t="n"/>
    </row>
    <row r="168" ht="39.6" customHeight="1">
      <c r="A168" s="5" t="inlineStr">
        <is>
          <t>Tiny Houses</t>
        </is>
      </c>
      <c r="B168" s="5" t="inlineStr">
        <is>
          <t>loft_yatak</t>
        </is>
      </c>
      <c r="C168" s="5" t="inlineStr">
        <is>
          <t>Asma kat (loft) yer yatağı</t>
        </is>
      </c>
      <c r="D168" s="5" t="inlineStr">
        <is>
          <t>Demirbaş</t>
        </is>
      </c>
      <c r="E168" s="5" t="n"/>
      <c r="F168" s="5" t="inlineStr">
        <is>
          <t>item_photos/tiny_houses/loft_yatak_hali.jpg</t>
        </is>
      </c>
      <c r="G168" s="5" t="inlineStr">
        <is>
          <t>Var</t>
        </is>
      </c>
      <c r="H168" s="5" t="inlineStr">
        <is>
          <t>Drive foto TNY_IMG_2717 / TNY_IMG_2722 / TNY_IMG_2730</t>
        </is>
      </c>
      <c r="I168" s="5" t="n"/>
    </row>
    <row r="169" ht="26.4" customHeight="1">
      <c r="A169" s="5" t="inlineStr">
        <is>
          <t>Tiny Houses</t>
        </is>
      </c>
      <c r="B169" s="5" t="inlineStr">
        <is>
          <t>bahce_masa</t>
        </is>
      </c>
      <c r="C169" s="5" t="inlineStr">
        <is>
          <t>Bahçe masası (rattan görünümlü)</t>
        </is>
      </c>
      <c r="D169" s="5" t="inlineStr">
        <is>
          <t>Demirbaş</t>
        </is>
      </c>
      <c r="E169" s="5" t="n"/>
      <c r="F169" s="7" t="inlineStr">
        <is>
          <t>item_photos/tiny_houses/bahce_masa_sandalye.jpg</t>
        </is>
      </c>
      <c r="G169" s="5" t="inlineStr">
        <is>
          <t>Var</t>
        </is>
      </c>
      <c r="H169" s="5" t="inlineStr">
        <is>
          <t>Drive foto TNY_IMG_2607 / TNY_IMG_2573</t>
        </is>
      </c>
      <c r="I169" s="5" t="n"/>
    </row>
    <row r="170" ht="39.6" customHeight="1">
      <c r="A170" s="5" t="inlineStr">
        <is>
          <t>Tiny Houses</t>
        </is>
      </c>
      <c r="B170" s="5" t="inlineStr">
        <is>
          <t>bahce_sandalye</t>
        </is>
      </c>
      <c r="C170" s="5" t="inlineStr">
        <is>
          <t>Bahçe sandalyesi</t>
        </is>
      </c>
      <c r="D170" s="5" t="inlineStr">
        <is>
          <t>Demirbaş</t>
        </is>
      </c>
      <c r="E170" s="5" t="n"/>
      <c r="F170" s="5" t="inlineStr">
        <is>
          <t>item_photos/tiny_houses/bahce_masa_sandalye.jpg</t>
        </is>
      </c>
      <c r="G170" s="5" t="inlineStr">
        <is>
          <t>Var</t>
        </is>
      </c>
      <c r="H170" s="5" t="inlineStr">
        <is>
          <t>Drive foto TNY_IMG_2607 / TNY_IMG_2601 / TNY_IMG_2573</t>
        </is>
      </c>
      <c r="I170" s="5" t="n"/>
    </row>
    <row r="171">
      <c r="A171" s="5" t="inlineStr">
        <is>
          <t>Tiny Houses</t>
        </is>
      </c>
      <c r="B171" s="5" t="inlineStr">
        <is>
          <t>banyo_paspasi</t>
        </is>
      </c>
      <c r="C171" s="5" t="inlineStr">
        <is>
          <t>Banyo paspası</t>
        </is>
      </c>
      <c r="D171" s="5" t="inlineStr">
        <is>
          <t>Demirbaş</t>
        </is>
      </c>
      <c r="E171" s="5" t="n"/>
      <c r="F171" s="5" t="inlineStr">
        <is>
          <t>item_photos/tiny_houses/banyo_paspasi.jpg</t>
        </is>
      </c>
      <c r="G171" s="5" t="inlineStr">
        <is>
          <t>Var</t>
        </is>
      </c>
      <c r="H171" s="5" t="inlineStr">
        <is>
          <t>Drive foto TNY_IMG_2565</t>
        </is>
      </c>
      <c r="I171" s="5" t="n"/>
    </row>
    <row r="172">
      <c r="A172" s="5" t="inlineStr">
        <is>
          <t>Tiny Houses</t>
        </is>
      </c>
      <c r="B172" s="5" t="inlineStr">
        <is>
          <t>orta_sehpa</t>
        </is>
      </c>
      <c r="C172" s="5" t="inlineStr">
        <is>
          <t>Beyaz orta sehpa (sandıklı)</t>
        </is>
      </c>
      <c r="D172" s="5" t="inlineStr">
        <is>
          <t>Demirbaş</t>
        </is>
      </c>
      <c r="E172" s="5" t="n"/>
      <c r="F172" s="5" t="inlineStr">
        <is>
          <t>item_photos/tiny_houses/kanepe_sehpa.jpg</t>
        </is>
      </c>
      <c r="G172" s="5" t="inlineStr">
        <is>
          <t>Var</t>
        </is>
      </c>
      <c r="H172" s="5" t="inlineStr">
        <is>
          <t>Drive foto TNY_IMG_2562</t>
        </is>
      </c>
      <c r="I172" s="5" t="n"/>
    </row>
    <row r="173">
      <c r="A173" s="5" t="inlineStr">
        <is>
          <t>Tiny Houses</t>
        </is>
      </c>
      <c r="B173" s="5" t="inlineStr">
        <is>
          <t>buzdolabi</t>
        </is>
      </c>
      <c r="C173" s="5" t="inlineStr">
        <is>
          <t>Buzdolabı</t>
        </is>
      </c>
      <c r="D173" s="5" t="inlineStr">
        <is>
          <t>Demirbaş</t>
        </is>
      </c>
      <c r="E173" s="5" t="n"/>
      <c r="F173" s="7" t="inlineStr">
        <is>
          <t>item_photos/tiny_houses/kumanda_tv_klima.jpg</t>
        </is>
      </c>
      <c r="G173" s="5" t="inlineStr">
        <is>
          <t>Çekilecek</t>
        </is>
      </c>
      <c r="H173" s="5" t="inlineStr">
        <is>
          <t>Drive foto</t>
        </is>
      </c>
      <c r="I173" s="5" t="n"/>
    </row>
    <row r="174">
      <c r="A174" s="5" t="inlineStr">
        <is>
          <t>Tiny Houses</t>
        </is>
      </c>
      <c r="B174" s="5" t="inlineStr">
        <is>
          <t>evye_batarya</t>
        </is>
      </c>
      <c r="C174" s="5" t="inlineStr">
        <is>
          <t>Evye + siyah batarya</t>
        </is>
      </c>
      <c r="D174" s="5" t="inlineStr">
        <is>
          <t>Demirbaş</t>
        </is>
      </c>
      <c r="E174" s="5" t="n"/>
      <c r="F174" s="7" t="inlineStr">
        <is>
          <t>item_photos/tiny_houses/mini_ocak_evye.jpg</t>
        </is>
      </c>
      <c r="G174" s="5" t="inlineStr">
        <is>
          <t>Var</t>
        </is>
      </c>
      <c r="H174" s="5" t="inlineStr">
        <is>
          <t>Drive foto TNY_IMG_2562</t>
        </is>
      </c>
      <c r="I174" s="5" t="n"/>
    </row>
    <row r="175" ht="26.4" customHeight="1">
      <c r="A175" s="5" t="inlineStr">
        <is>
          <t>Tiny Houses</t>
        </is>
      </c>
      <c r="B175" s="5" t="inlineStr">
        <is>
          <t>hali</t>
        </is>
      </c>
      <c r="C175" s="5" t="inlineStr">
        <is>
          <t>Halı (desenli)</t>
        </is>
      </c>
      <c r="D175" s="5" t="inlineStr">
        <is>
          <t>Demirbaş</t>
        </is>
      </c>
      <c r="E175" s="5" t="n"/>
      <c r="F175" s="5" t="inlineStr">
        <is>
          <t>item_photos/tiny_houses/loft_yatak_hali.jpg</t>
        </is>
      </c>
      <c r="G175" s="5" t="inlineStr">
        <is>
          <t>Var</t>
        </is>
      </c>
      <c r="H175" s="5" t="inlineStr">
        <is>
          <t>Drive foto TNY_IMG_2717 / TNY_IMG_2725</t>
        </is>
      </c>
      <c r="I175" s="5" t="n"/>
    </row>
    <row r="176" ht="26.4" customHeight="1">
      <c r="A176" s="5" t="inlineStr">
        <is>
          <t>Tiny Houses</t>
        </is>
      </c>
      <c r="B176" s="5" t="inlineStr">
        <is>
          <t>duvar_tv</t>
        </is>
      </c>
      <c r="C176" s="5" t="inlineStr">
        <is>
          <t>Hareketli kollu duvar TV</t>
        </is>
      </c>
      <c r="D176" s="5" t="inlineStr">
        <is>
          <t>Demirbaş</t>
        </is>
      </c>
      <c r="E176" s="5" t="n"/>
      <c r="F176" s="7" t="inlineStr">
        <is>
          <t>item_photos/tiny_houses/tv_duvar.jpg</t>
        </is>
      </c>
      <c r="G176" s="5" t="inlineStr">
        <is>
          <t>Var</t>
        </is>
      </c>
      <c r="H176" s="5" t="inlineStr">
        <is>
          <t>Drive foto TNY_IMG_2562 / TNY_IMG_2730</t>
        </is>
      </c>
      <c r="I176" s="5" t="n"/>
    </row>
    <row r="177">
      <c r="A177" s="5" t="inlineStr">
        <is>
          <t>Tiny Houses</t>
        </is>
      </c>
      <c r="B177" s="5" t="inlineStr">
        <is>
          <t>hasir_supla</t>
        </is>
      </c>
      <c r="C177" s="5" t="inlineStr">
        <is>
          <t>Hasır amerikan servis/supla</t>
        </is>
      </c>
      <c r="D177" s="5" t="inlineStr">
        <is>
          <t>Demirbaş</t>
        </is>
      </c>
      <c r="E177" s="5" t="n"/>
      <c r="F177" s="5" t="inlineStr">
        <is>
          <t>item_photos/tiny_houses/kumanda_tv_klima.jpg</t>
        </is>
      </c>
      <c r="G177" s="5" t="inlineStr">
        <is>
          <t>Var</t>
        </is>
      </c>
      <c r="H177" s="5" t="inlineStr">
        <is>
          <t>Drive foto TNY_IMG_2562</t>
        </is>
      </c>
      <c r="I177" s="5" t="n"/>
    </row>
    <row r="178" ht="26.4" customHeight="1">
      <c r="A178" s="5" t="inlineStr">
        <is>
          <t>Tiny Houses</t>
        </is>
      </c>
      <c r="B178" s="5" t="inlineStr">
        <is>
          <t>isikli_ayna</t>
        </is>
      </c>
      <c r="C178" s="5" t="inlineStr">
        <is>
          <t>Işıklı banyo aynası</t>
        </is>
      </c>
      <c r="D178" s="5" t="inlineStr">
        <is>
          <t>Demirbaş</t>
        </is>
      </c>
      <c r="E178" s="5" t="n"/>
      <c r="F178" s="7" t="inlineStr">
        <is>
          <t>item_photos/tiny_houses/lavabo_dolabi_sabun.jpg</t>
        </is>
      </c>
      <c r="G178" s="5" t="inlineStr">
        <is>
          <t>Çekilecek</t>
        </is>
      </c>
      <c r="H178" s="5" t="inlineStr">
        <is>
          <t>Drive foto TNY_IMG_2565</t>
        </is>
      </c>
      <c r="I178" s="5" t="n"/>
    </row>
    <row r="179">
      <c r="A179" s="5" t="inlineStr">
        <is>
          <t>Tiny Houses</t>
        </is>
      </c>
      <c r="B179" s="5" t="inlineStr">
        <is>
          <t>kanepe</t>
        </is>
      </c>
      <c r="C179" s="5" t="inlineStr">
        <is>
          <t>Kanepe / oturma bankı</t>
        </is>
      </c>
      <c r="D179" s="5" t="inlineStr">
        <is>
          <t>Demirbaş</t>
        </is>
      </c>
      <c r="E179" s="5" t="n"/>
      <c r="F179" s="7" t="inlineStr">
        <is>
          <t>item_photos/tiny_houses/kanepe_sehpa.jpg</t>
        </is>
      </c>
      <c r="G179" s="5" t="inlineStr">
        <is>
          <t>Var</t>
        </is>
      </c>
      <c r="H179" s="5" t="inlineStr">
        <is>
          <t>Drive foto TNY_IMG_2562</t>
        </is>
      </c>
      <c r="I179" s="5" t="n"/>
    </row>
    <row r="180">
      <c r="A180" s="5" t="inlineStr">
        <is>
          <t>Tiny Houses</t>
        </is>
      </c>
      <c r="B180" s="5" t="inlineStr">
        <is>
          <t>klozet</t>
        </is>
      </c>
      <c r="C180" s="5" t="inlineStr">
        <is>
          <t>Klozet</t>
        </is>
      </c>
      <c r="D180" s="5" t="inlineStr">
        <is>
          <t>Demirbaş</t>
        </is>
      </c>
      <c r="E180" s="5" t="n"/>
      <c r="F180" s="7" t="n"/>
      <c r="G180" s="5" t="inlineStr">
        <is>
          <t>Çekilecek</t>
        </is>
      </c>
      <c r="H180" s="5" t="inlineStr">
        <is>
          <t>Drive foto TNY_IMG_2565</t>
        </is>
      </c>
      <c r="I180" s="5" t="n"/>
    </row>
    <row r="181">
      <c r="A181" s="5" t="inlineStr">
        <is>
          <t>Tiny Houses</t>
        </is>
      </c>
      <c r="B181" s="5" t="inlineStr">
        <is>
          <t>kumanda</t>
        </is>
      </c>
      <c r="C181" s="5" t="inlineStr">
        <is>
          <t>Kumanda (TV + klima)</t>
        </is>
      </c>
      <c r="D181" s="5" t="inlineStr">
        <is>
          <t>Demirbaş</t>
        </is>
      </c>
      <c r="E181" s="5" t="n"/>
      <c r="F181" s="7" t="inlineStr">
        <is>
          <t>item_photos/tiny_houses/kumanda_tv_klima.jpg</t>
        </is>
      </c>
      <c r="G181" s="5" t="inlineStr">
        <is>
          <t>Var</t>
        </is>
      </c>
      <c r="H181" s="5" t="inlineStr">
        <is>
          <t>Drive foto TNY_IMG_2562</t>
        </is>
      </c>
      <c r="I181" s="5" t="n"/>
    </row>
    <row r="182" ht="26.4" customHeight="1">
      <c r="A182" s="5" t="inlineStr">
        <is>
          <t>Tiny Houses</t>
        </is>
      </c>
      <c r="B182" s="5" t="inlineStr">
        <is>
          <t>lavabo_dolabi</t>
        </is>
      </c>
      <c r="C182" s="5" t="inlineStr">
        <is>
          <t>Lavabo + beyaz 2 kapaklı alt dolap</t>
        </is>
      </c>
      <c r="D182" s="5" t="inlineStr">
        <is>
          <t>Demirbaş</t>
        </is>
      </c>
      <c r="E182" s="5" t="n"/>
      <c r="F182" s="5" t="inlineStr">
        <is>
          <t>item_photos/tiny_houses/lavabo_dolabi_sabun.jpg</t>
        </is>
      </c>
      <c r="G182" s="5" t="inlineStr">
        <is>
          <t>Var</t>
        </is>
      </c>
      <c r="H182" s="5" t="inlineStr">
        <is>
          <t>Drive foto TNY_IMG_2565</t>
        </is>
      </c>
      <c r="I182" s="5" t="n"/>
    </row>
    <row r="183" ht="26.4" customHeight="1">
      <c r="A183" s="5" t="inlineStr">
        <is>
          <t>Tiny Houses</t>
        </is>
      </c>
      <c r="B183" s="5" t="inlineStr">
        <is>
          <t>dus_kabini</t>
        </is>
      </c>
      <c r="C183" s="5" t="inlineStr">
        <is>
          <t>Siyah profilli sürgülü duş kabini</t>
        </is>
      </c>
      <c r="D183" s="5" t="inlineStr">
        <is>
          <t>Demirbaş</t>
        </is>
      </c>
      <c r="E183" s="5" t="n"/>
      <c r="F183" s="7" t="inlineStr">
        <is>
          <t>item_photos/tiny_houses/tuvalet_kagidi_aparat.jpg</t>
        </is>
      </c>
      <c r="G183" s="5" t="inlineStr">
        <is>
          <t>Çekilecek</t>
        </is>
      </c>
      <c r="H183" s="5" t="inlineStr">
        <is>
          <t>Drive foto TNY_IMG_2565</t>
        </is>
      </c>
      <c r="I183" s="5" t="n"/>
    </row>
    <row r="184">
      <c r="A184" s="5" t="inlineStr">
        <is>
          <t>Tiny Houses</t>
        </is>
      </c>
      <c r="B184" s="5" t="inlineStr">
        <is>
          <t>klima</t>
        </is>
      </c>
      <c r="C184" s="5" t="inlineStr">
        <is>
          <t>Split klima</t>
        </is>
      </c>
      <c r="D184" s="5" t="inlineStr">
        <is>
          <t>Demirbaş</t>
        </is>
      </c>
      <c r="E184" s="5" t="n"/>
      <c r="F184" s="7" t="n"/>
      <c r="G184" s="5" t="inlineStr">
        <is>
          <t>Çekilecek</t>
        </is>
      </c>
      <c r="H184" s="5" t="inlineStr">
        <is>
          <t>Drive foto TNY_IMG_2562</t>
        </is>
      </c>
      <c r="I184" s="5" t="n"/>
    </row>
    <row r="185">
      <c r="A185" s="5" t="inlineStr">
        <is>
          <t>Tiny Houses</t>
        </is>
      </c>
      <c r="B185" s="5" t="inlineStr">
        <is>
          <t>kettle</t>
        </is>
      </c>
      <c r="C185" s="5" t="inlineStr">
        <is>
          <t>Su ısıtıcısı</t>
        </is>
      </c>
      <c r="D185" s="5" t="inlineStr">
        <is>
          <t>Demirbaş</t>
        </is>
      </c>
      <c r="E185" s="5" t="n"/>
      <c r="F185" s="7" t="n"/>
      <c r="G185" s="5" t="inlineStr">
        <is>
          <t>Çekilecek</t>
        </is>
      </c>
      <c r="H185" s="5" t="inlineStr">
        <is>
          <t>Drive foto</t>
        </is>
      </c>
      <c r="I185" s="5" t="n"/>
    </row>
    <row r="186">
      <c r="A186" s="5" t="inlineStr">
        <is>
          <t>Tiny Houses</t>
        </is>
      </c>
      <c r="B186" s="5" t="inlineStr">
        <is>
          <t>mini_ocak</t>
        </is>
      </c>
      <c r="C186" s="5" t="inlineStr">
        <is>
          <t>Tezgah üstü tek gözlü ocak</t>
        </is>
      </c>
      <c r="D186" s="5" t="inlineStr">
        <is>
          <t>Demirbaş</t>
        </is>
      </c>
      <c r="E186" s="5" t="n"/>
      <c r="F186" s="7" t="inlineStr">
        <is>
          <t>item_photos/tiny_houses/mini_ocak_evye.jpg</t>
        </is>
      </c>
      <c r="G186" s="5" t="inlineStr">
        <is>
          <t>Var</t>
        </is>
      </c>
      <c r="H186" s="5" t="inlineStr">
        <is>
          <t>Drive foto TNY_IMG_2562</t>
        </is>
      </c>
      <c r="I186" s="5" t="n"/>
    </row>
    <row r="187" ht="26.4" customHeight="1">
      <c r="A187" s="5" t="inlineStr">
        <is>
          <t>Tiny Houses</t>
        </is>
      </c>
      <c r="B187" s="5" t="inlineStr">
        <is>
          <t>tuvalet_kagidi_aparati</t>
        </is>
      </c>
      <c r="C187" s="5" t="inlineStr">
        <is>
          <t>Tuvalet kâğıdı aparatı</t>
        </is>
      </c>
      <c r="D187" s="5" t="inlineStr">
        <is>
          <t>Demirbaş</t>
        </is>
      </c>
      <c r="E187" s="5" t="n"/>
      <c r="F187" s="5" t="inlineStr">
        <is>
          <t>item_photos/tiny_houses/tuvalet_kagidi_aparat.jpg</t>
        </is>
      </c>
      <c r="G187" s="5" t="inlineStr">
        <is>
          <t>Var</t>
        </is>
      </c>
      <c r="H187" s="5" t="inlineStr">
        <is>
          <t>Drive foto TNY_IMG_2565</t>
        </is>
      </c>
      <c r="I187" s="5" t="n"/>
    </row>
    <row r="188" ht="26.4" customHeight="1">
      <c r="A188" s="5" t="inlineStr">
        <is>
          <t>Tiny Houses</t>
        </is>
      </c>
      <c r="B188" s="5" t="inlineStr">
        <is>
          <t>yangin_sondurucu</t>
        </is>
      </c>
      <c r="C188" s="5" t="inlineStr">
        <is>
          <t>Yangın söndürücü (dış)</t>
        </is>
      </c>
      <c r="D188" s="5" t="inlineStr">
        <is>
          <t>Demirbaş</t>
        </is>
      </c>
      <c r="E188" s="5" t="n"/>
      <c r="F188" s="7" t="inlineStr">
        <is>
          <t>item_photos/tiny_houses/lavabo_dolabi_sabun.jpg</t>
        </is>
      </c>
      <c r="G188" s="5" t="inlineStr">
        <is>
          <t>Çekilecek</t>
        </is>
      </c>
      <c r="H188" s="5" t="inlineStr">
        <is>
          <t>Drive foto TNY_IMG_2585 / TNY_IMG_2607</t>
        </is>
      </c>
      <c r="I188" s="5" t="n"/>
    </row>
    <row r="189" ht="26.4" customHeight="1">
      <c r="A189" s="5" t="inlineStr">
        <is>
          <t>Tiny Houses</t>
        </is>
      </c>
      <c r="B189" s="5" t="inlineStr">
        <is>
          <t>yastik</t>
        </is>
      </c>
      <c r="C189" s="5" t="inlineStr">
        <is>
          <t>Yastık</t>
        </is>
      </c>
      <c r="D189" s="5" t="inlineStr">
        <is>
          <t>Demirbaş</t>
        </is>
      </c>
      <c r="E189" s="5" t="n"/>
      <c r="F189" s="7" t="inlineStr">
        <is>
          <t>item_photos/tiny_houses/tuvalet_kagidi_aparat.jpg</t>
        </is>
      </c>
      <c r="G189" s="5" t="inlineStr">
        <is>
          <t>Çekilecek</t>
        </is>
      </c>
      <c r="H189" s="5" t="inlineStr">
        <is>
          <t>Drive foto TNY_IMG_2722 / TNY_IMG_2725</t>
        </is>
      </c>
      <c r="I189" s="5" t="n"/>
    </row>
    <row r="190" ht="39.6" customHeight="1">
      <c r="A190" s="5" t="inlineStr">
        <is>
          <t>Tiny Houses</t>
        </is>
      </c>
      <c r="B190" s="5" t="inlineStr">
        <is>
          <t>zebra_perde</t>
        </is>
      </c>
      <c r="C190" s="5" t="inlineStr">
        <is>
          <t>Zebra stor perde</t>
        </is>
      </c>
      <c r="D190" s="5" t="inlineStr">
        <is>
          <t>Demirbaş</t>
        </is>
      </c>
      <c r="E190" s="5" t="n"/>
      <c r="F190" s="7" t="n"/>
      <c r="G190" s="5" t="inlineStr">
        <is>
          <t>Çekilecek</t>
        </is>
      </c>
      <c r="H190" s="5" t="inlineStr">
        <is>
          <t>Drive foto TNY_IMG_2562 / TNY_IMG_2717 / TNY_IMG_2725</t>
        </is>
      </c>
      <c r="I190" s="5" t="n"/>
    </row>
    <row r="191">
      <c r="A191" s="5" t="inlineStr">
        <is>
          <t>Tiny Houses</t>
        </is>
      </c>
      <c r="B191" s="5" t="inlineStr">
        <is>
          <t>cift_kisilik_yatak</t>
        </is>
      </c>
      <c r="C191" s="5" t="inlineStr">
        <is>
          <t>Çift kişilik yatak (kumaş başlıklı baza)</t>
        </is>
      </c>
      <c r="D191" s="5" t="inlineStr">
        <is>
          <t>Demirbaş</t>
        </is>
      </c>
      <c r="E191" s="5" t="n"/>
      <c r="F191" s="5" t="inlineStr">
        <is>
          <t>item_photos/tiny_houses/cift_kisilik_yatak.jpg</t>
        </is>
      </c>
      <c r="G191" s="5" t="inlineStr">
        <is>
          <t>Var</t>
        </is>
      </c>
      <c r="H191" s="5" t="inlineStr">
        <is>
          <t>Drive foto TNY_IMG_2725</t>
        </is>
      </c>
      <c r="I191" s="5" t="n"/>
    </row>
    <row r="192" ht="26.4" customHeight="1">
      <c r="A192" s="5" t="inlineStr">
        <is>
          <t>Tiny Houses</t>
        </is>
      </c>
      <c r="B192" s="5" t="inlineStr">
        <is>
          <t>sivi_sabun</t>
        </is>
      </c>
      <c r="C192" s="5" t="inlineStr">
        <is>
          <t>Sıvı el sabunu (pompalı şişe)</t>
        </is>
      </c>
      <c r="D192" s="5" t="inlineStr">
        <is>
          <t>Sarf</t>
        </is>
      </c>
      <c r="E192" s="5" t="n"/>
      <c r="F192" s="5" t="inlineStr">
        <is>
          <t>item_photos/tiny_houses/lavabo_dolabi_sabun.jpg</t>
        </is>
      </c>
      <c r="G192" s="5" t="inlineStr">
        <is>
          <t>Var</t>
        </is>
      </c>
      <c r="H192" s="5" t="inlineStr">
        <is>
          <t>Drive foto TNY_IMG_2565</t>
        </is>
      </c>
      <c r="I192" s="5" t="n"/>
    </row>
    <row r="193" ht="26.4" customHeight="1">
      <c r="A193" s="5" t="inlineStr">
        <is>
          <t>Tiny Houses</t>
        </is>
      </c>
      <c r="B193" s="5" t="inlineStr">
        <is>
          <t>tuvalet_kagidi</t>
        </is>
      </c>
      <c r="C193" s="5" t="inlineStr">
        <is>
          <t>Tuvalet kâğıdı (takılı)</t>
        </is>
      </c>
      <c r="D193" s="5" t="inlineStr">
        <is>
          <t>Sarf</t>
        </is>
      </c>
      <c r="E193" s="5" t="n"/>
      <c r="F193" s="5" t="inlineStr">
        <is>
          <t>item_photos/tiny_houses/tuvalet_kagidi_aparat.jpg</t>
        </is>
      </c>
      <c r="G193" s="5" t="inlineStr">
        <is>
          <t>Var</t>
        </is>
      </c>
      <c r="H193" s="5" t="inlineStr">
        <is>
          <t>Drive foto TNY_IMG_2565</t>
        </is>
      </c>
      <c r="I193" s="5" t="n"/>
    </row>
  </sheetData>
  <autoFilter ref="A1:I193"/>
  <dataValidations count="2">
    <dataValidation sqref="D2:D1000" showDropDown="0" showInputMessage="0" showErrorMessage="0" allowBlank="1" type="list">
      <formula1>"Demirbaş,Sarf,Mutfak Malzemesi,İçecek,İkram"</formula1>
    </dataValidation>
    <dataValidation sqref="G2:G1000" showDropDown="0" showInputMessage="0" showErrorMessage="0" allowBlank="1" type="list">
      <formula1>"Var,Çekilecek"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Oteller!$A$2:$A$30</xm:f>
          </x14:formula1>
          <xm:sqref>A2:A1000</xm:sqref>
        </x14:dataValidation>
      </x14:dataValidations>
    </ext>
  </extLst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10" customWidth="1" min="2" max="2"/>
    <col width="7" customWidth="1" min="3" max="3"/>
    <col width="24" customWidth="1" min="4" max="4"/>
    <col width="20" customWidth="1" min="5" max="5"/>
    <col width="32" customWidth="1" min="6" max="6"/>
    <col width="14" customWidth="1" min="7" max="7"/>
    <col width="10" customWidth="1" min="8" max="9"/>
    <col width="20" customWidth="1" min="10" max="10"/>
    <col width="44" customWidth="1" min="11" max="11"/>
  </cols>
  <sheetData>
    <row r="1" ht="30" customHeight="1">
      <c r="A1" s="4" t="inlineStr">
        <is>
          <t>Tesis</t>
        </is>
      </c>
      <c r="B1" s="4" t="inlineStr">
        <is>
          <t>Oda Tipi Kodu</t>
        </is>
      </c>
      <c r="C1" s="4" t="inlineStr">
        <is>
          <t>Adım No</t>
        </is>
      </c>
      <c r="D1" s="4" t="inlineStr">
        <is>
          <t>Adım Adı (otomatik)</t>
        </is>
      </c>
      <c r="E1" s="4" t="inlineStr">
        <is>
          <t>Kalem Kodu</t>
        </is>
      </c>
      <c r="F1" s="4" t="inlineStr">
        <is>
          <t>Kalem Adı (otomatik)</t>
        </is>
      </c>
      <c r="G1" s="4" t="inlineStr">
        <is>
          <t>Tür (otomatik)</t>
        </is>
      </c>
      <c r="H1" s="4" t="inlineStr">
        <is>
          <t>Olması Gereken Adet</t>
        </is>
      </c>
      <c r="I1" s="4" t="inlineStr">
        <is>
          <t>Doğrulandı mı</t>
        </is>
      </c>
      <c r="J1" s="4" t="inlineStr">
        <is>
          <t>Kaynak</t>
        </is>
      </c>
      <c r="K1" s="4" t="inlineStr">
        <is>
          <t>Not</t>
        </is>
      </c>
    </row>
    <row r="2">
      <c r="A2" s="5" t="inlineStr">
        <is>
          <t>Tare Houses Hotel</t>
        </is>
      </c>
      <c r="B2" s="5" t="inlineStr">
        <is>
          <t>X1</t>
        </is>
      </c>
      <c r="C2" s="7" t="n"/>
      <c r="D2" s="6">
        <f>IFERROR(INDEX('Kontrol Adımları'!$D:$D,MATCH(1,INDEX(('Kontrol Adımları'!$A$1:$A$400=B2)*('Kontrol Adımları'!$B$1:$B$400=C2),0),0)),"")</f>
        <v/>
      </c>
      <c r="E2" s="5" t="inlineStr">
        <is>
          <t>cooktop</t>
        </is>
      </c>
      <c r="F2" s="6">
        <f>IFERROR(INDEX('Kalem Kataloğu'!$C$1:$C$1000,MATCH(1,INDEX(('Kalem Kataloğu'!$A$1:$A$1000=A2)*('Kalem Kataloğu'!$B$1:$B$1000=E2),0),0)),"?")</f>
        <v/>
      </c>
      <c r="G2" s="6">
        <f>IFERROR(INDEX('Kalem Kataloğu'!$D$1:$D$1000,MATCH(1,INDEX(('Kalem Kataloğu'!$A$1:$A$1000=A2)*('Kalem Kataloğu'!$B$1:$B$1000=E2),0),0)),"?")</f>
        <v/>
      </c>
      <c r="H2" s="7" t="n">
        <v>1</v>
      </c>
      <c r="I2" s="7" t="inlineStr">
        <is>
          <t>Hayır</t>
        </is>
      </c>
      <c r="J2" s="5" t="inlineStr">
        <is>
          <t>Drive foto (Tem. 2024)</t>
        </is>
      </c>
      <c r="K2" s="5" t="inlineStr">
        <is>
          <t xml:space="preserve"> [güven: yüksek]</t>
        </is>
      </c>
    </row>
    <row r="3">
      <c r="A3" s="5" t="inlineStr">
        <is>
          <t>Tare Houses Hotel</t>
        </is>
      </c>
      <c r="B3" s="5" t="inlineStr">
        <is>
          <t>X1</t>
        </is>
      </c>
      <c r="C3" s="7" t="n"/>
      <c r="D3" s="6">
        <f>IFERROR(INDEX('Kontrol Adımları'!$D:$D,MATCH(1,INDEX(('Kontrol Adımları'!$A$1:$A$400=B3)*('Kontrol Adımları'!$B$1:$B$400=C3),0),0)),"")</f>
        <v/>
      </c>
      <c r="E3" s="5" t="inlineStr">
        <is>
          <t>wc</t>
        </is>
      </c>
      <c r="F3" s="6">
        <f>IFERROR(INDEX('Kalem Kataloğu'!$C$1:$C$1000,MATCH(1,INDEX(('Kalem Kataloğu'!$A$1:$A$1000=A3)*('Kalem Kataloğu'!$B$1:$B$1000=E3),0),0)),"?")</f>
        <v/>
      </c>
      <c r="G3" s="6">
        <f>IFERROR(INDEX('Kalem Kataloğu'!$D$1:$D$1000,MATCH(1,INDEX(('Kalem Kataloğu'!$A$1:$A$1000=A3)*('Kalem Kataloğu'!$B$1:$B$1000=E3),0),0)),"?")</f>
        <v/>
      </c>
      <c r="H3" s="7" t="n">
        <v>1</v>
      </c>
      <c r="I3" s="7" t="inlineStr">
        <is>
          <t>Hayır</t>
        </is>
      </c>
      <c r="J3" s="5" t="inlineStr">
        <is>
          <t>Drive foto (Tem. 2024)</t>
        </is>
      </c>
      <c r="K3" s="5" t="inlineStr">
        <is>
          <t xml:space="preserve"> [güven: yüksek]</t>
        </is>
      </c>
    </row>
    <row r="4">
      <c r="A4" s="5" t="inlineStr">
        <is>
          <t>Tare Houses Hotel</t>
        </is>
      </c>
      <c r="B4" s="5" t="inlineStr">
        <is>
          <t>X1</t>
        </is>
      </c>
      <c r="C4" s="7" t="n"/>
      <c r="D4" s="6">
        <f>IFERROR(INDEX('Kontrol Adımları'!$D:$D,MATCH(1,INDEX(('Kontrol Adımları'!$A$1:$A$400=B4)*('Kontrol Adımları'!$B$1:$B$400=C4),0),0)),"")</f>
        <v/>
      </c>
      <c r="E4" s="5" t="inlineStr">
        <is>
          <t>hanging_bin</t>
        </is>
      </c>
      <c r="F4" s="6">
        <f>IFERROR(INDEX('Kalem Kataloğu'!$C$1:$C$1000,MATCH(1,INDEX(('Kalem Kataloğu'!$A$1:$A$1000=A4)*('Kalem Kataloğu'!$B$1:$B$1000=E4),0),0)),"?")</f>
        <v/>
      </c>
      <c r="G4" s="6">
        <f>IFERROR(INDEX('Kalem Kataloğu'!$D$1:$D$1000,MATCH(1,INDEX(('Kalem Kataloğu'!$A$1:$A$1000=A4)*('Kalem Kataloğu'!$B$1:$B$1000=E4),0),0)),"?")</f>
        <v/>
      </c>
      <c r="H4" s="7" t="n">
        <v>1</v>
      </c>
      <c r="I4" s="7" t="inlineStr">
        <is>
          <t>Hayır</t>
        </is>
      </c>
      <c r="J4" s="5" t="inlineStr">
        <is>
          <t>Drive foto (Tem. 2024)</t>
        </is>
      </c>
      <c r="K4" s="5" t="inlineStr">
        <is>
          <t xml:space="preserve"> [güven: yüksek]</t>
        </is>
      </c>
    </row>
    <row r="5">
      <c r="A5" s="5" t="inlineStr">
        <is>
          <t>Tare Houses Hotel</t>
        </is>
      </c>
      <c r="B5" s="5" t="inlineStr">
        <is>
          <t>X1</t>
        </is>
      </c>
      <c r="C5" s="7" t="n"/>
      <c r="D5" s="6">
        <f>IFERROR(INDEX('Kontrol Adımları'!$D:$D,MATCH(1,INDEX(('Kontrol Adımları'!$A$1:$A$400=B5)*('Kontrol Adımları'!$B$1:$B$400=C5),0),0)),"")</f>
        <v/>
      </c>
      <c r="E5" s="5" t="inlineStr">
        <is>
          <t>bath_bin</t>
        </is>
      </c>
      <c r="F5" s="6">
        <f>IFERROR(INDEX('Kalem Kataloğu'!$C$1:$C$1000,MATCH(1,INDEX(('Kalem Kataloğu'!$A$1:$A$1000=A5)*('Kalem Kataloğu'!$B$1:$B$1000=E5),0),0)),"?")</f>
        <v/>
      </c>
      <c r="G5" s="6">
        <f>IFERROR(INDEX('Kalem Kataloğu'!$D$1:$D$1000,MATCH(1,INDEX(('Kalem Kataloğu'!$A$1:$A$1000=A5)*('Kalem Kataloğu'!$B$1:$B$1000=E5),0),0)),"?")</f>
        <v/>
      </c>
      <c r="H5" s="7" t="n">
        <v>1</v>
      </c>
      <c r="I5" s="7" t="inlineStr">
        <is>
          <t>Hayır</t>
        </is>
      </c>
      <c r="J5" s="5" t="inlineStr">
        <is>
          <t>Drive foto (Tem. 2024)</t>
        </is>
      </c>
      <c r="K5" s="5" t="inlineStr">
        <is>
          <t>Excel X3: banyo çöp kovası 1. [güven: yüksek]</t>
        </is>
      </c>
    </row>
    <row r="6">
      <c r="A6" s="5" t="inlineStr">
        <is>
          <t>Tare Houses Hotel</t>
        </is>
      </c>
      <c r="B6" s="5" t="inlineStr">
        <is>
          <t>X1</t>
        </is>
      </c>
      <c r="C6" s="7" t="n"/>
      <c r="D6" s="6">
        <f>IFERROR(INDEX('Kontrol Adımları'!$D:$D,MATCH(1,INDEX(('Kontrol Adımları'!$A$1:$A$400=B6)*('Kontrol Adımları'!$B$1:$B$400=C6),0),0)),"")</f>
        <v/>
      </c>
      <c r="E6" s="5" t="inlineStr">
        <is>
          <t>bedside_wall_lamp</t>
        </is>
      </c>
      <c r="F6" s="6">
        <f>IFERROR(INDEX('Kalem Kataloğu'!$C$1:$C$1000,MATCH(1,INDEX(('Kalem Kataloğu'!$A$1:$A$1000=A6)*('Kalem Kataloğu'!$B$1:$B$1000=E6),0),0)),"?")</f>
        <v/>
      </c>
      <c r="G6" s="6">
        <f>IFERROR(INDEX('Kalem Kataloğu'!$D$1:$D$1000,MATCH(1,INDEX(('Kalem Kataloğu'!$A$1:$A$1000=A6)*('Kalem Kataloğu'!$B$1:$B$1000=E6),0),0)),"?")</f>
        <v/>
      </c>
      <c r="H6" s="7" t="n">
        <v>2</v>
      </c>
      <c r="I6" s="7" t="inlineStr">
        <is>
          <t>Hayır</t>
        </is>
      </c>
      <c r="J6" s="5" t="inlineStr">
        <is>
          <t>Drive foto (Tem. 2024)</t>
        </is>
      </c>
      <c r="K6" s="5" t="inlineStr">
        <is>
          <t>Yatağın iki yanında. [güven: orta]</t>
        </is>
      </c>
    </row>
    <row r="7">
      <c r="A7" s="5" t="inlineStr">
        <is>
          <t>Tare Houses Hotel</t>
        </is>
      </c>
      <c r="B7" s="5" t="inlineStr">
        <is>
          <t>X1</t>
        </is>
      </c>
      <c r="C7" s="7" t="n"/>
      <c r="D7" s="6">
        <f>IFERROR(INDEX('Kontrol Adımları'!$D:$D,MATCH(1,INDEX(('Kontrol Adımları'!$A$1:$A$400=B7)*('Kontrol Adımları'!$B$1:$B$400=C7),0),0)),"")</f>
        <v/>
      </c>
      <c r="E7" s="5" t="inlineStr">
        <is>
          <t>range_hood</t>
        </is>
      </c>
      <c r="F7" s="6">
        <f>IFERROR(INDEX('Kalem Kataloğu'!$C$1:$C$1000,MATCH(1,INDEX(('Kalem Kataloğu'!$A$1:$A$1000=A7)*('Kalem Kataloğu'!$B$1:$B$1000=E7),0),0)),"?")</f>
        <v/>
      </c>
      <c r="G7" s="6">
        <f>IFERROR(INDEX('Kalem Kataloğu'!$D$1:$D$1000,MATCH(1,INDEX(('Kalem Kataloğu'!$A$1:$A$1000=A7)*('Kalem Kataloğu'!$B$1:$B$1000=E7),0),0)),"?")</f>
        <v/>
      </c>
      <c r="H7" s="7" t="n">
        <v>1</v>
      </c>
      <c r="I7" s="7" t="inlineStr">
        <is>
          <t>Hayır</t>
        </is>
      </c>
      <c r="J7" s="5" t="inlineStr">
        <is>
          <t>Drive foto (Tem. 2024)</t>
        </is>
      </c>
      <c r="K7" s="5" t="inlineStr">
        <is>
          <t xml:space="preserve"> [güven: orta]</t>
        </is>
      </c>
    </row>
    <row r="8">
      <c r="A8" s="5" t="inlineStr">
        <is>
          <t>Tare Houses Hotel</t>
        </is>
      </c>
      <c r="B8" s="5" t="inlineStr">
        <is>
          <t>X1</t>
        </is>
      </c>
      <c r="C8" s="7" t="n"/>
      <c r="D8" s="6">
        <f>IFERROR(INDEX('Kontrol Adımları'!$D:$D,MATCH(1,INDEX(('Kontrol Adımları'!$A$1:$A$400=B8)*('Kontrol Adımları'!$B$1:$B$400=C8),0),0)),"")</f>
        <v/>
      </c>
      <c r="E8" s="5" t="inlineStr">
        <is>
          <t>decor_branches</t>
        </is>
      </c>
      <c r="F8" s="6">
        <f>IFERROR(INDEX('Kalem Kataloğu'!$C$1:$C$1000,MATCH(1,INDEX(('Kalem Kataloğu'!$A$1:$A$1000=A8)*('Kalem Kataloğu'!$B$1:$B$1000=E8),0),0)),"?")</f>
        <v/>
      </c>
      <c r="G8" s="6">
        <f>IFERROR(INDEX('Kalem Kataloğu'!$D$1:$D$1000,MATCH(1,INDEX(('Kalem Kataloğu'!$A$1:$A$1000=A8)*('Kalem Kataloğu'!$B$1:$B$1000=E8),0),0)),"?")</f>
        <v/>
      </c>
      <c r="H8" s="7" t="n">
        <v>1</v>
      </c>
      <c r="I8" s="7" t="inlineStr">
        <is>
          <t>Hayır</t>
        </is>
      </c>
      <c r="J8" s="5" t="inlineStr">
        <is>
          <t>Drive foto (Tem. 2024)</t>
        </is>
      </c>
      <c r="K8" s="5" t="inlineStr">
        <is>
          <t xml:space="preserve"> [güven: orta]</t>
        </is>
      </c>
    </row>
    <row r="9">
      <c r="A9" s="5" t="inlineStr">
        <is>
          <t>Tare Houses Hotel</t>
        </is>
      </c>
      <c r="B9" s="5" t="inlineStr">
        <is>
          <t>X1</t>
        </is>
      </c>
      <c r="C9" s="7" t="n"/>
      <c r="D9" s="6">
        <f>IFERROR(INDEX('Kontrol Adımları'!$D:$D,MATCH(1,INDEX(('Kontrol Adımları'!$A$1:$A$400=B9)*('Kontrol Adımları'!$B$1:$B$400=C9),0),0)),"")</f>
        <v/>
      </c>
      <c r="E9" s="5" t="inlineStr">
        <is>
          <t>smoke_detector</t>
        </is>
      </c>
      <c r="F9" s="6">
        <f>IFERROR(INDEX('Kalem Kataloğu'!$C$1:$C$1000,MATCH(1,INDEX(('Kalem Kataloğu'!$A$1:$A$1000=A9)*('Kalem Kataloğu'!$B$1:$B$1000=E9),0),0)),"?")</f>
        <v/>
      </c>
      <c r="G9" s="6">
        <f>IFERROR(INDEX('Kalem Kataloğu'!$D$1:$D$1000,MATCH(1,INDEX(('Kalem Kataloğu'!$A$1:$A$1000=A9)*('Kalem Kataloğu'!$B$1:$B$1000=E9),0),0)),"?")</f>
        <v/>
      </c>
      <c r="H9" s="7" t="n">
        <v>1</v>
      </c>
      <c r="I9" s="7" t="inlineStr">
        <is>
          <t>Hayır</t>
        </is>
      </c>
      <c r="J9" s="5" t="inlineStr">
        <is>
          <t>Drive foto (Tem. 2024)</t>
        </is>
      </c>
      <c r="K9" s="5" t="inlineStr">
        <is>
          <t xml:space="preserve"> [güven: orta]</t>
        </is>
      </c>
    </row>
    <row r="10">
      <c r="A10" s="5" t="inlineStr">
        <is>
          <t>Tare Houses Hotel</t>
        </is>
      </c>
      <c r="B10" s="5" t="inlineStr">
        <is>
          <t>X1</t>
        </is>
      </c>
      <c r="C10" s="7" t="n"/>
      <c r="D10" s="6">
        <f>IFERROR(INDEX('Kontrol Adımları'!$D:$D,MATCH(1,INDEX(('Kontrol Adımları'!$A$1:$A$400=B10)*('Kontrol Adımları'!$B$1:$B$400=C10),0),0)),"")</f>
        <v/>
      </c>
      <c r="E10" s="5" t="inlineStr">
        <is>
          <t>dispenser</t>
        </is>
      </c>
      <c r="F10" s="6">
        <f>IFERROR(INDEX('Kalem Kataloğu'!$C$1:$C$1000,MATCH(1,INDEX(('Kalem Kataloğu'!$A$1:$A$1000=A10)*('Kalem Kataloğu'!$B$1:$B$1000=E10),0),0)),"?")</f>
        <v/>
      </c>
      <c r="G10" s="6">
        <f>IFERROR(INDEX('Kalem Kataloğu'!$D$1:$D$1000,MATCH(1,INDEX(('Kalem Kataloğu'!$A$1:$A$1000=A10)*('Kalem Kataloğu'!$B$1:$B$1000=E10),0),0)),"?")</f>
        <v/>
      </c>
      <c r="H10" s="7" t="n">
        <v>1</v>
      </c>
      <c r="I10" s="7" t="inlineStr">
        <is>
          <t>Hayır</t>
        </is>
      </c>
      <c r="J10" s="5" t="inlineStr">
        <is>
          <t>Drive foto (Tem. 2024)</t>
        </is>
      </c>
      <c r="K10" s="5" t="inlineStr">
        <is>
          <t>Excel X3: 3 hazne. [güven: yüksek]</t>
        </is>
      </c>
    </row>
    <row r="11" ht="26.4" customHeight="1">
      <c r="A11" s="5" t="inlineStr">
        <is>
          <t>Tare Houses Hotel</t>
        </is>
      </c>
      <c r="B11" s="5" t="inlineStr">
        <is>
          <t>X1</t>
        </is>
      </c>
      <c r="C11" s="7" t="n"/>
      <c r="D11" s="6">
        <f>IFERROR(INDEX('Kontrol Adımları'!$D:$D,MATCH(1,INDEX(('Kontrol Adımları'!$A$1:$A$400=B11)*('Kontrol Adımları'!$B$1:$B$400=C11),0),0)),"")</f>
        <v/>
      </c>
      <c r="E11" s="5" t="inlineStr">
        <is>
          <t>wardrobe</t>
        </is>
      </c>
      <c r="F11" s="6">
        <f>IFERROR(INDEX('Kalem Kataloğu'!$C$1:$C$1000,MATCH(1,INDEX(('Kalem Kataloğu'!$A$1:$A$1000=A11)*('Kalem Kataloğu'!$B$1:$B$1000=E11),0),0)),"?")</f>
        <v/>
      </c>
      <c r="G11" s="6">
        <f>IFERROR(INDEX('Kalem Kataloğu'!$D$1:$D$1000,MATCH(1,INDEX(('Kalem Kataloğu'!$A$1:$A$1000=A11)*('Kalem Kataloğu'!$B$1:$B$1000=E11),0),0)),"?")</f>
        <v/>
      </c>
      <c r="H11" s="7" t="n">
        <v>1</v>
      </c>
      <c r="I11" s="7" t="inlineStr">
        <is>
          <t>Hayır</t>
        </is>
      </c>
      <c r="J11" s="5" t="inlineStr">
        <is>
          <t>Drive foto (Tem. 2024)</t>
        </is>
      </c>
      <c r="K11" s="5" t="inlineStr">
        <is>
          <t>İçi (askı, battaniye) fotoğrafta görünmüyor. Excel X3: askı 6, yedek battaniye 1. [güven: yüksek]</t>
        </is>
      </c>
    </row>
    <row r="12">
      <c r="A12" s="5" t="inlineStr">
        <is>
          <t>Tare Houses Hotel</t>
        </is>
      </c>
      <c r="B12" s="5" t="inlineStr">
        <is>
          <t>X1</t>
        </is>
      </c>
      <c r="C12" s="7" t="n"/>
      <c r="D12" s="6">
        <f>IFERROR(INDEX('Kontrol Adımları'!$D:$D,MATCH(1,INDEX(('Kontrol Adımları'!$A$1:$A$400=B12)*('Kontrol Adımları'!$B$1:$B$400=C12),0),0)),"")</f>
        <v/>
      </c>
      <c r="E12" s="5" t="inlineStr">
        <is>
          <t>flush_plate</t>
        </is>
      </c>
      <c r="F12" s="6">
        <f>IFERROR(INDEX('Kalem Kataloğu'!$C$1:$C$1000,MATCH(1,INDEX(('Kalem Kataloğu'!$A$1:$A$1000=A12)*('Kalem Kataloğu'!$B$1:$B$1000=E12),0),0)),"?")</f>
        <v/>
      </c>
      <c r="G12" s="6">
        <f>IFERROR(INDEX('Kalem Kataloğu'!$D$1:$D$1000,MATCH(1,INDEX(('Kalem Kataloğu'!$A$1:$A$1000=A12)*('Kalem Kataloğu'!$B$1:$B$1000=E12),0),0)),"?")</f>
        <v/>
      </c>
      <c r="H12" s="7" t="n">
        <v>1</v>
      </c>
      <c r="I12" s="7" t="inlineStr">
        <is>
          <t>Hayır</t>
        </is>
      </c>
      <c r="J12" s="5" t="inlineStr">
        <is>
          <t>Drive foto (Tem. 2024)</t>
        </is>
      </c>
      <c r="K12" s="5" t="inlineStr">
        <is>
          <t xml:space="preserve"> [güven: yüksek]</t>
        </is>
      </c>
    </row>
    <row r="13">
      <c r="A13" s="5" t="inlineStr">
        <is>
          <t>Tare Houses Hotel</t>
        </is>
      </c>
      <c r="B13" s="5" t="inlineStr">
        <is>
          <t>X1</t>
        </is>
      </c>
      <c r="C13" s="7" t="n"/>
      <c r="D13" s="6">
        <f>IFERROR(INDEX('Kontrol Adımları'!$D:$D,MATCH(1,INDEX(('Kontrol Adımları'!$A$1:$A$400=B13)*('Kontrol Adımları'!$B$1:$B$400=C13),0),0)),"")</f>
        <v/>
      </c>
      <c r="E13" s="5" t="inlineStr">
        <is>
          <t>rug_striped</t>
        </is>
      </c>
      <c r="F13" s="6">
        <f>IFERROR(INDEX('Kalem Kataloğu'!$C$1:$C$1000,MATCH(1,INDEX(('Kalem Kataloğu'!$A$1:$A$1000=A13)*('Kalem Kataloğu'!$B$1:$B$1000=E13),0),0)),"?")</f>
        <v/>
      </c>
      <c r="G13" s="6">
        <f>IFERROR(INDEX('Kalem Kataloğu'!$D$1:$D$1000,MATCH(1,INDEX(('Kalem Kataloğu'!$A$1:$A$1000=A13)*('Kalem Kataloğu'!$B$1:$B$1000=E13),0),0)),"?")</f>
        <v/>
      </c>
      <c r="H13" s="7" t="n">
        <v>1</v>
      </c>
      <c r="I13" s="7" t="inlineStr">
        <is>
          <t>Hayır</t>
        </is>
      </c>
      <c r="J13" s="5" t="inlineStr">
        <is>
          <t>Drive foto (Tem. 2024)</t>
        </is>
      </c>
      <c r="K13" s="5" t="inlineStr">
        <is>
          <t xml:space="preserve"> [güven: orta]</t>
        </is>
      </c>
    </row>
    <row r="14">
      <c r="A14" s="5" t="inlineStr">
        <is>
          <t>Tare Houses Hotel</t>
        </is>
      </c>
      <c r="B14" s="5" t="inlineStr">
        <is>
          <t>X1</t>
        </is>
      </c>
      <c r="C14" s="7" t="n"/>
      <c r="D14" s="6">
        <f>IFERROR(INDEX('Kontrol Adımları'!$D:$D,MATCH(1,INDEX(('Kontrol Adımları'!$A$1:$A$400=B14)*('Kontrol Adımları'!$B$1:$B$400=C14),0),0)),"")</f>
        <v/>
      </c>
      <c r="E14" s="5" t="inlineStr">
        <is>
          <t>towel_bar</t>
        </is>
      </c>
      <c r="F14" s="6">
        <f>IFERROR(INDEX('Kalem Kataloğu'!$C$1:$C$1000,MATCH(1,INDEX(('Kalem Kataloğu'!$A$1:$A$1000=A14)*('Kalem Kataloğu'!$B$1:$B$1000=E14),0),0)),"?")</f>
        <v/>
      </c>
      <c r="G14" s="6">
        <f>IFERROR(INDEX('Kalem Kataloğu'!$D$1:$D$1000,MATCH(1,INDEX(('Kalem Kataloğu'!$A$1:$A$1000=A14)*('Kalem Kataloğu'!$B$1:$B$1000=E14),0),0)),"?")</f>
        <v/>
      </c>
      <c r="H14" s="7" t="n">
        <v>1</v>
      </c>
      <c r="I14" s="7" t="inlineStr">
        <is>
          <t>Hayır</t>
        </is>
      </c>
      <c r="J14" s="5" t="inlineStr">
        <is>
          <t>Drive foto (Tem. 2024)</t>
        </is>
      </c>
      <c r="K14" s="5" t="inlineStr">
        <is>
          <t xml:space="preserve"> [güven: orta]</t>
        </is>
      </c>
    </row>
    <row r="15">
      <c r="A15" s="5" t="inlineStr">
        <is>
          <t>Tare Houses Hotel</t>
        </is>
      </c>
      <c r="B15" s="5" t="inlineStr">
        <is>
          <t>X1</t>
        </is>
      </c>
      <c r="C15" s="7" t="n"/>
      <c r="D15" s="6">
        <f>IFERROR(INDEX('Kontrol Adımları'!$D:$D,MATCH(1,INDEX(('Kontrol Adımları'!$A$1:$A$400=B15)*('Kontrol Adımları'!$B$1:$B$400=C15),0),0)),"")</f>
        <v/>
      </c>
      <c r="E15" s="5" t="inlineStr">
        <is>
          <t>towel_ring</t>
        </is>
      </c>
      <c r="F15" s="6">
        <f>IFERROR(INDEX('Kalem Kataloğu'!$C$1:$C$1000,MATCH(1,INDEX(('Kalem Kataloğu'!$A$1:$A$1000=A15)*('Kalem Kataloğu'!$B$1:$B$1000=E15),0),0)),"?")</f>
        <v/>
      </c>
      <c r="G15" s="6">
        <f>IFERROR(INDEX('Kalem Kataloğu'!$D$1:$D$1000,MATCH(1,INDEX(('Kalem Kataloğu'!$A$1:$A$1000=A15)*('Kalem Kataloğu'!$B$1:$B$1000=E15),0),0)),"?")</f>
        <v/>
      </c>
      <c r="H15" s="7" t="n">
        <v>2</v>
      </c>
      <c r="I15" s="7" t="inlineStr">
        <is>
          <t>Hayır</t>
        </is>
      </c>
      <c r="J15" s="5" t="inlineStr">
        <is>
          <t>Drive foto (Tem. 2024)</t>
        </is>
      </c>
      <c r="K15" s="5" t="inlineStr">
        <is>
          <t xml:space="preserve"> [güven: orta]</t>
        </is>
      </c>
    </row>
    <row r="16" ht="39.6" customHeight="1">
      <c r="A16" s="5" t="inlineStr">
        <is>
          <t>Tare Houses Hotel</t>
        </is>
      </c>
      <c r="B16" s="5" t="inlineStr">
        <is>
          <t>X1</t>
        </is>
      </c>
      <c r="C16" s="7" t="n"/>
      <c r="D16" s="6">
        <f>IFERROR(INDEX('Kontrol Adımları'!$D:$D,MATCH(1,INDEX(('Kontrol Adımları'!$A$1:$A$400=B16)*('Kontrol Adımları'!$B$1:$B$400=C16),0),0)),"")</f>
        <v/>
      </c>
      <c r="E16" s="5" t="inlineStr">
        <is>
          <t>sofa_gray</t>
        </is>
      </c>
      <c r="F16" s="6">
        <f>IFERROR(INDEX('Kalem Kataloğu'!$C$1:$C$1000,MATCH(1,INDEX(('Kalem Kataloğu'!$A$1:$A$1000=A16)*('Kalem Kataloğu'!$B$1:$B$1000=E16),0),0)),"?")</f>
        <v/>
      </c>
      <c r="G16" s="6">
        <f>IFERROR(INDEX('Kalem Kataloğu'!$D$1:$D$1000,MATCH(1,INDEX(('Kalem Kataloğu'!$A$1:$A$1000=A16)*('Kalem Kataloğu'!$B$1:$B$1000=E16),0),0)),"?")</f>
        <v/>
      </c>
      <c r="H16" s="7" t="n">
        <v>1</v>
      </c>
      <c r="I16" s="7" t="inlineStr">
        <is>
          <t>Hayır</t>
        </is>
      </c>
      <c r="J16" s="5" t="inlineStr">
        <is>
          <t>Drive foto (Tem. 2024)</t>
        </is>
      </c>
      <c r="K16" s="5" t="inlineStr">
        <is>
          <t>X1 Deluxe Suite ve X2 Deluxe Triple oturma alanında. Açılır mı teyit et (Triple için 3. kişi yatağı). [güven: yüksek]</t>
        </is>
      </c>
    </row>
    <row r="17" ht="26.4" customHeight="1">
      <c r="A17" s="5" t="inlineStr">
        <is>
          <t>Tare Houses Hotel</t>
        </is>
      </c>
      <c r="B17" s="5" t="inlineStr">
        <is>
          <t>X1</t>
        </is>
      </c>
      <c r="C17" s="7" t="n"/>
      <c r="D17" s="6">
        <f>IFERROR(INDEX('Kontrol Adımları'!$D:$D,MATCH(1,INDEX(('Kontrol Adımları'!$A$1:$A$400=B17)*('Kontrol Adımları'!$B$1:$B$400=C17),0),0)),"")</f>
        <v/>
      </c>
      <c r="E17" s="5" t="inlineStr">
        <is>
          <t>kettle</t>
        </is>
      </c>
      <c r="F17" s="6">
        <f>IFERROR(INDEX('Kalem Kataloğu'!$C$1:$C$1000,MATCH(1,INDEX(('Kalem Kataloğu'!$A$1:$A$1000=A17)*('Kalem Kataloğu'!$B$1:$B$1000=E17),0),0)),"?")</f>
        <v/>
      </c>
      <c r="G17" s="6">
        <f>IFERROR(INDEX('Kalem Kataloğu'!$D$1:$D$1000,MATCH(1,INDEX(('Kalem Kataloğu'!$A$1:$A$1000=A17)*('Kalem Kataloğu'!$B$1:$B$1000=E17),0),0)),"?")</f>
        <v/>
      </c>
      <c r="H17" s="7" t="n">
        <v>1</v>
      </c>
      <c r="I17" s="7" t="inlineStr">
        <is>
          <t>Hayır</t>
        </is>
      </c>
      <c r="J17" s="5" t="inlineStr">
        <is>
          <t>Drive foto (Tem. 2024)</t>
        </is>
      </c>
      <c r="K17" s="5" t="inlineStr">
        <is>
          <t>Tüm oda fotoğraflarında tezgahta görünüyor. [güven: yüksek]</t>
        </is>
      </c>
    </row>
    <row r="18" ht="26.4" customHeight="1">
      <c r="A18" s="5" t="inlineStr">
        <is>
          <t>Tare Houses Hotel</t>
        </is>
      </c>
      <c r="B18" s="5" t="inlineStr">
        <is>
          <t>X1</t>
        </is>
      </c>
      <c r="C18" s="7" t="n"/>
      <c r="D18" s="6">
        <f>IFERROR(INDEX('Kontrol Adımları'!$D:$D,MATCH(1,INDEX(('Kontrol Adımları'!$A$1:$A$400=B18)*('Kontrol Adımları'!$B$1:$B$400=C18),0),0)),"")</f>
        <v/>
      </c>
      <c r="E18" s="5" t="inlineStr">
        <is>
          <t>air_conditioner</t>
        </is>
      </c>
      <c r="F18" s="6">
        <f>IFERROR(INDEX('Kalem Kataloğu'!$C$1:$C$1000,MATCH(1,INDEX(('Kalem Kataloğu'!$A$1:$A$1000=A18)*('Kalem Kataloğu'!$B$1:$B$1000=E18),0),0)),"?")</f>
        <v/>
      </c>
      <c r="G18" s="6">
        <f>IFERROR(INDEX('Kalem Kataloğu'!$D$1:$D$1000,MATCH(1,INDEX(('Kalem Kataloğu'!$A$1:$A$1000=A18)*('Kalem Kataloğu'!$B$1:$B$1000=E18),0),0)),"?")</f>
        <v/>
      </c>
      <c r="H18" s="7" t="n">
        <v>1</v>
      </c>
      <c r="I18" s="7" t="inlineStr">
        <is>
          <t>Hayır</t>
        </is>
      </c>
      <c r="J18" s="5" t="inlineStr">
        <is>
          <t>Drive foto (Tem. 2024)</t>
        </is>
      </c>
      <c r="K18" s="5" t="inlineStr">
        <is>
          <t>Kumanda Excel X3'te: TV + klima kumandası 2. [güven: yüksek]</t>
        </is>
      </c>
    </row>
    <row r="19" ht="26.4" customHeight="1">
      <c r="A19" s="5" t="inlineStr">
        <is>
          <t>Tare Houses Hotel</t>
        </is>
      </c>
      <c r="B19" s="5" t="inlineStr">
        <is>
          <t>X1</t>
        </is>
      </c>
      <c r="C19" s="7" t="n"/>
      <c r="D19" s="6">
        <f>IFERROR(INDEX('Kontrol Adımları'!$D:$D,MATCH(1,INDEX(('Kontrol Adımları'!$A$1:$A$400=B19)*('Kontrol Adımları'!$B$1:$B$400=C19),0),0)),"")</f>
        <v/>
      </c>
      <c r="E19" s="5" t="inlineStr">
        <is>
          <t>armchair</t>
        </is>
      </c>
      <c r="F19" s="6">
        <f>IFERROR(INDEX('Kalem Kataloğu'!$C$1:$C$1000,MATCH(1,INDEX(('Kalem Kataloğu'!$A$1:$A$1000=A19)*('Kalem Kataloğu'!$B$1:$B$1000=E19),0),0)),"?")</f>
        <v/>
      </c>
      <c r="G19" s="6">
        <f>IFERROR(INDEX('Kalem Kataloğu'!$D$1:$D$1000,MATCH(1,INDEX(('Kalem Kataloğu'!$A$1:$A$1000=A19)*('Kalem Kataloğu'!$B$1:$B$1000=E19),0),0)),"?")</f>
        <v/>
      </c>
      <c r="H19" s="7" t="n">
        <v>1</v>
      </c>
      <c r="I19" s="7" t="inlineStr">
        <is>
          <t>Hayır</t>
        </is>
      </c>
      <c r="J19" s="5" t="inlineStr">
        <is>
          <t>Drive foto (Tem. 2024)</t>
        </is>
      </c>
      <c r="K19" s="5" t="inlineStr">
        <is>
          <t>X1'de çalışma masası önünde 1 adet. [güven: yüksek]</t>
        </is>
      </c>
    </row>
    <row r="20" ht="26.4" customHeight="1">
      <c r="A20" s="5" t="inlineStr">
        <is>
          <t>Tare Houses Hotel</t>
        </is>
      </c>
      <c r="B20" s="5" t="inlineStr">
        <is>
          <t>X1</t>
        </is>
      </c>
      <c r="C20" s="7" t="n"/>
      <c r="D20" s="6">
        <f>IFERROR(INDEX('Kontrol Adımları'!$D:$D,MATCH(1,INDEX(('Kontrol Adımları'!$A$1:$A$400=B20)*('Kontrol Adımları'!$B$1:$B$400=C20),0),0)),"")</f>
        <v/>
      </c>
      <c r="E20" s="5" t="inlineStr">
        <is>
          <t>nightstand</t>
        </is>
      </c>
      <c r="F20" s="6">
        <f>IFERROR(INDEX('Kalem Kataloğu'!$C$1:$C$1000,MATCH(1,INDEX(('Kalem Kataloğu'!$A$1:$A$1000=A20)*('Kalem Kataloğu'!$B$1:$B$1000=E20),0),0)),"?")</f>
        <v/>
      </c>
      <c r="G20" s="6">
        <f>IFERROR(INDEX('Kalem Kataloğu'!$D$1:$D$1000,MATCH(1,INDEX(('Kalem Kataloğu'!$A$1:$A$1000=A20)*('Kalem Kataloğu'!$B$1:$B$1000=E20),0),0)),"?")</f>
        <v/>
      </c>
      <c r="H20" s="7" t="n">
        <v>2</v>
      </c>
      <c r="I20" s="7" t="inlineStr">
        <is>
          <t>Hayır</t>
        </is>
      </c>
      <c r="J20" s="5" t="inlineStr">
        <is>
          <t>Drive foto (Tem. 2024)</t>
        </is>
      </c>
      <c r="K20" s="5" t="inlineStr">
        <is>
          <t>X4'te komodin yerine kavisli başlığa entegre tabla. [güven: yüksek]</t>
        </is>
      </c>
    </row>
    <row r="21">
      <c r="A21" s="5" t="inlineStr">
        <is>
          <t>Tare Houses Hotel</t>
        </is>
      </c>
      <c r="B21" s="5" t="inlineStr">
        <is>
          <t>X1</t>
        </is>
      </c>
      <c r="C21" s="7" t="n"/>
      <c r="D21" s="6">
        <f>IFERROR(INDEX('Kontrol Adımları'!$D:$D,MATCH(1,INDEX(('Kontrol Adımları'!$A$1:$A$400=B21)*('Kontrol Adımları'!$B$1:$B$400=C21),0),0)),"")</f>
        <v/>
      </c>
      <c r="E21" s="5" t="inlineStr">
        <is>
          <t>floor_lamp</t>
        </is>
      </c>
      <c r="F21" s="6">
        <f>IFERROR(INDEX('Kalem Kataloğu'!$C$1:$C$1000,MATCH(1,INDEX(('Kalem Kataloğu'!$A$1:$A$1000=A21)*('Kalem Kataloğu'!$B$1:$B$1000=E21),0),0)),"?")</f>
        <v/>
      </c>
      <c r="G21" s="6">
        <f>IFERROR(INDEX('Kalem Kataloğu'!$D$1:$D$1000,MATCH(1,INDEX(('Kalem Kataloğu'!$A$1:$A$1000=A21)*('Kalem Kataloğu'!$B$1:$B$1000=E21),0),0)),"?")</f>
        <v/>
      </c>
      <c r="H21" s="7" t="n">
        <v>1</v>
      </c>
      <c r="I21" s="7" t="inlineStr">
        <is>
          <t>Hayır</t>
        </is>
      </c>
      <c r="J21" s="5" t="inlineStr">
        <is>
          <t>Drive foto (Tem. 2024)</t>
        </is>
      </c>
      <c r="K21" s="5" t="inlineStr">
        <is>
          <t xml:space="preserve"> [güven: yüksek]</t>
        </is>
      </c>
    </row>
    <row r="22" ht="26.4" customHeight="1">
      <c r="A22" s="5" t="inlineStr">
        <is>
          <t>Tare Houses Hotel</t>
        </is>
      </c>
      <c r="B22" s="5" t="inlineStr">
        <is>
          <t>X1</t>
        </is>
      </c>
      <c r="C22" s="7" t="n"/>
      <c r="D22" s="6">
        <f>IFERROR(INDEX('Kontrol Adımları'!$D:$D,MATCH(1,INDEX(('Kontrol Adımları'!$A$1:$A$400=B22)*('Kontrol Adımları'!$B$1:$B$400=C22),0),0)),"")</f>
        <v/>
      </c>
      <c r="E22" s="5" t="inlineStr">
        <is>
          <t>vanity_unit</t>
        </is>
      </c>
      <c r="F22" s="6">
        <f>IFERROR(INDEX('Kalem Kataloğu'!$C$1:$C$1000,MATCH(1,INDEX(('Kalem Kataloğu'!$A$1:$A$1000=A22)*('Kalem Kataloğu'!$B$1:$B$1000=E22),0),0)),"?")</f>
        <v/>
      </c>
      <c r="G22" s="6">
        <f>IFERROR(INDEX('Kalem Kataloğu'!$D$1:$D$1000,MATCH(1,INDEX(('Kalem Kataloğu'!$A$1:$A$1000=A22)*('Kalem Kataloğu'!$B$1:$B$1000=E22),0),0)),"?")</f>
        <v/>
      </c>
      <c r="H22" s="7" t="n">
        <v>1</v>
      </c>
      <c r="I22" s="7" t="inlineStr">
        <is>
          <t>Hayır</t>
        </is>
      </c>
      <c r="J22" s="5" t="inlineStr">
        <is>
          <t>Drive foto (Tem. 2024)</t>
        </is>
      </c>
      <c r="K22" s="5" t="inlineStr">
        <is>
          <t>Excel X3 adım 2: raftaki havlular burada. [güven: yüksek]</t>
        </is>
      </c>
    </row>
    <row r="23">
      <c r="A23" s="5" t="inlineStr">
        <is>
          <t>Tare Houses Hotel</t>
        </is>
      </c>
      <c r="B23" s="5" t="inlineStr">
        <is>
          <t>X1</t>
        </is>
      </c>
      <c r="C23" s="7" t="n"/>
      <c r="D23" s="6">
        <f>IFERROR(INDEX('Kontrol Adımları'!$D:$D,MATCH(1,INDEX(('Kontrol Adımları'!$A$1:$A$400=B23)*('Kontrol Adımları'!$B$1:$B$400=C23),0),0)),"")</f>
        <v/>
      </c>
      <c r="E23" s="5" t="inlineStr">
        <is>
          <t>basin_faucet</t>
        </is>
      </c>
      <c r="F23" s="6">
        <f>IFERROR(INDEX('Kalem Kataloğu'!$C$1:$C$1000,MATCH(1,INDEX(('Kalem Kataloğu'!$A$1:$A$1000=A23)*('Kalem Kataloğu'!$B$1:$B$1000=E23),0),0)),"?")</f>
        <v/>
      </c>
      <c r="G23" s="6">
        <f>IFERROR(INDEX('Kalem Kataloğu'!$D$1:$D$1000,MATCH(1,INDEX(('Kalem Kataloğu'!$A$1:$A$1000=A23)*('Kalem Kataloğu'!$B$1:$B$1000=E23),0),0)),"?")</f>
        <v/>
      </c>
      <c r="H23" s="7" t="n">
        <v>1</v>
      </c>
      <c r="I23" s="7" t="inlineStr">
        <is>
          <t>Hayır</t>
        </is>
      </c>
      <c r="J23" s="5" t="inlineStr">
        <is>
          <t>Drive foto (Tem. 2024)</t>
        </is>
      </c>
      <c r="K23" s="5" t="inlineStr">
        <is>
          <t xml:space="preserve"> [güven: yüksek]</t>
        </is>
      </c>
    </row>
    <row r="24" ht="26.4" customHeight="1">
      <c r="A24" s="5" t="inlineStr">
        <is>
          <t>Tare Houses Hotel</t>
        </is>
      </c>
      <c r="B24" s="5" t="inlineStr">
        <is>
          <t>X1</t>
        </is>
      </c>
      <c r="C24" s="7" t="n"/>
      <c r="D24" s="6">
        <f>IFERROR(INDEX('Kontrol Adımları'!$D:$D,MATCH(1,INDEX(('Kontrol Adımları'!$A$1:$A$400=B24)*('Kontrol Adımları'!$B$1:$B$400=C24),0),0)),"")</f>
        <v/>
      </c>
      <c r="E24" s="5" t="inlineStr">
        <is>
          <t>globe_table_lamp</t>
        </is>
      </c>
      <c r="F24" s="6">
        <f>IFERROR(INDEX('Kalem Kataloğu'!$C$1:$C$1000,MATCH(1,INDEX(('Kalem Kataloğu'!$A$1:$A$1000=A24)*('Kalem Kataloğu'!$B$1:$B$1000=E24),0),0)),"?")</f>
        <v/>
      </c>
      <c r="G24" s="6">
        <f>IFERROR(INDEX('Kalem Kataloğu'!$D$1:$D$1000,MATCH(1,INDEX(('Kalem Kataloğu'!$A$1:$A$1000=A24)*('Kalem Kataloğu'!$B$1:$B$1000=E24),0),0)),"?")</f>
        <v/>
      </c>
      <c r="H24" s="7" t="n"/>
      <c r="I24" s="7" t="inlineStr">
        <is>
          <t>Hayır</t>
        </is>
      </c>
      <c r="J24" s="5" t="inlineStr">
        <is>
          <t>Drive foto (Tem. 2024)</t>
        </is>
      </c>
      <c r="K24" s="5" t="inlineStr">
        <is>
          <t>X4 yatak başlığı tablalarında 2 adet. [güven: yüksek]</t>
        </is>
      </c>
    </row>
    <row r="25">
      <c r="A25" s="5" t="inlineStr">
        <is>
          <t>Tare Houses Hotel</t>
        </is>
      </c>
      <c r="B25" s="5" t="inlineStr">
        <is>
          <t>X1</t>
        </is>
      </c>
      <c r="C25" s="7" t="n"/>
      <c r="D25" s="6">
        <f>IFERROR(INDEX('Kontrol Adımları'!$D:$D,MATCH(1,INDEX(('Kontrol Adımları'!$A$1:$A$400=B25)*('Kontrol Adımları'!$B$1:$B$400=C25),0),0)),"")</f>
        <v/>
      </c>
      <c r="E25" s="5" t="inlineStr">
        <is>
          <t>mini_fridge</t>
        </is>
      </c>
      <c r="F25" s="6">
        <f>IFERROR(INDEX('Kalem Kataloğu'!$C$1:$C$1000,MATCH(1,INDEX(('Kalem Kataloğu'!$A$1:$A$1000=A25)*('Kalem Kataloğu'!$B$1:$B$1000=E25),0),0)),"?")</f>
        <v/>
      </c>
      <c r="G25" s="6">
        <f>IFERROR(INDEX('Kalem Kataloğu'!$D$1:$D$1000,MATCH(1,INDEX(('Kalem Kataloğu'!$A$1:$A$1000=A25)*('Kalem Kataloğu'!$B$1:$B$1000=E25),0),0)),"?")</f>
        <v/>
      </c>
      <c r="H25" s="7" t="n">
        <v>1</v>
      </c>
      <c r="I25" s="7" t="inlineStr">
        <is>
          <t>Hayır</t>
        </is>
      </c>
      <c r="J25" s="5" t="inlineStr">
        <is>
          <t>Drive foto (Tem. 2024)</t>
        </is>
      </c>
      <c r="K25" s="5" t="inlineStr">
        <is>
          <t xml:space="preserve"> [güven: yüksek]</t>
        </is>
      </c>
    </row>
    <row r="26" ht="26.4" customHeight="1">
      <c r="A26" s="5" t="inlineStr">
        <is>
          <t>Tare Houses Hotel</t>
        </is>
      </c>
      <c r="B26" s="5" t="inlineStr">
        <is>
          <t>X1</t>
        </is>
      </c>
      <c r="C26" s="7" t="n"/>
      <c r="D26" s="6">
        <f>IFERROR(INDEX('Kontrol Adımları'!$D:$D,MATCH(1,INDEX(('Kontrol Adımları'!$A$1:$A$400=B26)*('Kontrol Adımları'!$B$1:$B$400=C26),0),0)),"")</f>
        <v/>
      </c>
      <c r="E26" s="5" t="inlineStr">
        <is>
          <t>coffee_table_glass</t>
        </is>
      </c>
      <c r="F26" s="6">
        <f>IFERROR(INDEX('Kalem Kataloğu'!$C$1:$C$1000,MATCH(1,INDEX(('Kalem Kataloğu'!$A$1:$A$1000=A26)*('Kalem Kataloğu'!$B$1:$B$1000=E26),0),0)),"?")</f>
        <v/>
      </c>
      <c r="G26" s="6">
        <f>IFERROR(INDEX('Kalem Kataloğu'!$D$1:$D$1000,MATCH(1,INDEX(('Kalem Kataloğu'!$A$1:$A$1000=A26)*('Kalem Kataloğu'!$B$1:$B$1000=E26),0),0)),"?")</f>
        <v/>
      </c>
      <c r="H26" s="7" t="n">
        <v>1</v>
      </c>
      <c r="I26" s="7" t="inlineStr">
        <is>
          <t>Hayır</t>
        </is>
      </c>
      <c r="J26" s="5" t="inlineStr">
        <is>
          <t>Drive foto (Tem. 2024)</t>
        </is>
      </c>
      <c r="K26" s="5" t="inlineStr">
        <is>
          <t xml:space="preserve"> [güven: yüksek]</t>
        </is>
      </c>
    </row>
    <row r="27">
      <c r="A27" s="5" t="inlineStr">
        <is>
          <t>Tare Houses Hotel</t>
        </is>
      </c>
      <c r="B27" s="5" t="inlineStr">
        <is>
          <t>X1</t>
        </is>
      </c>
      <c r="C27" s="7" t="n"/>
      <c r="D27" s="6">
        <f>IFERROR(INDEX('Kontrol Adımları'!$D:$D,MATCH(1,INDEX(('Kontrol Adımları'!$A$1:$A$400=B27)*('Kontrol Adımları'!$B$1:$B$400=C27),0),0)),"")</f>
        <v/>
      </c>
      <c r="E27" s="5" t="inlineStr">
        <is>
          <t>pendant_lamp</t>
        </is>
      </c>
      <c r="F27" s="6">
        <f>IFERROR(INDEX('Kalem Kataloğu'!$C$1:$C$1000,MATCH(1,INDEX(('Kalem Kataloğu'!$A$1:$A$1000=A27)*('Kalem Kataloğu'!$B$1:$B$1000=E27),0),0)),"?")</f>
        <v/>
      </c>
      <c r="G27" s="6">
        <f>IFERROR(INDEX('Kalem Kataloğu'!$D$1:$D$1000,MATCH(1,INDEX(('Kalem Kataloğu'!$A$1:$A$1000=A27)*('Kalem Kataloğu'!$B$1:$B$1000=E27),0),0)),"?")</f>
        <v/>
      </c>
      <c r="H27" s="7" t="n"/>
      <c r="I27" s="7" t="inlineStr">
        <is>
          <t>Hayır</t>
        </is>
      </c>
      <c r="J27" s="5" t="inlineStr">
        <is>
          <t>Drive foto (Tem. 2024)</t>
        </is>
      </c>
      <c r="K27" s="5" t="inlineStr">
        <is>
          <t xml:space="preserve"> [güven: yüksek]</t>
        </is>
      </c>
    </row>
    <row r="28" ht="39.6" customHeight="1">
      <c r="A28" s="5" t="inlineStr">
        <is>
          <t>Tare Houses Hotel</t>
        </is>
      </c>
      <c r="B28" s="5" t="inlineStr">
        <is>
          <t>X1</t>
        </is>
      </c>
      <c r="C28" s="7" t="n"/>
      <c r="D28" s="6">
        <f>IFERROR(INDEX('Kontrol Adımları'!$D:$D,MATCH(1,INDEX(('Kontrol Adımları'!$A$1:$A$400=B28)*('Kontrol Adımları'!$B$1:$B$400=C28),0),0)),"")</f>
        <v/>
      </c>
      <c r="E28" s="5" t="inlineStr">
        <is>
          <t>tv</t>
        </is>
      </c>
      <c r="F28" s="6">
        <f>IFERROR(INDEX('Kalem Kataloğu'!$C$1:$C$1000,MATCH(1,INDEX(('Kalem Kataloğu'!$A$1:$A$1000=A28)*('Kalem Kataloğu'!$B$1:$B$1000=E28),0),0)),"?")</f>
        <v/>
      </c>
      <c r="G28" s="6">
        <f>IFERROR(INDEX('Kalem Kataloğu'!$D$1:$D$1000,MATCH(1,INDEX(('Kalem Kataloğu'!$A$1:$A$1000=A28)*('Kalem Kataloğu'!$B$1:$B$1000=E28),0),0)),"?")</f>
        <v/>
      </c>
      <c r="H28" s="7" t="n">
        <v>2</v>
      </c>
      <c r="I28" s="7" t="inlineStr">
        <is>
          <t>Hayır</t>
        </is>
      </c>
      <c r="J28" s="5" t="inlineStr">
        <is>
          <t>Drive foto (Tem. 2024)</t>
        </is>
      </c>
      <c r="K28" s="5" t="inlineStr">
        <is>
          <t>X1'de yatak odasında 1 + oturma alanı/koridor duvarında 1 görünüyor; teyit et. Excel X3: 1. [güven: orta]</t>
        </is>
      </c>
    </row>
    <row r="29" ht="26.4" customHeight="1">
      <c r="A29" s="5" t="inlineStr">
        <is>
          <t>Tare Houses Hotel</t>
        </is>
      </c>
      <c r="B29" s="5" t="inlineStr">
        <is>
          <t>X1</t>
        </is>
      </c>
      <c r="C29" s="7" t="n"/>
      <c r="D29" s="6">
        <f>IFERROR(INDEX('Kontrol Adımları'!$D:$D,MATCH(1,INDEX(('Kontrol Adımları'!$A$1:$A$400=B29)*('Kontrol Adımları'!$B$1:$B$400=C29),0),0)),"")</f>
        <v/>
      </c>
      <c r="E29" s="5" t="inlineStr">
        <is>
          <t>wall_art</t>
        </is>
      </c>
      <c r="F29" s="6">
        <f>IFERROR(INDEX('Kalem Kataloğu'!$C$1:$C$1000,MATCH(1,INDEX(('Kalem Kataloğu'!$A$1:$A$1000=A29)*('Kalem Kataloğu'!$B$1:$B$1000=E29),0),0)),"?")</f>
        <v/>
      </c>
      <c r="G29" s="6">
        <f>IFERROR(INDEX('Kalem Kataloğu'!$D$1:$D$1000,MATCH(1,INDEX(('Kalem Kataloğu'!$A$1:$A$1000=A29)*('Kalem Kataloğu'!$B$1:$B$1000=E29),0),0)),"?")</f>
        <v/>
      </c>
      <c r="H29" s="7" t="n">
        <v>2</v>
      </c>
      <c r="I29" s="7" t="inlineStr">
        <is>
          <t>Hayır</t>
        </is>
      </c>
      <c r="J29" s="5" t="inlineStr">
        <is>
          <t>Drive foto (Tem. 2024)</t>
        </is>
      </c>
      <c r="K29" s="5" t="inlineStr">
        <is>
          <t>X1: oturma alanı + yatak odası 2 adet. [güven: yüksek]</t>
        </is>
      </c>
    </row>
    <row r="30" ht="26.4" customHeight="1">
      <c r="A30" s="5" t="inlineStr">
        <is>
          <t>Tare Houses Hotel</t>
        </is>
      </c>
      <c r="B30" s="5" t="inlineStr">
        <is>
          <t>X1</t>
        </is>
      </c>
      <c r="C30" s="7" t="n"/>
      <c r="D30" s="6">
        <f>IFERROR(INDEX('Kontrol Adımları'!$D:$D,MATCH(1,INDEX(('Kontrol Adımları'!$A$1:$A$400=B30)*('Kontrol Adımları'!$B$1:$B$400=C30),0),0)),"")</f>
        <v/>
      </c>
      <c r="E30" s="5" t="inlineStr">
        <is>
          <t>shower_set</t>
        </is>
      </c>
      <c r="F30" s="6">
        <f>IFERROR(INDEX('Kalem Kataloğu'!$C$1:$C$1000,MATCH(1,INDEX(('Kalem Kataloğu'!$A$1:$A$1000=A30)*('Kalem Kataloğu'!$B$1:$B$1000=E30),0),0)),"?")</f>
        <v/>
      </c>
      <c r="G30" s="6">
        <f>IFERROR(INDEX('Kalem Kataloğu'!$D$1:$D$1000,MATCH(1,INDEX(('Kalem Kataloğu'!$A$1:$A$1000=A30)*('Kalem Kataloğu'!$B$1:$B$1000=E30),0),0)),"?")</f>
        <v/>
      </c>
      <c r="H30" s="7" t="n">
        <v>1</v>
      </c>
      <c r="I30" s="7" t="inlineStr">
        <is>
          <t>Hayır</t>
        </is>
      </c>
      <c r="J30" s="5" t="inlineStr">
        <is>
          <t>Drive foto (Tem. 2024)</t>
        </is>
      </c>
      <c r="K30" s="5" t="inlineStr">
        <is>
          <t xml:space="preserve"> [güven: yüksek]</t>
        </is>
      </c>
    </row>
    <row r="31" ht="26.4" customHeight="1">
      <c r="A31" s="5" t="inlineStr">
        <is>
          <t>Tare Houses Hotel</t>
        </is>
      </c>
      <c r="B31" s="5" t="inlineStr">
        <is>
          <t>X1</t>
        </is>
      </c>
      <c r="C31" s="7" t="n"/>
      <c r="D31" s="6">
        <f>IFERROR(INDEX('Kontrol Adımları'!$D:$D,MATCH(1,INDEX(('Kontrol Adımları'!$A$1:$A$400=B31)*('Kontrol Adımları'!$B$1:$B$400=C31),0),0)),"")</f>
        <v/>
      </c>
      <c r="E31" s="5" t="inlineStr">
        <is>
          <t>vessel_sink</t>
        </is>
      </c>
      <c r="F31" s="6">
        <f>IFERROR(INDEX('Kalem Kataloğu'!$C$1:$C$1000,MATCH(1,INDEX(('Kalem Kataloğu'!$A$1:$A$1000=A31)*('Kalem Kataloğu'!$B$1:$B$1000=E31),0),0)),"?")</f>
        <v/>
      </c>
      <c r="G31" s="6">
        <f>IFERROR(INDEX('Kalem Kataloğu'!$D$1:$D$1000,MATCH(1,INDEX(('Kalem Kataloğu'!$A$1:$A$1000=A31)*('Kalem Kataloğu'!$B$1:$B$1000=E31),0),0)),"?")</f>
        <v/>
      </c>
      <c r="H31" s="7" t="n">
        <v>1</v>
      </c>
      <c r="I31" s="7" t="inlineStr">
        <is>
          <t>Hayır</t>
        </is>
      </c>
      <c r="J31" s="5" t="inlineStr">
        <is>
          <t>Drive foto (Tem. 2024)</t>
        </is>
      </c>
      <c r="K31" s="5" t="inlineStr">
        <is>
          <t xml:space="preserve"> [güven: yüksek]</t>
        </is>
      </c>
    </row>
    <row r="32">
      <c r="A32" s="5" t="inlineStr">
        <is>
          <t>Tare Houses Hotel</t>
        </is>
      </c>
      <c r="B32" s="5" t="inlineStr">
        <is>
          <t>X1</t>
        </is>
      </c>
      <c r="C32" s="7" t="n"/>
      <c r="D32" s="6">
        <f>IFERROR(INDEX('Kontrol Adımları'!$D:$D,MATCH(1,INDEX(('Kontrol Adımları'!$A$1:$A$400=B32)*('Kontrol Adımları'!$B$1:$B$400=C32),0),0)),"")</f>
        <v/>
      </c>
      <c r="E32" s="5" t="inlineStr">
        <is>
          <t>toilet_paper_holder</t>
        </is>
      </c>
      <c r="F32" s="6">
        <f>IFERROR(INDEX('Kalem Kataloğu'!$C$1:$C$1000,MATCH(1,INDEX(('Kalem Kataloğu'!$A$1:$A$1000=A32)*('Kalem Kataloğu'!$B$1:$B$1000=E32),0),0)),"?")</f>
        <v/>
      </c>
      <c r="G32" s="6">
        <f>IFERROR(INDEX('Kalem Kataloğu'!$D$1:$D$1000,MATCH(1,INDEX(('Kalem Kataloğu'!$A$1:$A$1000=A32)*('Kalem Kataloğu'!$B$1:$B$1000=E32),0),0)),"?")</f>
        <v/>
      </c>
      <c r="H32" s="7" t="n">
        <v>1</v>
      </c>
      <c r="I32" s="7" t="inlineStr">
        <is>
          <t>Hayır</t>
        </is>
      </c>
      <c r="J32" s="5" t="inlineStr">
        <is>
          <t>Drive foto (Tem. 2024)</t>
        </is>
      </c>
      <c r="K32" s="5" t="inlineStr">
        <is>
          <t xml:space="preserve"> [güven: orta]</t>
        </is>
      </c>
    </row>
    <row r="33" ht="26.4" customHeight="1">
      <c r="A33" s="5" t="inlineStr">
        <is>
          <t>Tare Houses Hotel</t>
        </is>
      </c>
      <c r="B33" s="5" t="inlineStr">
        <is>
          <t>X1</t>
        </is>
      </c>
      <c r="C33" s="7" t="n"/>
      <c r="D33" s="6">
        <f>IFERROR(INDEX('Kontrol Adımları'!$D:$D,MATCH(1,INDEX(('Kontrol Adımları'!$A$1:$A$400=B33)*('Kontrol Adımları'!$B$1:$B$400=C33),0),0)),"")</f>
        <v/>
      </c>
      <c r="E33" s="5" t="inlineStr">
        <is>
          <t>toilet_brush</t>
        </is>
      </c>
      <c r="F33" s="6">
        <f>IFERROR(INDEX('Kalem Kataloğu'!$C$1:$C$1000,MATCH(1,INDEX(('Kalem Kataloğu'!$A$1:$A$1000=A33)*('Kalem Kataloğu'!$B$1:$B$1000=E33),0),0)),"?")</f>
        <v/>
      </c>
      <c r="G33" s="6">
        <f>IFERROR(INDEX('Kalem Kataloğu'!$D$1:$D$1000,MATCH(1,INDEX(('Kalem Kataloğu'!$A$1:$A$1000=A33)*('Kalem Kataloğu'!$B$1:$B$1000=E33),0),0)),"?")</f>
        <v/>
      </c>
      <c r="H33" s="7" t="n">
        <v>1</v>
      </c>
      <c r="I33" s="7" t="inlineStr">
        <is>
          <t>Hayır</t>
        </is>
      </c>
      <c r="J33" s="5" t="inlineStr">
        <is>
          <t>Drive foto (Tem. 2024)</t>
        </is>
      </c>
      <c r="K33" s="5" t="inlineStr">
        <is>
          <t>Fotoğrafta küçük görünüyor; kırpılmadı. [güven: orta]</t>
        </is>
      </c>
    </row>
    <row r="34" ht="26.4" customHeight="1">
      <c r="A34" s="5" t="inlineStr">
        <is>
          <t>Tare Houses Hotel</t>
        </is>
      </c>
      <c r="B34" s="5" t="inlineStr">
        <is>
          <t>X1</t>
        </is>
      </c>
      <c r="C34" s="7" t="n"/>
      <c r="D34" s="6">
        <f>IFERROR(INDEX('Kontrol Adımları'!$D:$D,MATCH(1,INDEX(('Kontrol Adımları'!$A$1:$A$400=B34)*('Kontrol Adımları'!$B$1:$B$400=C34),0),0)),"")</f>
        <v/>
      </c>
      <c r="E34" s="5" t="inlineStr">
        <is>
          <t>pillow</t>
        </is>
      </c>
      <c r="F34" s="6">
        <f>IFERROR(INDEX('Kalem Kataloğu'!$C$1:$C$1000,MATCH(1,INDEX(('Kalem Kataloğu'!$A$1:$A$1000=A34)*('Kalem Kataloğu'!$B$1:$B$1000=E34),0),0)),"?")</f>
        <v/>
      </c>
      <c r="G34" s="6">
        <f>IFERROR(INDEX('Kalem Kataloğu'!$D$1:$D$1000,MATCH(1,INDEX(('Kalem Kataloğu'!$A$1:$A$1000=A34)*('Kalem Kataloğu'!$B$1:$B$1000=E34),0),0)),"?")</f>
        <v/>
      </c>
      <c r="H34" s="7" t="n">
        <v>4</v>
      </c>
      <c r="I34" s="7" t="inlineStr">
        <is>
          <t>Hayır</t>
        </is>
      </c>
      <c r="J34" s="5" t="inlineStr">
        <is>
          <t>Drive foto (Tem. 2024)</t>
        </is>
      </c>
      <c r="K34" s="5" t="inlineStr">
        <is>
          <t>Yatakta 2 arka + 2 ön. Excel X3: 4 (doğrulanmadı). [güven: orta]</t>
        </is>
      </c>
    </row>
    <row r="35" ht="26.4" customHeight="1">
      <c r="A35" s="5" t="inlineStr">
        <is>
          <t>Tare Houses Hotel</t>
        </is>
      </c>
      <c r="B35" s="5" t="inlineStr">
        <is>
          <t>X1</t>
        </is>
      </c>
      <c r="C35" s="7" t="n"/>
      <c r="D35" s="6">
        <f>IFERROR(INDEX('Kontrol Adımları'!$D:$D,MATCH(1,INDEX(('Kontrol Adımları'!$A$1:$A$400=B35)*('Kontrol Adımları'!$B$1:$B$400=C35),0),0)),"")</f>
        <v/>
      </c>
      <c r="E35" s="5" t="inlineStr">
        <is>
          <t>led_mirror</t>
        </is>
      </c>
      <c r="F35" s="6">
        <f>IFERROR(INDEX('Kalem Kataloğu'!$C$1:$C$1000,MATCH(1,INDEX(('Kalem Kataloğu'!$A$1:$A$1000=A35)*('Kalem Kataloğu'!$B$1:$B$1000=E35),0),0)),"?")</f>
        <v/>
      </c>
      <c r="G35" s="6">
        <f>IFERROR(INDEX('Kalem Kataloğu'!$D$1:$D$1000,MATCH(1,INDEX(('Kalem Kataloğu'!$A$1:$A$1000=A35)*('Kalem Kataloğu'!$B$1:$B$1000=E35),0),0)),"?")</f>
        <v/>
      </c>
      <c r="H35" s="7" t="n">
        <v>1</v>
      </c>
      <c r="I35" s="7" t="inlineStr">
        <is>
          <t>Hayır</t>
        </is>
      </c>
      <c r="J35" s="5" t="inlineStr">
        <is>
          <t>Drive foto (Tem. 2024)</t>
        </is>
      </c>
      <c r="K35" s="5" t="inlineStr">
        <is>
          <t xml:space="preserve"> [güven: yüksek]</t>
        </is>
      </c>
    </row>
    <row r="36" ht="26.4" customHeight="1">
      <c r="A36" s="5" t="inlineStr">
        <is>
          <t>Tare Houses Hotel</t>
        </is>
      </c>
      <c r="B36" s="5" t="inlineStr">
        <is>
          <t>X1</t>
        </is>
      </c>
      <c r="C36" s="7" t="n"/>
      <c r="D36" s="6">
        <f>IFERROR(INDEX('Kontrol Adımları'!$D:$D,MATCH(1,INDEX(('Kontrol Adımları'!$A$1:$A$400=B36)*('Kontrol Adımları'!$B$1:$B$400=C36),0),0)),"")</f>
        <v/>
      </c>
      <c r="E36" s="5" t="inlineStr">
        <is>
          <t>round_wall_lamp</t>
        </is>
      </c>
      <c r="F36" s="6">
        <f>IFERROR(INDEX('Kalem Kataloğu'!$C$1:$C$1000,MATCH(1,INDEX(('Kalem Kataloğu'!$A$1:$A$1000=A36)*('Kalem Kataloğu'!$B$1:$B$1000=E36),0),0)),"?")</f>
        <v/>
      </c>
      <c r="G36" s="6">
        <f>IFERROR(INDEX('Kalem Kataloğu'!$D$1:$D$1000,MATCH(1,INDEX(('Kalem Kataloğu'!$A$1:$A$1000=A36)*('Kalem Kataloğu'!$B$1:$B$1000=E36),0),0)),"?")</f>
        <v/>
      </c>
      <c r="H36" s="7" t="n"/>
      <c r="I36" s="7" t="inlineStr">
        <is>
          <t>Hayır</t>
        </is>
      </c>
      <c r="J36" s="5" t="inlineStr">
        <is>
          <t>Drive foto (Tem. 2024)</t>
        </is>
      </c>
      <c r="K36" s="5" t="inlineStr">
        <is>
          <t>Odalarda 1-3 adet; tip bazında sayılmalı. [güven: orta]</t>
        </is>
      </c>
    </row>
    <row r="37">
      <c r="A37" s="5" t="inlineStr">
        <is>
          <t>Tare Houses Hotel</t>
        </is>
      </c>
      <c r="B37" s="5" t="inlineStr">
        <is>
          <t>X1</t>
        </is>
      </c>
      <c r="C37" s="7" t="n"/>
      <c r="D37" s="6">
        <f>IFERROR(INDEX('Kontrol Adımları'!$D:$D,MATCH(1,INDEX(('Kontrol Adımları'!$A$1:$A$400=B37)*('Kontrol Adımları'!$B$1:$B$400=C37),0),0)),"")</f>
        <v/>
      </c>
      <c r="E37" s="5" t="inlineStr">
        <is>
          <t>round_rug_woven</t>
        </is>
      </c>
      <c r="F37" s="6">
        <f>IFERROR(INDEX('Kalem Kataloğu'!$C$1:$C$1000,MATCH(1,INDEX(('Kalem Kataloğu'!$A$1:$A$1000=A37)*('Kalem Kataloğu'!$B$1:$B$1000=E37),0),0)),"?")</f>
        <v/>
      </c>
      <c r="G37" s="6">
        <f>IFERROR(INDEX('Kalem Kataloğu'!$D$1:$D$1000,MATCH(1,INDEX(('Kalem Kataloğu'!$A$1:$A$1000=A37)*('Kalem Kataloğu'!$B$1:$B$1000=E37),0),0)),"?")</f>
        <v/>
      </c>
      <c r="H37" s="7" t="n"/>
      <c r="I37" s="7" t="inlineStr">
        <is>
          <t>Hayır</t>
        </is>
      </c>
      <c r="J37" s="5" t="inlineStr">
        <is>
          <t>Drive foto (Tem. 2024)</t>
        </is>
      </c>
      <c r="K37" s="5" t="inlineStr">
        <is>
          <t xml:space="preserve"> [güven: yüksek]</t>
        </is>
      </c>
    </row>
    <row r="38" ht="26.4" customHeight="1">
      <c r="A38" s="5" t="inlineStr">
        <is>
          <t>Tare Houses Hotel</t>
        </is>
      </c>
      <c r="B38" s="5" t="inlineStr">
        <is>
          <t>X1</t>
        </is>
      </c>
      <c r="C38" s="7" t="n"/>
      <c r="D38" s="6">
        <f>IFERROR(INDEX('Kontrol Adımları'!$D:$D,MATCH(1,INDEX(('Kontrol Adımları'!$A$1:$A$400=B38)*('Kontrol Adımları'!$B$1:$B$400=C38),0),0)),"")</f>
        <v/>
      </c>
      <c r="E38" s="5" t="inlineStr">
        <is>
          <t>round_table</t>
        </is>
      </c>
      <c r="F38" s="6">
        <f>IFERROR(INDEX('Kalem Kataloğu'!$C$1:$C$1000,MATCH(1,INDEX(('Kalem Kataloğu'!$A$1:$A$1000=A38)*('Kalem Kataloğu'!$B$1:$B$1000=E38),0),0)),"?")</f>
        <v/>
      </c>
      <c r="G38" s="6">
        <f>IFERROR(INDEX('Kalem Kataloğu'!$D$1:$D$1000,MATCH(1,INDEX(('Kalem Kataloğu'!$A$1:$A$1000=A38)*('Kalem Kataloğu'!$B$1:$B$1000=E38),0),0)),"?")</f>
        <v/>
      </c>
      <c r="H38" s="7" t="n"/>
      <c r="I38" s="7" t="inlineStr">
        <is>
          <t>Hayır</t>
        </is>
      </c>
      <c r="J38" s="5" t="inlineStr">
        <is>
          <t>Drive foto (Tem. 2024)</t>
        </is>
      </c>
      <c r="K38" s="5" t="inlineStr">
        <is>
          <t>X1'de yuvarlak masa yerine çalışma masası var. [güven: yüksek]</t>
        </is>
      </c>
    </row>
    <row r="39" ht="26.4" customHeight="1">
      <c r="A39" s="5" t="inlineStr">
        <is>
          <t>Tare Houses Hotel</t>
        </is>
      </c>
      <c r="B39" s="5" t="inlineStr">
        <is>
          <t>X1</t>
        </is>
      </c>
      <c r="C39" s="7" t="n"/>
      <c r="D39" s="6">
        <f>IFERROR(INDEX('Kontrol Adımları'!$D:$D,MATCH(1,INDEX(('Kontrol Adımları'!$A$1:$A$400=B39)*('Kontrol Adımları'!$B$1:$B$400=C39),0),0)),"")</f>
        <v/>
      </c>
      <c r="E39" s="5" t="inlineStr">
        <is>
          <t>round_bed</t>
        </is>
      </c>
      <c r="F39" s="6">
        <f>IFERROR(INDEX('Kalem Kataloğu'!$C$1:$C$1000,MATCH(1,INDEX(('Kalem Kataloğu'!$A$1:$A$1000=A39)*('Kalem Kataloğu'!$B$1:$B$1000=E39),0),0)),"?")</f>
        <v/>
      </c>
      <c r="G39" s="6">
        <f>IFERROR(INDEX('Kalem Kataloğu'!$D$1:$D$1000,MATCH(1,INDEX(('Kalem Kataloğu'!$A$1:$A$1000=A39)*('Kalem Kataloğu'!$B$1:$B$1000=E39),0),0)),"?")</f>
        <v/>
      </c>
      <c r="H39" s="7" t="n"/>
      <c r="I39" s="7" t="inlineStr">
        <is>
          <t>Hayır</t>
        </is>
      </c>
      <c r="J39" s="5" t="inlineStr">
        <is>
          <t>Drive foto (Tem. 2024)</t>
        </is>
      </c>
      <c r="K39" s="5" t="inlineStr">
        <is>
          <t>Sadece X4 Exclusive Suite. [güven: yüksek]</t>
        </is>
      </c>
    </row>
    <row r="40" ht="26.4" customHeight="1">
      <c r="A40" s="5" t="inlineStr">
        <is>
          <t>Tare Houses Hotel</t>
        </is>
      </c>
      <c r="B40" s="5" t="inlineStr">
        <is>
          <t>X1</t>
        </is>
      </c>
      <c r="C40" s="7" t="n"/>
      <c r="D40" s="6">
        <f>IFERROR(INDEX('Kontrol Adımları'!$D:$D,MATCH(1,INDEX(('Kontrol Adımları'!$A$1:$A$400=B40)*('Kontrol Adımları'!$B$1:$B$400=C40),0),0)),"")</f>
        <v/>
      </c>
      <c r="E40" s="5" t="inlineStr">
        <is>
          <t>desk_with_chair</t>
        </is>
      </c>
      <c r="F40" s="6">
        <f>IFERROR(INDEX('Kalem Kataloğu'!$C$1:$C$1000,MATCH(1,INDEX(('Kalem Kataloğu'!$A$1:$A$1000=A40)*('Kalem Kataloğu'!$B$1:$B$1000=E40),0),0)),"?")</f>
        <v/>
      </c>
      <c r="G40" s="6">
        <f>IFERROR(INDEX('Kalem Kataloğu'!$D$1:$D$1000,MATCH(1,INDEX(('Kalem Kataloğu'!$A$1:$A$1000=A40)*('Kalem Kataloğu'!$B$1:$B$1000=E40),0),0)),"?")</f>
        <v/>
      </c>
      <c r="H40" s="7" t="n">
        <v>1</v>
      </c>
      <c r="I40" s="7" t="inlineStr">
        <is>
          <t>Hayır</t>
        </is>
      </c>
      <c r="J40" s="5" t="inlineStr">
        <is>
          <t>Drive foto (Tem. 2024)</t>
        </is>
      </c>
      <c r="K40" s="5" t="inlineStr">
        <is>
          <t>X1: oturma alanında çalışma masası + berjer. X2: kapı yanında konsol masa. [güven: orta]</t>
        </is>
      </c>
    </row>
    <row r="41" ht="26.4" customHeight="1">
      <c r="A41" s="5" t="inlineStr">
        <is>
          <t>Tare Houses Hotel</t>
        </is>
      </c>
      <c r="B41" s="5" t="inlineStr">
        <is>
          <t>X1</t>
        </is>
      </c>
      <c r="C41" s="7" t="n"/>
      <c r="D41" s="6">
        <f>IFERROR(INDEX('Kontrol Adımları'!$D:$D,MATCH(1,INDEX(('Kontrol Adımları'!$A$1:$A$400=B41)*('Kontrol Adımları'!$B$1:$B$400=C41),0),0)),"")</f>
        <v/>
      </c>
      <c r="E41" s="5" t="inlineStr">
        <is>
          <t>bed</t>
        </is>
      </c>
      <c r="F41" s="6">
        <f>IFERROR(INDEX('Kalem Kataloğu'!$C$1:$C$1000,MATCH(1,INDEX(('Kalem Kataloğu'!$A$1:$A$1000=A41)*('Kalem Kataloğu'!$B$1:$B$1000=E41),0),0)),"?")</f>
        <v/>
      </c>
      <c r="G41" s="6">
        <f>IFERROR(INDEX('Kalem Kataloğu'!$D$1:$D$1000,MATCH(1,INDEX(('Kalem Kataloğu'!$A$1:$A$1000=A41)*('Kalem Kataloğu'!$B$1:$B$1000=E41),0),0)),"?")</f>
        <v/>
      </c>
      <c r="H41" s="7" t="n">
        <v>1</v>
      </c>
      <c r="I41" s="7" t="inlineStr">
        <is>
          <t>Hayır</t>
        </is>
      </c>
      <c r="J41" s="5" t="inlineStr">
        <is>
          <t>Drive foto (Tem. 2024)</t>
        </is>
      </c>
      <c r="K41" s="5" t="inlineStr">
        <is>
          <t>X1 ve X2'de aynı model. X4'te yuvarlak yatak (ayrı kalem). [güven: yüksek]</t>
        </is>
      </c>
    </row>
    <row r="42" ht="26.4" customHeight="1">
      <c r="A42" s="5" t="inlineStr">
        <is>
          <t>Tare Houses Hotel</t>
        </is>
      </c>
      <c r="B42" s="5" t="inlineStr">
        <is>
          <t>X2</t>
        </is>
      </c>
      <c r="C42" s="7" t="n"/>
      <c r="D42" s="6">
        <f>IFERROR(INDEX('Kontrol Adımları'!$D:$D,MATCH(1,INDEX(('Kontrol Adımları'!$A$1:$A$400=B42)*('Kontrol Adımları'!$B$1:$B$400=C42),0),0)),"")</f>
        <v/>
      </c>
      <c r="E42" s="5" t="inlineStr">
        <is>
          <t>cooktop</t>
        </is>
      </c>
      <c r="F42" s="6">
        <f>IFERROR(INDEX('Kalem Kataloğu'!$C$1:$C$1000,MATCH(1,INDEX(('Kalem Kataloğu'!$A$1:$A$1000=A42)*('Kalem Kataloğu'!$B$1:$B$1000=E42),0),0)),"?")</f>
        <v/>
      </c>
      <c r="G42" s="6">
        <f>IFERROR(INDEX('Kalem Kataloğu'!$D$1:$D$1000,MATCH(1,INDEX(('Kalem Kataloğu'!$A$1:$A$1000=A42)*('Kalem Kataloğu'!$B$1:$B$1000=E42),0),0)),"?")</f>
        <v/>
      </c>
      <c r="H42" s="7" t="n">
        <v>1</v>
      </c>
      <c r="I42" s="7" t="inlineStr">
        <is>
          <t>Hayır</t>
        </is>
      </c>
      <c r="J42" s="5" t="inlineStr">
        <is>
          <t>Drive foto (Tem. 2024)</t>
        </is>
      </c>
      <c r="K42" s="5" t="inlineStr">
        <is>
          <t xml:space="preserve"> [güven: yüksek]</t>
        </is>
      </c>
    </row>
    <row r="43">
      <c r="A43" s="5" t="inlineStr">
        <is>
          <t>Tare Houses Hotel</t>
        </is>
      </c>
      <c r="B43" s="5" t="inlineStr">
        <is>
          <t>X2</t>
        </is>
      </c>
      <c r="C43" s="7" t="n"/>
      <c r="D43" s="6">
        <f>IFERROR(INDEX('Kontrol Adımları'!$D:$D,MATCH(1,INDEX(('Kontrol Adımları'!$A$1:$A$400=B43)*('Kontrol Adımları'!$B$1:$B$400=C43),0),0)),"")</f>
        <v/>
      </c>
      <c r="E43" s="5" t="inlineStr">
        <is>
          <t>wc</t>
        </is>
      </c>
      <c r="F43" s="6">
        <f>IFERROR(INDEX('Kalem Kataloğu'!$C$1:$C$1000,MATCH(1,INDEX(('Kalem Kataloğu'!$A$1:$A$1000=A43)*('Kalem Kataloğu'!$B$1:$B$1000=E43),0),0)),"?")</f>
        <v/>
      </c>
      <c r="G43" s="6">
        <f>IFERROR(INDEX('Kalem Kataloğu'!$D$1:$D$1000,MATCH(1,INDEX(('Kalem Kataloğu'!$A$1:$A$1000=A43)*('Kalem Kataloğu'!$B$1:$B$1000=E43),0),0)),"?")</f>
        <v/>
      </c>
      <c r="H43" s="7" t="n">
        <v>1</v>
      </c>
      <c r="I43" s="7" t="inlineStr">
        <is>
          <t>Hayır</t>
        </is>
      </c>
      <c r="J43" s="5" t="inlineStr">
        <is>
          <t>Drive foto (Tem. 2024)</t>
        </is>
      </c>
      <c r="K43" s="5" t="inlineStr">
        <is>
          <t xml:space="preserve"> [güven: yüksek]</t>
        </is>
      </c>
    </row>
    <row r="44">
      <c r="A44" s="5" t="inlineStr">
        <is>
          <t>Tare Houses Hotel</t>
        </is>
      </c>
      <c r="B44" s="5" t="inlineStr">
        <is>
          <t>X2</t>
        </is>
      </c>
      <c r="C44" s="7" t="n"/>
      <c r="D44" s="6">
        <f>IFERROR(INDEX('Kontrol Adımları'!$D:$D,MATCH(1,INDEX(('Kontrol Adımları'!$A$1:$A$400=B44)*('Kontrol Adımları'!$B$1:$B$400=C44),0),0)),"")</f>
        <v/>
      </c>
      <c r="E44" s="5" t="inlineStr">
        <is>
          <t>hanging_bin</t>
        </is>
      </c>
      <c r="F44" s="6">
        <f>IFERROR(INDEX('Kalem Kataloğu'!$C$1:$C$1000,MATCH(1,INDEX(('Kalem Kataloğu'!$A$1:$A$1000=A44)*('Kalem Kataloğu'!$B$1:$B$1000=E44),0),0)),"?")</f>
        <v/>
      </c>
      <c r="G44" s="6">
        <f>IFERROR(INDEX('Kalem Kataloğu'!$D$1:$D$1000,MATCH(1,INDEX(('Kalem Kataloğu'!$A$1:$A$1000=A44)*('Kalem Kataloğu'!$B$1:$B$1000=E44),0),0)),"?")</f>
        <v/>
      </c>
      <c r="H44" s="7" t="n">
        <v>1</v>
      </c>
      <c r="I44" s="7" t="inlineStr">
        <is>
          <t>Hayır</t>
        </is>
      </c>
      <c r="J44" s="5" t="inlineStr">
        <is>
          <t>Drive foto (Tem. 2024)</t>
        </is>
      </c>
      <c r="K44" s="5" t="inlineStr">
        <is>
          <t xml:space="preserve"> [güven: yüksek]</t>
        </is>
      </c>
    </row>
    <row r="45">
      <c r="A45" s="5" t="inlineStr">
        <is>
          <t>Tare Houses Hotel</t>
        </is>
      </c>
      <c r="B45" s="5" t="inlineStr">
        <is>
          <t>X2</t>
        </is>
      </c>
      <c r="C45" s="7" t="n"/>
      <c r="D45" s="6">
        <f>IFERROR(INDEX('Kontrol Adımları'!$D:$D,MATCH(1,INDEX(('Kontrol Adımları'!$A$1:$A$400=B45)*('Kontrol Adımları'!$B$1:$B$400=C45),0),0)),"")</f>
        <v/>
      </c>
      <c r="E45" s="5" t="inlineStr">
        <is>
          <t>bath_bin</t>
        </is>
      </c>
      <c r="F45" s="6">
        <f>IFERROR(INDEX('Kalem Kataloğu'!$C$1:$C$1000,MATCH(1,INDEX(('Kalem Kataloğu'!$A$1:$A$1000=A45)*('Kalem Kataloğu'!$B$1:$B$1000=E45),0),0)),"?")</f>
        <v/>
      </c>
      <c r="G45" s="6">
        <f>IFERROR(INDEX('Kalem Kataloğu'!$D$1:$D$1000,MATCH(1,INDEX(('Kalem Kataloğu'!$A$1:$A$1000=A45)*('Kalem Kataloğu'!$B$1:$B$1000=E45),0),0)),"?")</f>
        <v/>
      </c>
      <c r="H45" s="7" t="n">
        <v>1</v>
      </c>
      <c r="I45" s="7" t="inlineStr">
        <is>
          <t>Hayır</t>
        </is>
      </c>
      <c r="J45" s="5" t="inlineStr">
        <is>
          <t>Drive foto (Tem. 2024)</t>
        </is>
      </c>
      <c r="K45" s="5" t="inlineStr">
        <is>
          <t>Excel X3: banyo çöp kovası 1. [güven: yüksek]</t>
        </is>
      </c>
    </row>
    <row r="46">
      <c r="A46" s="5" t="inlineStr">
        <is>
          <t>Tare Houses Hotel</t>
        </is>
      </c>
      <c r="B46" s="5" t="inlineStr">
        <is>
          <t>X2</t>
        </is>
      </c>
      <c r="C46" s="7" t="n"/>
      <c r="D46" s="6">
        <f>IFERROR(INDEX('Kontrol Adımları'!$D:$D,MATCH(1,INDEX(('Kontrol Adımları'!$A$1:$A$400=B46)*('Kontrol Adımları'!$B$1:$B$400=C46),0),0)),"")</f>
        <v/>
      </c>
      <c r="E46" s="5" t="inlineStr">
        <is>
          <t>bedside_wall_lamp</t>
        </is>
      </c>
      <c r="F46" s="6">
        <f>IFERROR(INDEX('Kalem Kataloğu'!$C$1:$C$1000,MATCH(1,INDEX(('Kalem Kataloğu'!$A$1:$A$1000=A46)*('Kalem Kataloğu'!$B$1:$B$1000=E46),0),0)),"?")</f>
        <v/>
      </c>
      <c r="G46" s="6">
        <f>IFERROR(INDEX('Kalem Kataloğu'!$D$1:$D$1000,MATCH(1,INDEX(('Kalem Kataloğu'!$A$1:$A$1000=A46)*('Kalem Kataloğu'!$B$1:$B$1000=E46),0),0)),"?")</f>
        <v/>
      </c>
      <c r="H46" s="7" t="n">
        <v>2</v>
      </c>
      <c r="I46" s="7" t="inlineStr">
        <is>
          <t>Hayır</t>
        </is>
      </c>
      <c r="J46" s="5" t="inlineStr">
        <is>
          <t>Drive foto (Tem. 2024)</t>
        </is>
      </c>
      <c r="K46" s="5" t="inlineStr">
        <is>
          <t>Yatağın iki yanında. [güven: orta]</t>
        </is>
      </c>
    </row>
    <row r="47" ht="26.4" customHeight="1">
      <c r="A47" s="5" t="inlineStr">
        <is>
          <t>Tare Houses Hotel</t>
        </is>
      </c>
      <c r="B47" s="5" t="inlineStr">
        <is>
          <t>X2</t>
        </is>
      </c>
      <c r="C47" s="7" t="n"/>
      <c r="D47" s="6">
        <f>IFERROR(INDEX('Kontrol Adımları'!$D:$D,MATCH(1,INDEX(('Kontrol Adımları'!$A$1:$A$400=B47)*('Kontrol Adımları'!$B$1:$B$400=C47),0),0)),"")</f>
        <v/>
      </c>
      <c r="E47" s="5" t="inlineStr">
        <is>
          <t>range_hood</t>
        </is>
      </c>
      <c r="F47" s="6">
        <f>IFERROR(INDEX('Kalem Kataloğu'!$C$1:$C$1000,MATCH(1,INDEX(('Kalem Kataloğu'!$A$1:$A$1000=A47)*('Kalem Kataloğu'!$B$1:$B$1000=E47),0),0)),"?")</f>
        <v/>
      </c>
      <c r="G47" s="6">
        <f>IFERROR(INDEX('Kalem Kataloğu'!$D$1:$D$1000,MATCH(1,INDEX(('Kalem Kataloğu'!$A$1:$A$1000=A47)*('Kalem Kataloğu'!$B$1:$B$1000=E47),0),0)),"?")</f>
        <v/>
      </c>
      <c r="H47" s="7" t="n">
        <v>1</v>
      </c>
      <c r="I47" s="7" t="inlineStr">
        <is>
          <t>Hayır</t>
        </is>
      </c>
      <c r="J47" s="5" t="inlineStr">
        <is>
          <t>Drive foto (Tem. 2024)</t>
        </is>
      </c>
      <c r="K47" s="5" t="inlineStr">
        <is>
          <t xml:space="preserve"> [güven: orta]</t>
        </is>
      </c>
    </row>
    <row r="48">
      <c r="A48" s="5" t="inlineStr">
        <is>
          <t>Tare Houses Hotel</t>
        </is>
      </c>
      <c r="B48" s="5" t="inlineStr">
        <is>
          <t>X2</t>
        </is>
      </c>
      <c r="C48" s="7" t="n"/>
      <c r="D48" s="6">
        <f>IFERROR(INDEX('Kontrol Adımları'!$D:$D,MATCH(1,INDEX(('Kontrol Adımları'!$A$1:$A$400=B48)*('Kontrol Adımları'!$B$1:$B$400=C48),0),0)),"")</f>
        <v/>
      </c>
      <c r="E48" s="5" t="inlineStr">
        <is>
          <t>decor_branches</t>
        </is>
      </c>
      <c r="F48" s="6">
        <f>IFERROR(INDEX('Kalem Kataloğu'!$C$1:$C$1000,MATCH(1,INDEX(('Kalem Kataloğu'!$A$1:$A$1000=A48)*('Kalem Kataloğu'!$B$1:$B$1000=E48),0),0)),"?")</f>
        <v/>
      </c>
      <c r="G48" s="6">
        <f>IFERROR(INDEX('Kalem Kataloğu'!$D$1:$D$1000,MATCH(1,INDEX(('Kalem Kataloğu'!$A$1:$A$1000=A48)*('Kalem Kataloğu'!$B$1:$B$1000=E48),0),0)),"?")</f>
        <v/>
      </c>
      <c r="H48" s="7" t="n">
        <v>1</v>
      </c>
      <c r="I48" s="7" t="inlineStr">
        <is>
          <t>Hayır</t>
        </is>
      </c>
      <c r="J48" s="5" t="inlineStr">
        <is>
          <t>Drive foto (Tem. 2024)</t>
        </is>
      </c>
      <c r="K48" s="5" t="inlineStr">
        <is>
          <t xml:space="preserve"> [güven: orta]</t>
        </is>
      </c>
    </row>
    <row r="49">
      <c r="A49" s="5" t="inlineStr">
        <is>
          <t>Tare Houses Hotel</t>
        </is>
      </c>
      <c r="B49" s="5" t="inlineStr">
        <is>
          <t>X2</t>
        </is>
      </c>
      <c r="C49" s="7" t="n"/>
      <c r="D49" s="6">
        <f>IFERROR(INDEX('Kontrol Adımları'!$D:$D,MATCH(1,INDEX(('Kontrol Adımları'!$A$1:$A$400=B49)*('Kontrol Adımları'!$B$1:$B$400=C49),0),0)),"")</f>
        <v/>
      </c>
      <c r="E49" s="5" t="inlineStr">
        <is>
          <t>smoke_detector</t>
        </is>
      </c>
      <c r="F49" s="6">
        <f>IFERROR(INDEX('Kalem Kataloğu'!$C$1:$C$1000,MATCH(1,INDEX(('Kalem Kataloğu'!$A$1:$A$1000=A49)*('Kalem Kataloğu'!$B$1:$B$1000=E49),0),0)),"?")</f>
        <v/>
      </c>
      <c r="G49" s="6">
        <f>IFERROR(INDEX('Kalem Kataloğu'!$D$1:$D$1000,MATCH(1,INDEX(('Kalem Kataloğu'!$A$1:$A$1000=A49)*('Kalem Kataloğu'!$B$1:$B$1000=E49),0),0)),"?")</f>
        <v/>
      </c>
      <c r="H49" s="7" t="n">
        <v>1</v>
      </c>
      <c r="I49" s="7" t="inlineStr">
        <is>
          <t>Hayır</t>
        </is>
      </c>
      <c r="J49" s="5" t="inlineStr">
        <is>
          <t>Drive foto (Tem. 2024)</t>
        </is>
      </c>
      <c r="K49" s="5" t="inlineStr">
        <is>
          <t xml:space="preserve"> [güven: orta]</t>
        </is>
      </c>
    </row>
    <row r="50" ht="26.4" customHeight="1">
      <c r="A50" s="5" t="inlineStr">
        <is>
          <t>Tare Houses Hotel</t>
        </is>
      </c>
      <c r="B50" s="5" t="inlineStr">
        <is>
          <t>X2</t>
        </is>
      </c>
      <c r="C50" s="7" t="n"/>
      <c r="D50" s="6">
        <f>IFERROR(INDEX('Kontrol Adımları'!$D:$D,MATCH(1,INDEX(('Kontrol Adımları'!$A$1:$A$400=B50)*('Kontrol Adımları'!$B$1:$B$400=C50),0),0)),"")</f>
        <v/>
      </c>
      <c r="E50" s="5" t="inlineStr">
        <is>
          <t>dispenser</t>
        </is>
      </c>
      <c r="F50" s="6">
        <f>IFERROR(INDEX('Kalem Kataloğu'!$C$1:$C$1000,MATCH(1,INDEX(('Kalem Kataloğu'!$A$1:$A$1000=A50)*('Kalem Kataloğu'!$B$1:$B$1000=E50),0),0)),"?")</f>
        <v/>
      </c>
      <c r="G50" s="6">
        <f>IFERROR(INDEX('Kalem Kataloğu'!$D$1:$D$1000,MATCH(1,INDEX(('Kalem Kataloğu'!$A$1:$A$1000=A50)*('Kalem Kataloğu'!$B$1:$B$1000=E50),0),0)),"?")</f>
        <v/>
      </c>
      <c r="H50" s="7" t="n">
        <v>1</v>
      </c>
      <c r="I50" s="7" t="inlineStr">
        <is>
          <t>Hayır</t>
        </is>
      </c>
      <c r="J50" s="5" t="inlineStr">
        <is>
          <t>Drive foto (Tem. 2024)</t>
        </is>
      </c>
      <c r="K50" s="5" t="inlineStr">
        <is>
          <t>Excel X3: 3 hazne. [güven: yüksek]</t>
        </is>
      </c>
    </row>
    <row r="51" ht="26.4" customHeight="1">
      <c r="A51" s="5" t="inlineStr">
        <is>
          <t>Tare Houses Hotel</t>
        </is>
      </c>
      <c r="B51" s="5" t="inlineStr">
        <is>
          <t>X2</t>
        </is>
      </c>
      <c r="C51" s="7" t="n"/>
      <c r="D51" s="6">
        <f>IFERROR(INDEX('Kontrol Adımları'!$D:$D,MATCH(1,INDEX(('Kontrol Adımları'!$A$1:$A$400=B51)*('Kontrol Adımları'!$B$1:$B$400=C51),0),0)),"")</f>
        <v/>
      </c>
      <c r="E51" s="5" t="inlineStr">
        <is>
          <t>wardrobe</t>
        </is>
      </c>
      <c r="F51" s="6">
        <f>IFERROR(INDEX('Kalem Kataloğu'!$C$1:$C$1000,MATCH(1,INDEX(('Kalem Kataloğu'!$A$1:$A$1000=A51)*('Kalem Kataloğu'!$B$1:$B$1000=E51),0),0)),"?")</f>
        <v/>
      </c>
      <c r="G51" s="6">
        <f>IFERROR(INDEX('Kalem Kataloğu'!$D$1:$D$1000,MATCH(1,INDEX(('Kalem Kataloğu'!$A$1:$A$1000=A51)*('Kalem Kataloğu'!$B$1:$B$1000=E51),0),0)),"?")</f>
        <v/>
      </c>
      <c r="H51" s="7" t="n">
        <v>1</v>
      </c>
      <c r="I51" s="7" t="inlineStr">
        <is>
          <t>Hayır</t>
        </is>
      </c>
      <c r="J51" s="5" t="inlineStr">
        <is>
          <t>Drive foto (Tem. 2024)</t>
        </is>
      </c>
      <c r="K51" s="5" t="inlineStr">
        <is>
          <t>İçi (askı, battaniye) fotoğrafta görünmüyor. Excel X3: askı 6, yedek battaniye 1. [güven: yüksek]</t>
        </is>
      </c>
    </row>
    <row r="52" ht="26.4" customHeight="1">
      <c r="A52" s="5" t="inlineStr">
        <is>
          <t>Tare Houses Hotel</t>
        </is>
      </c>
      <c r="B52" s="5" t="inlineStr">
        <is>
          <t>X2</t>
        </is>
      </c>
      <c r="C52" s="7" t="n"/>
      <c r="D52" s="6">
        <f>IFERROR(INDEX('Kontrol Adımları'!$D:$D,MATCH(1,INDEX(('Kontrol Adımları'!$A$1:$A$400=B52)*('Kontrol Adımları'!$B$1:$B$400=C52),0),0)),"")</f>
        <v/>
      </c>
      <c r="E52" s="5" t="inlineStr">
        <is>
          <t>flush_plate</t>
        </is>
      </c>
      <c r="F52" s="6">
        <f>IFERROR(INDEX('Kalem Kataloğu'!$C$1:$C$1000,MATCH(1,INDEX(('Kalem Kataloğu'!$A$1:$A$1000=A52)*('Kalem Kataloğu'!$B$1:$B$1000=E52),0),0)),"?")</f>
        <v/>
      </c>
      <c r="G52" s="6">
        <f>IFERROR(INDEX('Kalem Kataloğu'!$D$1:$D$1000,MATCH(1,INDEX(('Kalem Kataloğu'!$A$1:$A$1000=A52)*('Kalem Kataloğu'!$B$1:$B$1000=E52),0),0)),"?")</f>
        <v/>
      </c>
      <c r="H52" s="7" t="n">
        <v>1</v>
      </c>
      <c r="I52" s="7" t="inlineStr">
        <is>
          <t>Hayır</t>
        </is>
      </c>
      <c r="J52" s="5" t="inlineStr">
        <is>
          <t>Drive foto (Tem. 2024)</t>
        </is>
      </c>
      <c r="K52" s="5" t="inlineStr">
        <is>
          <t xml:space="preserve"> [güven: yüksek]</t>
        </is>
      </c>
    </row>
    <row r="53" ht="26.4" customHeight="1">
      <c r="A53" s="5" t="inlineStr">
        <is>
          <t>Tare Houses Hotel</t>
        </is>
      </c>
      <c r="B53" s="5" t="inlineStr">
        <is>
          <t>X2</t>
        </is>
      </c>
      <c r="C53" s="7" t="n"/>
      <c r="D53" s="6">
        <f>IFERROR(INDEX('Kontrol Adımları'!$D:$D,MATCH(1,INDEX(('Kontrol Adımları'!$A$1:$A$400=B53)*('Kontrol Adımları'!$B$1:$B$400=C53),0),0)),"")</f>
        <v/>
      </c>
      <c r="E53" s="5" t="inlineStr">
        <is>
          <t>rug_striped</t>
        </is>
      </c>
      <c r="F53" s="6">
        <f>IFERROR(INDEX('Kalem Kataloğu'!$C$1:$C$1000,MATCH(1,INDEX(('Kalem Kataloğu'!$A$1:$A$1000=A53)*('Kalem Kataloğu'!$B$1:$B$1000=E53),0),0)),"?")</f>
        <v/>
      </c>
      <c r="G53" s="6">
        <f>IFERROR(INDEX('Kalem Kataloğu'!$D$1:$D$1000,MATCH(1,INDEX(('Kalem Kataloğu'!$A$1:$A$1000=A53)*('Kalem Kataloğu'!$B$1:$B$1000=E53),0),0)),"?")</f>
        <v/>
      </c>
      <c r="H53" s="7" t="n">
        <v>1</v>
      </c>
      <c r="I53" s="7" t="inlineStr">
        <is>
          <t>Hayır</t>
        </is>
      </c>
      <c r="J53" s="5" t="inlineStr">
        <is>
          <t>Drive foto (Tem. 2024)</t>
        </is>
      </c>
      <c r="K53" s="5" t="inlineStr">
        <is>
          <t xml:space="preserve"> [güven: orta]</t>
        </is>
      </c>
    </row>
    <row r="54">
      <c r="A54" s="5" t="inlineStr">
        <is>
          <t>Tare Houses Hotel</t>
        </is>
      </c>
      <c r="B54" s="5" t="inlineStr">
        <is>
          <t>X2</t>
        </is>
      </c>
      <c r="C54" s="7" t="n"/>
      <c r="D54" s="6">
        <f>IFERROR(INDEX('Kontrol Adımları'!$D:$D,MATCH(1,INDEX(('Kontrol Adımları'!$A$1:$A$400=B54)*('Kontrol Adımları'!$B$1:$B$400=C54),0),0)),"")</f>
        <v/>
      </c>
      <c r="E54" s="5" t="inlineStr">
        <is>
          <t>towel_bar</t>
        </is>
      </c>
      <c r="F54" s="6">
        <f>IFERROR(INDEX('Kalem Kataloğu'!$C$1:$C$1000,MATCH(1,INDEX(('Kalem Kataloğu'!$A$1:$A$1000=A54)*('Kalem Kataloğu'!$B$1:$B$1000=E54),0),0)),"?")</f>
        <v/>
      </c>
      <c r="G54" s="6">
        <f>IFERROR(INDEX('Kalem Kataloğu'!$D$1:$D$1000,MATCH(1,INDEX(('Kalem Kataloğu'!$A$1:$A$1000=A54)*('Kalem Kataloğu'!$B$1:$B$1000=E54),0),0)),"?")</f>
        <v/>
      </c>
      <c r="H54" s="7" t="n">
        <v>1</v>
      </c>
      <c r="I54" s="7" t="inlineStr">
        <is>
          <t>Hayır</t>
        </is>
      </c>
      <c r="J54" s="5" t="inlineStr">
        <is>
          <t>Drive foto (Tem. 2024)</t>
        </is>
      </c>
      <c r="K54" s="5" t="inlineStr">
        <is>
          <t xml:space="preserve"> [güven: orta]</t>
        </is>
      </c>
    </row>
    <row r="55">
      <c r="A55" s="5" t="inlineStr">
        <is>
          <t>Tare Houses Hotel</t>
        </is>
      </c>
      <c r="B55" s="5" t="inlineStr">
        <is>
          <t>X2</t>
        </is>
      </c>
      <c r="C55" s="7" t="n"/>
      <c r="D55" s="6">
        <f>IFERROR(INDEX('Kontrol Adımları'!$D:$D,MATCH(1,INDEX(('Kontrol Adımları'!$A$1:$A$400=B55)*('Kontrol Adımları'!$B$1:$B$400=C55),0),0)),"")</f>
        <v/>
      </c>
      <c r="E55" s="5" t="inlineStr">
        <is>
          <t>towel_ring</t>
        </is>
      </c>
      <c r="F55" s="6">
        <f>IFERROR(INDEX('Kalem Kataloğu'!$C$1:$C$1000,MATCH(1,INDEX(('Kalem Kataloğu'!$A$1:$A$1000=A55)*('Kalem Kataloğu'!$B$1:$B$1000=E55),0),0)),"?")</f>
        <v/>
      </c>
      <c r="G55" s="6">
        <f>IFERROR(INDEX('Kalem Kataloğu'!$D$1:$D$1000,MATCH(1,INDEX(('Kalem Kataloğu'!$A$1:$A$1000=A55)*('Kalem Kataloğu'!$B$1:$B$1000=E55),0),0)),"?")</f>
        <v/>
      </c>
      <c r="H55" s="7" t="n">
        <v>2</v>
      </c>
      <c r="I55" s="7" t="inlineStr">
        <is>
          <t>Hayır</t>
        </is>
      </c>
      <c r="J55" s="5" t="inlineStr">
        <is>
          <t>Drive foto (Tem. 2024)</t>
        </is>
      </c>
      <c r="K55" s="5" t="inlineStr">
        <is>
          <t xml:space="preserve"> [güven: orta]</t>
        </is>
      </c>
    </row>
    <row r="56" ht="39.6" customHeight="1">
      <c r="A56" s="5" t="inlineStr">
        <is>
          <t>Tare Houses Hotel</t>
        </is>
      </c>
      <c r="B56" s="5" t="inlineStr">
        <is>
          <t>X2</t>
        </is>
      </c>
      <c r="C56" s="7" t="n"/>
      <c r="D56" s="6">
        <f>IFERROR(INDEX('Kontrol Adımları'!$D:$D,MATCH(1,INDEX(('Kontrol Adımları'!$A$1:$A$400=B56)*('Kontrol Adımları'!$B$1:$B$400=C56),0),0)),"")</f>
        <v/>
      </c>
      <c r="E56" s="5" t="inlineStr">
        <is>
          <t>sofa_gray</t>
        </is>
      </c>
      <c r="F56" s="6">
        <f>IFERROR(INDEX('Kalem Kataloğu'!$C$1:$C$1000,MATCH(1,INDEX(('Kalem Kataloğu'!$A$1:$A$1000=A56)*('Kalem Kataloğu'!$B$1:$B$1000=E56),0),0)),"?")</f>
        <v/>
      </c>
      <c r="G56" s="6">
        <f>IFERROR(INDEX('Kalem Kataloğu'!$D$1:$D$1000,MATCH(1,INDEX(('Kalem Kataloğu'!$A$1:$A$1000=A56)*('Kalem Kataloğu'!$B$1:$B$1000=E56),0),0)),"?")</f>
        <v/>
      </c>
      <c r="H56" s="7" t="n">
        <v>1</v>
      </c>
      <c r="I56" s="7" t="inlineStr">
        <is>
          <t>Hayır</t>
        </is>
      </c>
      <c r="J56" s="5" t="inlineStr">
        <is>
          <t>Drive foto (Tem. 2024)</t>
        </is>
      </c>
      <c r="K56" s="5" t="inlineStr">
        <is>
          <t>X1 Deluxe Suite ve X2 Deluxe Triple oturma alanında. Açılır mı teyit et (Triple için 3. kişi yatağı). [güven: yüksek]</t>
        </is>
      </c>
    </row>
    <row r="57" ht="26.4" customHeight="1">
      <c r="A57" s="5" t="inlineStr">
        <is>
          <t>Tare Houses Hotel</t>
        </is>
      </c>
      <c r="B57" s="5" t="inlineStr">
        <is>
          <t>X2</t>
        </is>
      </c>
      <c r="C57" s="7" t="n"/>
      <c r="D57" s="6">
        <f>IFERROR(INDEX('Kontrol Adımları'!$D:$D,MATCH(1,INDEX(('Kontrol Adımları'!$A$1:$A$400=B57)*('Kontrol Adımları'!$B$1:$B$400=C57),0),0)),"")</f>
        <v/>
      </c>
      <c r="E57" s="5" t="inlineStr">
        <is>
          <t>kettle</t>
        </is>
      </c>
      <c r="F57" s="6">
        <f>IFERROR(INDEX('Kalem Kataloğu'!$C$1:$C$1000,MATCH(1,INDEX(('Kalem Kataloğu'!$A$1:$A$1000=A57)*('Kalem Kataloğu'!$B$1:$B$1000=E57),0),0)),"?")</f>
        <v/>
      </c>
      <c r="G57" s="6">
        <f>IFERROR(INDEX('Kalem Kataloğu'!$D$1:$D$1000,MATCH(1,INDEX(('Kalem Kataloğu'!$A$1:$A$1000=A57)*('Kalem Kataloğu'!$B$1:$B$1000=E57),0),0)),"?")</f>
        <v/>
      </c>
      <c r="H57" s="7" t="n">
        <v>1</v>
      </c>
      <c r="I57" s="7" t="inlineStr">
        <is>
          <t>Hayır</t>
        </is>
      </c>
      <c r="J57" s="5" t="inlineStr">
        <is>
          <t>Drive foto (Tem. 2024)</t>
        </is>
      </c>
      <c r="K57" s="5" t="inlineStr">
        <is>
          <t>Tüm oda fotoğraflarında tezgahta görünüyor. [güven: yüksek]</t>
        </is>
      </c>
    </row>
    <row r="58" ht="26.4" customHeight="1">
      <c r="A58" s="5" t="inlineStr">
        <is>
          <t>Tare Houses Hotel</t>
        </is>
      </c>
      <c r="B58" s="5" t="inlineStr">
        <is>
          <t>X2</t>
        </is>
      </c>
      <c r="C58" s="7" t="n"/>
      <c r="D58" s="6">
        <f>IFERROR(INDEX('Kontrol Adımları'!$D:$D,MATCH(1,INDEX(('Kontrol Adımları'!$A$1:$A$400=B58)*('Kontrol Adımları'!$B$1:$B$400=C58),0),0)),"")</f>
        <v/>
      </c>
      <c r="E58" s="5" t="inlineStr">
        <is>
          <t>air_conditioner</t>
        </is>
      </c>
      <c r="F58" s="6">
        <f>IFERROR(INDEX('Kalem Kataloğu'!$C$1:$C$1000,MATCH(1,INDEX(('Kalem Kataloğu'!$A$1:$A$1000=A58)*('Kalem Kataloğu'!$B$1:$B$1000=E58),0),0)),"?")</f>
        <v/>
      </c>
      <c r="G58" s="6">
        <f>IFERROR(INDEX('Kalem Kataloğu'!$D$1:$D$1000,MATCH(1,INDEX(('Kalem Kataloğu'!$A$1:$A$1000=A58)*('Kalem Kataloğu'!$B$1:$B$1000=E58),0),0)),"?")</f>
        <v/>
      </c>
      <c r="H58" s="7" t="n">
        <v>1</v>
      </c>
      <c r="I58" s="7" t="inlineStr">
        <is>
          <t>Hayır</t>
        </is>
      </c>
      <c r="J58" s="5" t="inlineStr">
        <is>
          <t>Drive foto (Tem. 2024)</t>
        </is>
      </c>
      <c r="K58" s="5" t="inlineStr">
        <is>
          <t>Kumanda Excel X3'te: TV + klima kumandası 2. [güven: yüksek]</t>
        </is>
      </c>
    </row>
    <row r="59" ht="26.4" customHeight="1">
      <c r="A59" s="5" t="inlineStr">
        <is>
          <t>Tare Houses Hotel</t>
        </is>
      </c>
      <c r="B59" s="5" t="inlineStr">
        <is>
          <t>X2</t>
        </is>
      </c>
      <c r="C59" s="7" t="n"/>
      <c r="D59" s="6">
        <f>IFERROR(INDEX('Kontrol Adımları'!$D:$D,MATCH(1,INDEX(('Kontrol Adımları'!$A$1:$A$400=B59)*('Kontrol Adımları'!$B$1:$B$400=C59),0),0)),"")</f>
        <v/>
      </c>
      <c r="E59" s="5" t="inlineStr">
        <is>
          <t>armchair</t>
        </is>
      </c>
      <c r="F59" s="6">
        <f>IFERROR(INDEX('Kalem Kataloğu'!$C$1:$C$1000,MATCH(1,INDEX(('Kalem Kataloğu'!$A$1:$A$1000=A59)*('Kalem Kataloğu'!$B$1:$B$1000=E59),0),0)),"?")</f>
        <v/>
      </c>
      <c r="G59" s="6">
        <f>IFERROR(INDEX('Kalem Kataloğu'!$D$1:$D$1000,MATCH(1,INDEX(('Kalem Kataloğu'!$A$1:$A$1000=A59)*('Kalem Kataloğu'!$B$1:$B$1000=E59),0),0)),"?")</f>
        <v/>
      </c>
      <c r="H59" s="7" t="n">
        <v>2</v>
      </c>
      <c r="I59" s="7" t="inlineStr">
        <is>
          <t>Hayır</t>
        </is>
      </c>
      <c r="J59" s="5" t="inlineStr">
        <is>
          <t>Drive foto (Tem. 2024)</t>
        </is>
      </c>
      <c r="K59" s="5" t="inlineStr">
        <is>
          <t>X1'de çalışma masası önünde 1 adet. [güven: yüksek]</t>
        </is>
      </c>
    </row>
    <row r="60" ht="26.4" customHeight="1">
      <c r="A60" s="5" t="inlineStr">
        <is>
          <t>Tare Houses Hotel</t>
        </is>
      </c>
      <c r="B60" s="5" t="inlineStr">
        <is>
          <t>X2</t>
        </is>
      </c>
      <c r="C60" s="7" t="n"/>
      <c r="D60" s="6">
        <f>IFERROR(INDEX('Kontrol Adımları'!$D:$D,MATCH(1,INDEX(('Kontrol Adımları'!$A$1:$A$400=B60)*('Kontrol Adımları'!$B$1:$B$400=C60),0),0)),"")</f>
        <v/>
      </c>
      <c r="E60" s="5" t="inlineStr">
        <is>
          <t>nightstand</t>
        </is>
      </c>
      <c r="F60" s="6">
        <f>IFERROR(INDEX('Kalem Kataloğu'!$C$1:$C$1000,MATCH(1,INDEX(('Kalem Kataloğu'!$A$1:$A$1000=A60)*('Kalem Kataloğu'!$B$1:$B$1000=E60),0),0)),"?")</f>
        <v/>
      </c>
      <c r="G60" s="6">
        <f>IFERROR(INDEX('Kalem Kataloğu'!$D$1:$D$1000,MATCH(1,INDEX(('Kalem Kataloğu'!$A$1:$A$1000=A60)*('Kalem Kataloğu'!$B$1:$B$1000=E60),0),0)),"?")</f>
        <v/>
      </c>
      <c r="H60" s="7" t="n">
        <v>2</v>
      </c>
      <c r="I60" s="7" t="inlineStr">
        <is>
          <t>Hayır</t>
        </is>
      </c>
      <c r="J60" s="5" t="inlineStr">
        <is>
          <t>Drive foto (Tem. 2024)</t>
        </is>
      </c>
      <c r="K60" s="5" t="inlineStr">
        <is>
          <t>X4'te komodin yerine kavisli başlığa entegre tabla. [güven: yüksek]</t>
        </is>
      </c>
    </row>
    <row r="61" ht="26.4" customHeight="1">
      <c r="A61" s="5" t="inlineStr">
        <is>
          <t>Tare Houses Hotel</t>
        </is>
      </c>
      <c r="B61" s="5" t="inlineStr">
        <is>
          <t>X2</t>
        </is>
      </c>
      <c r="C61" s="7" t="n"/>
      <c r="D61" s="6">
        <f>IFERROR(INDEX('Kontrol Adımları'!$D:$D,MATCH(1,INDEX(('Kontrol Adımları'!$A$1:$A$400=B61)*('Kontrol Adımları'!$B$1:$B$400=C61),0),0)),"")</f>
        <v/>
      </c>
      <c r="E61" s="5" t="inlineStr">
        <is>
          <t>floor_lamp</t>
        </is>
      </c>
      <c r="F61" s="6">
        <f>IFERROR(INDEX('Kalem Kataloğu'!$C$1:$C$1000,MATCH(1,INDEX(('Kalem Kataloğu'!$A$1:$A$1000=A61)*('Kalem Kataloğu'!$B$1:$B$1000=E61),0),0)),"?")</f>
        <v/>
      </c>
      <c r="G61" s="6">
        <f>IFERROR(INDEX('Kalem Kataloğu'!$D$1:$D$1000,MATCH(1,INDEX(('Kalem Kataloğu'!$A$1:$A$1000=A61)*('Kalem Kataloğu'!$B$1:$B$1000=E61),0),0)),"?")</f>
        <v/>
      </c>
      <c r="H61" s="7" t="n">
        <v>1</v>
      </c>
      <c r="I61" s="7" t="inlineStr">
        <is>
          <t>Hayır</t>
        </is>
      </c>
      <c r="J61" s="5" t="inlineStr">
        <is>
          <t>Drive foto (Tem. 2024)</t>
        </is>
      </c>
      <c r="K61" s="5" t="inlineStr">
        <is>
          <t xml:space="preserve"> [güven: yüksek]</t>
        </is>
      </c>
    </row>
    <row r="62" ht="26.4" customHeight="1">
      <c r="A62" s="5" t="inlineStr">
        <is>
          <t>Tare Houses Hotel</t>
        </is>
      </c>
      <c r="B62" s="5" t="inlineStr">
        <is>
          <t>X2</t>
        </is>
      </c>
      <c r="C62" s="7" t="n"/>
      <c r="D62" s="6">
        <f>IFERROR(INDEX('Kontrol Adımları'!$D:$D,MATCH(1,INDEX(('Kontrol Adımları'!$A$1:$A$400=B62)*('Kontrol Adımları'!$B$1:$B$400=C62),0),0)),"")</f>
        <v/>
      </c>
      <c r="E62" s="5" t="inlineStr">
        <is>
          <t>vanity_unit</t>
        </is>
      </c>
      <c r="F62" s="6">
        <f>IFERROR(INDEX('Kalem Kataloğu'!$C$1:$C$1000,MATCH(1,INDEX(('Kalem Kataloğu'!$A$1:$A$1000=A62)*('Kalem Kataloğu'!$B$1:$B$1000=E62),0),0)),"?")</f>
        <v/>
      </c>
      <c r="G62" s="6">
        <f>IFERROR(INDEX('Kalem Kataloğu'!$D$1:$D$1000,MATCH(1,INDEX(('Kalem Kataloğu'!$A$1:$A$1000=A62)*('Kalem Kataloğu'!$B$1:$B$1000=E62),0),0)),"?")</f>
        <v/>
      </c>
      <c r="H62" s="7" t="n">
        <v>1</v>
      </c>
      <c r="I62" s="7" t="inlineStr">
        <is>
          <t>Hayır</t>
        </is>
      </c>
      <c r="J62" s="5" t="inlineStr">
        <is>
          <t>Drive foto (Tem. 2024)</t>
        </is>
      </c>
      <c r="K62" s="5" t="inlineStr">
        <is>
          <t>Excel X3 adım 2: raftaki havlular burada. [güven: yüksek]</t>
        </is>
      </c>
    </row>
    <row r="63" ht="26.4" customHeight="1">
      <c r="A63" s="5" t="inlineStr">
        <is>
          <t>Tare Houses Hotel</t>
        </is>
      </c>
      <c r="B63" s="5" t="inlineStr">
        <is>
          <t>X2</t>
        </is>
      </c>
      <c r="C63" s="7" t="n"/>
      <c r="D63" s="6">
        <f>IFERROR(INDEX('Kontrol Adımları'!$D:$D,MATCH(1,INDEX(('Kontrol Adımları'!$A$1:$A$400=B63)*('Kontrol Adımları'!$B$1:$B$400=C63),0),0)),"")</f>
        <v/>
      </c>
      <c r="E63" s="5" t="inlineStr">
        <is>
          <t>basin_faucet</t>
        </is>
      </c>
      <c r="F63" s="6">
        <f>IFERROR(INDEX('Kalem Kataloğu'!$C$1:$C$1000,MATCH(1,INDEX(('Kalem Kataloğu'!$A$1:$A$1000=A63)*('Kalem Kataloğu'!$B$1:$B$1000=E63),0),0)),"?")</f>
        <v/>
      </c>
      <c r="G63" s="6">
        <f>IFERROR(INDEX('Kalem Kataloğu'!$D$1:$D$1000,MATCH(1,INDEX(('Kalem Kataloğu'!$A$1:$A$1000=A63)*('Kalem Kataloğu'!$B$1:$B$1000=E63),0),0)),"?")</f>
        <v/>
      </c>
      <c r="H63" s="7" t="n">
        <v>1</v>
      </c>
      <c r="I63" s="7" t="inlineStr">
        <is>
          <t>Hayır</t>
        </is>
      </c>
      <c r="J63" s="5" t="inlineStr">
        <is>
          <t>Drive foto (Tem. 2024)</t>
        </is>
      </c>
      <c r="K63" s="5" t="inlineStr">
        <is>
          <t xml:space="preserve"> [güven: yüksek]</t>
        </is>
      </c>
    </row>
    <row r="64" ht="26.4" customHeight="1">
      <c r="A64" s="5" t="inlineStr">
        <is>
          <t>Tare Houses Hotel</t>
        </is>
      </c>
      <c r="B64" s="5" t="inlineStr">
        <is>
          <t>X2</t>
        </is>
      </c>
      <c r="C64" s="7" t="n"/>
      <c r="D64" s="6">
        <f>IFERROR(INDEX('Kontrol Adımları'!$D:$D,MATCH(1,INDEX(('Kontrol Adımları'!$A$1:$A$400=B64)*('Kontrol Adımları'!$B$1:$B$400=C64),0),0)),"")</f>
        <v/>
      </c>
      <c r="E64" s="5" t="inlineStr">
        <is>
          <t>globe_table_lamp</t>
        </is>
      </c>
      <c r="F64" s="6">
        <f>IFERROR(INDEX('Kalem Kataloğu'!$C$1:$C$1000,MATCH(1,INDEX(('Kalem Kataloğu'!$A$1:$A$1000=A64)*('Kalem Kataloğu'!$B$1:$B$1000=E64),0),0)),"?")</f>
        <v/>
      </c>
      <c r="G64" s="6">
        <f>IFERROR(INDEX('Kalem Kataloğu'!$D$1:$D$1000,MATCH(1,INDEX(('Kalem Kataloğu'!$A$1:$A$1000=A64)*('Kalem Kataloğu'!$B$1:$B$1000=E64),0),0)),"?")</f>
        <v/>
      </c>
      <c r="H64" s="7" t="n"/>
      <c r="I64" s="7" t="inlineStr">
        <is>
          <t>Hayır</t>
        </is>
      </c>
      <c r="J64" s="5" t="inlineStr">
        <is>
          <t>Drive foto (Tem. 2024)</t>
        </is>
      </c>
      <c r="K64" s="5" t="inlineStr">
        <is>
          <t>X4 yatak başlığı tablalarında 2 adet. [güven: yüksek]</t>
        </is>
      </c>
    </row>
    <row r="65">
      <c r="A65" s="5" t="inlineStr">
        <is>
          <t>Tare Houses Hotel</t>
        </is>
      </c>
      <c r="B65" s="5" t="inlineStr">
        <is>
          <t>X2</t>
        </is>
      </c>
      <c r="C65" s="7" t="n"/>
      <c r="D65" s="6">
        <f>IFERROR(INDEX('Kontrol Adımları'!$D:$D,MATCH(1,INDEX(('Kontrol Adımları'!$A$1:$A$400=B65)*('Kontrol Adımları'!$B$1:$B$400=C65),0),0)),"")</f>
        <v/>
      </c>
      <c r="E65" s="5" t="inlineStr">
        <is>
          <t>mini_fridge</t>
        </is>
      </c>
      <c r="F65" s="6">
        <f>IFERROR(INDEX('Kalem Kataloğu'!$C$1:$C$1000,MATCH(1,INDEX(('Kalem Kataloğu'!$A$1:$A$1000=A65)*('Kalem Kataloğu'!$B$1:$B$1000=E65),0),0)),"?")</f>
        <v/>
      </c>
      <c r="G65" s="6">
        <f>IFERROR(INDEX('Kalem Kataloğu'!$D$1:$D$1000,MATCH(1,INDEX(('Kalem Kataloğu'!$A$1:$A$1000=A65)*('Kalem Kataloğu'!$B$1:$B$1000=E65),0),0)),"?")</f>
        <v/>
      </c>
      <c r="H65" s="7" t="n">
        <v>1</v>
      </c>
      <c r="I65" s="7" t="inlineStr">
        <is>
          <t>Hayır</t>
        </is>
      </c>
      <c r="J65" s="5" t="inlineStr">
        <is>
          <t>Drive foto (Tem. 2024)</t>
        </is>
      </c>
      <c r="K65" s="5" t="inlineStr">
        <is>
          <t xml:space="preserve"> [güven: yüksek]</t>
        </is>
      </c>
    </row>
    <row r="66" ht="26.4" customHeight="1">
      <c r="A66" s="5" t="inlineStr">
        <is>
          <t>Tare Houses Hotel</t>
        </is>
      </c>
      <c r="B66" s="5" t="inlineStr">
        <is>
          <t>X2</t>
        </is>
      </c>
      <c r="C66" s="7" t="n"/>
      <c r="D66" s="6">
        <f>IFERROR(INDEX('Kontrol Adımları'!$D:$D,MATCH(1,INDEX(('Kontrol Adımları'!$A$1:$A$400=B66)*('Kontrol Adımları'!$B$1:$B$400=C66),0),0)),"")</f>
        <v/>
      </c>
      <c r="E66" s="5" t="inlineStr">
        <is>
          <t>coffee_table_glass</t>
        </is>
      </c>
      <c r="F66" s="6">
        <f>IFERROR(INDEX('Kalem Kataloğu'!$C$1:$C$1000,MATCH(1,INDEX(('Kalem Kataloğu'!$A$1:$A$1000=A66)*('Kalem Kataloğu'!$B$1:$B$1000=E66),0),0)),"?")</f>
        <v/>
      </c>
      <c r="G66" s="6">
        <f>IFERROR(INDEX('Kalem Kataloğu'!$D$1:$D$1000,MATCH(1,INDEX(('Kalem Kataloğu'!$A$1:$A$1000=A66)*('Kalem Kataloğu'!$B$1:$B$1000=E66),0),0)),"?")</f>
        <v/>
      </c>
      <c r="H66" s="7" t="n">
        <v>1</v>
      </c>
      <c r="I66" s="7" t="inlineStr">
        <is>
          <t>Hayır</t>
        </is>
      </c>
      <c r="J66" s="5" t="inlineStr">
        <is>
          <t>Drive foto (Tem. 2024)</t>
        </is>
      </c>
      <c r="K66" s="5" t="inlineStr">
        <is>
          <t xml:space="preserve"> [güven: yüksek]</t>
        </is>
      </c>
    </row>
    <row r="67">
      <c r="A67" s="5" t="inlineStr">
        <is>
          <t>Tare Houses Hotel</t>
        </is>
      </c>
      <c r="B67" s="5" t="inlineStr">
        <is>
          <t>X2</t>
        </is>
      </c>
      <c r="C67" s="7" t="n"/>
      <c r="D67" s="6">
        <f>IFERROR(INDEX('Kontrol Adımları'!$D:$D,MATCH(1,INDEX(('Kontrol Adımları'!$A$1:$A$400=B67)*('Kontrol Adımları'!$B$1:$B$400=C67),0),0)),"")</f>
        <v/>
      </c>
      <c r="E67" s="5" t="inlineStr">
        <is>
          <t>pendant_lamp</t>
        </is>
      </c>
      <c r="F67" s="6">
        <f>IFERROR(INDEX('Kalem Kataloğu'!$C$1:$C$1000,MATCH(1,INDEX(('Kalem Kataloğu'!$A$1:$A$1000=A67)*('Kalem Kataloğu'!$B$1:$B$1000=E67),0),0)),"?")</f>
        <v/>
      </c>
      <c r="G67" s="6">
        <f>IFERROR(INDEX('Kalem Kataloğu'!$D$1:$D$1000,MATCH(1,INDEX(('Kalem Kataloğu'!$A$1:$A$1000=A67)*('Kalem Kataloğu'!$B$1:$B$1000=E67),0),0)),"?")</f>
        <v/>
      </c>
      <c r="H67" s="7" t="n"/>
      <c r="I67" s="7" t="inlineStr">
        <is>
          <t>Hayır</t>
        </is>
      </c>
      <c r="J67" s="5" t="inlineStr">
        <is>
          <t>Drive foto (Tem. 2024)</t>
        </is>
      </c>
      <c r="K67" s="5" t="inlineStr">
        <is>
          <t xml:space="preserve"> [güven: yüksek]</t>
        </is>
      </c>
    </row>
    <row r="68" ht="39.6" customHeight="1">
      <c r="A68" s="5" t="inlineStr">
        <is>
          <t>Tare Houses Hotel</t>
        </is>
      </c>
      <c r="B68" s="5" t="inlineStr">
        <is>
          <t>X2</t>
        </is>
      </c>
      <c r="C68" s="7" t="n"/>
      <c r="D68" s="6">
        <f>IFERROR(INDEX('Kontrol Adımları'!$D:$D,MATCH(1,INDEX(('Kontrol Adımları'!$A$1:$A$400=B68)*('Kontrol Adımları'!$B$1:$B$400=C68),0),0)),"")</f>
        <v/>
      </c>
      <c r="E68" s="5" t="inlineStr">
        <is>
          <t>tv</t>
        </is>
      </c>
      <c r="F68" s="6">
        <f>IFERROR(INDEX('Kalem Kataloğu'!$C$1:$C$1000,MATCH(1,INDEX(('Kalem Kataloğu'!$A$1:$A$1000=A68)*('Kalem Kataloğu'!$B$1:$B$1000=E68),0),0)),"?")</f>
        <v/>
      </c>
      <c r="G68" s="6">
        <f>IFERROR(INDEX('Kalem Kataloğu'!$D$1:$D$1000,MATCH(1,INDEX(('Kalem Kataloğu'!$A$1:$A$1000=A68)*('Kalem Kataloğu'!$B$1:$B$1000=E68),0),0)),"?")</f>
        <v/>
      </c>
      <c r="H68" s="7" t="n">
        <v>1</v>
      </c>
      <c r="I68" s="7" t="inlineStr">
        <is>
          <t>Hayır</t>
        </is>
      </c>
      <c r="J68" s="5" t="inlineStr">
        <is>
          <t>Drive foto (Tem. 2024)</t>
        </is>
      </c>
      <c r="K68" s="5" t="inlineStr">
        <is>
          <t>X1'de yatak odasında 1 + oturma alanı/koridor duvarında 1 görünüyor; teyit et. Excel X3: 1. [güven: orta]</t>
        </is>
      </c>
    </row>
    <row r="69" ht="26.4" customHeight="1">
      <c r="A69" s="5" t="inlineStr">
        <is>
          <t>Tare Houses Hotel</t>
        </is>
      </c>
      <c r="B69" s="5" t="inlineStr">
        <is>
          <t>X2</t>
        </is>
      </c>
      <c r="C69" s="7" t="n"/>
      <c r="D69" s="6">
        <f>IFERROR(INDEX('Kontrol Adımları'!$D:$D,MATCH(1,INDEX(('Kontrol Adımları'!$A$1:$A$400=B69)*('Kontrol Adımları'!$B$1:$B$400=C69),0),0)),"")</f>
        <v/>
      </c>
      <c r="E69" s="5" t="inlineStr">
        <is>
          <t>wall_art</t>
        </is>
      </c>
      <c r="F69" s="6">
        <f>IFERROR(INDEX('Kalem Kataloğu'!$C$1:$C$1000,MATCH(1,INDEX(('Kalem Kataloğu'!$A$1:$A$1000=A69)*('Kalem Kataloğu'!$B$1:$B$1000=E69),0),0)),"?")</f>
        <v/>
      </c>
      <c r="G69" s="6">
        <f>IFERROR(INDEX('Kalem Kataloğu'!$D$1:$D$1000,MATCH(1,INDEX(('Kalem Kataloğu'!$A$1:$A$1000=A69)*('Kalem Kataloğu'!$B$1:$B$1000=E69),0),0)),"?")</f>
        <v/>
      </c>
      <c r="H69" s="7" t="n">
        <v>1</v>
      </c>
      <c r="I69" s="7" t="inlineStr">
        <is>
          <t>Hayır</t>
        </is>
      </c>
      <c r="J69" s="5" t="inlineStr">
        <is>
          <t>Drive foto (Tem. 2024)</t>
        </is>
      </c>
      <c r="K69" s="5" t="inlineStr">
        <is>
          <t>X1: oturma alanı + yatak odası 2 adet. [güven: yüksek]</t>
        </is>
      </c>
    </row>
    <row r="70" ht="26.4" customHeight="1">
      <c r="A70" s="5" t="inlineStr">
        <is>
          <t>Tare Houses Hotel</t>
        </is>
      </c>
      <c r="B70" s="5" t="inlineStr">
        <is>
          <t>X2</t>
        </is>
      </c>
      <c r="C70" s="7" t="n"/>
      <c r="D70" s="6">
        <f>IFERROR(INDEX('Kontrol Adımları'!$D:$D,MATCH(1,INDEX(('Kontrol Adımları'!$A$1:$A$400=B70)*('Kontrol Adımları'!$B$1:$B$400=C70),0),0)),"")</f>
        <v/>
      </c>
      <c r="E70" s="5" t="inlineStr">
        <is>
          <t>shower_set</t>
        </is>
      </c>
      <c r="F70" s="6">
        <f>IFERROR(INDEX('Kalem Kataloğu'!$C$1:$C$1000,MATCH(1,INDEX(('Kalem Kataloğu'!$A$1:$A$1000=A70)*('Kalem Kataloğu'!$B$1:$B$1000=E70),0),0)),"?")</f>
        <v/>
      </c>
      <c r="G70" s="6">
        <f>IFERROR(INDEX('Kalem Kataloğu'!$D$1:$D$1000,MATCH(1,INDEX(('Kalem Kataloğu'!$A$1:$A$1000=A70)*('Kalem Kataloğu'!$B$1:$B$1000=E70),0),0)),"?")</f>
        <v/>
      </c>
      <c r="H70" s="7" t="n">
        <v>1</v>
      </c>
      <c r="I70" s="7" t="inlineStr">
        <is>
          <t>Hayır</t>
        </is>
      </c>
      <c r="J70" s="5" t="inlineStr">
        <is>
          <t>Drive foto (Tem. 2024)</t>
        </is>
      </c>
      <c r="K70" s="5" t="inlineStr">
        <is>
          <t xml:space="preserve"> [güven: yüksek]</t>
        </is>
      </c>
    </row>
    <row r="71" ht="26.4" customHeight="1">
      <c r="A71" s="5" t="inlineStr">
        <is>
          <t>Tare Houses Hotel</t>
        </is>
      </c>
      <c r="B71" s="5" t="inlineStr">
        <is>
          <t>X2</t>
        </is>
      </c>
      <c r="C71" s="7" t="n"/>
      <c r="D71" s="6">
        <f>IFERROR(INDEX('Kontrol Adımları'!$D:$D,MATCH(1,INDEX(('Kontrol Adımları'!$A$1:$A$400=B71)*('Kontrol Adımları'!$B$1:$B$400=C71),0),0)),"")</f>
        <v/>
      </c>
      <c r="E71" s="5" t="inlineStr">
        <is>
          <t>vessel_sink</t>
        </is>
      </c>
      <c r="F71" s="6">
        <f>IFERROR(INDEX('Kalem Kataloğu'!$C$1:$C$1000,MATCH(1,INDEX(('Kalem Kataloğu'!$A$1:$A$1000=A71)*('Kalem Kataloğu'!$B$1:$B$1000=E71),0),0)),"?")</f>
        <v/>
      </c>
      <c r="G71" s="6">
        <f>IFERROR(INDEX('Kalem Kataloğu'!$D$1:$D$1000,MATCH(1,INDEX(('Kalem Kataloğu'!$A$1:$A$1000=A71)*('Kalem Kataloğu'!$B$1:$B$1000=E71),0),0)),"?")</f>
        <v/>
      </c>
      <c r="H71" s="7" t="n">
        <v>1</v>
      </c>
      <c r="I71" s="7" t="inlineStr">
        <is>
          <t>Hayır</t>
        </is>
      </c>
      <c r="J71" s="5" t="inlineStr">
        <is>
          <t>Drive foto (Tem. 2024)</t>
        </is>
      </c>
      <c r="K71" s="5" t="inlineStr">
        <is>
          <t xml:space="preserve"> [güven: yüksek]</t>
        </is>
      </c>
    </row>
    <row r="72">
      <c r="A72" s="5" t="inlineStr">
        <is>
          <t>Tare Houses Hotel</t>
        </is>
      </c>
      <c r="B72" s="5" t="inlineStr">
        <is>
          <t>X2</t>
        </is>
      </c>
      <c r="C72" s="7" t="n"/>
      <c r="D72" s="6">
        <f>IFERROR(INDEX('Kontrol Adımları'!$D:$D,MATCH(1,INDEX(('Kontrol Adımları'!$A$1:$A$400=B72)*('Kontrol Adımları'!$B$1:$B$400=C72),0),0)),"")</f>
        <v/>
      </c>
      <c r="E72" s="5" t="inlineStr">
        <is>
          <t>toilet_paper_holder</t>
        </is>
      </c>
      <c r="F72" s="6">
        <f>IFERROR(INDEX('Kalem Kataloğu'!$C$1:$C$1000,MATCH(1,INDEX(('Kalem Kataloğu'!$A$1:$A$1000=A72)*('Kalem Kataloğu'!$B$1:$B$1000=E72),0),0)),"?")</f>
        <v/>
      </c>
      <c r="G72" s="6">
        <f>IFERROR(INDEX('Kalem Kataloğu'!$D$1:$D$1000,MATCH(1,INDEX(('Kalem Kataloğu'!$A$1:$A$1000=A72)*('Kalem Kataloğu'!$B$1:$B$1000=E72),0),0)),"?")</f>
        <v/>
      </c>
      <c r="H72" s="7" t="n">
        <v>1</v>
      </c>
      <c r="I72" s="7" t="inlineStr">
        <is>
          <t>Hayır</t>
        </is>
      </c>
      <c r="J72" s="5" t="inlineStr">
        <is>
          <t>Drive foto (Tem. 2024)</t>
        </is>
      </c>
      <c r="K72" s="5" t="inlineStr">
        <is>
          <t xml:space="preserve"> [güven: orta]</t>
        </is>
      </c>
    </row>
    <row r="73" ht="26.4" customHeight="1">
      <c r="A73" s="5" t="inlineStr">
        <is>
          <t>Tare Houses Hotel</t>
        </is>
      </c>
      <c r="B73" s="5" t="inlineStr">
        <is>
          <t>X2</t>
        </is>
      </c>
      <c r="C73" s="7" t="n"/>
      <c r="D73" s="6">
        <f>IFERROR(INDEX('Kontrol Adımları'!$D:$D,MATCH(1,INDEX(('Kontrol Adımları'!$A$1:$A$400=B73)*('Kontrol Adımları'!$B$1:$B$400=C73),0),0)),"")</f>
        <v/>
      </c>
      <c r="E73" s="5" t="inlineStr">
        <is>
          <t>toilet_brush</t>
        </is>
      </c>
      <c r="F73" s="6">
        <f>IFERROR(INDEX('Kalem Kataloğu'!$C$1:$C$1000,MATCH(1,INDEX(('Kalem Kataloğu'!$A$1:$A$1000=A73)*('Kalem Kataloğu'!$B$1:$B$1000=E73),0),0)),"?")</f>
        <v/>
      </c>
      <c r="G73" s="6">
        <f>IFERROR(INDEX('Kalem Kataloğu'!$D$1:$D$1000,MATCH(1,INDEX(('Kalem Kataloğu'!$A$1:$A$1000=A73)*('Kalem Kataloğu'!$B$1:$B$1000=E73),0),0)),"?")</f>
        <v/>
      </c>
      <c r="H73" s="7" t="n">
        <v>1</v>
      </c>
      <c r="I73" s="7" t="inlineStr">
        <is>
          <t>Hayır</t>
        </is>
      </c>
      <c r="J73" s="5" t="inlineStr">
        <is>
          <t>Drive foto (Tem. 2024)</t>
        </is>
      </c>
      <c r="K73" s="5" t="inlineStr">
        <is>
          <t>Fotoğrafta küçük görünüyor; kırpılmadı. [güven: orta]</t>
        </is>
      </c>
    </row>
    <row r="74" ht="26.4" customHeight="1">
      <c r="A74" s="5" t="inlineStr">
        <is>
          <t>Tare Houses Hotel</t>
        </is>
      </c>
      <c r="B74" s="5" t="inlineStr">
        <is>
          <t>X2</t>
        </is>
      </c>
      <c r="C74" s="7" t="n"/>
      <c r="D74" s="6">
        <f>IFERROR(INDEX('Kontrol Adımları'!$D:$D,MATCH(1,INDEX(('Kontrol Adımları'!$A$1:$A$400=B74)*('Kontrol Adımları'!$B$1:$B$400=C74),0),0)),"")</f>
        <v/>
      </c>
      <c r="E74" s="5" t="inlineStr">
        <is>
          <t>pillow</t>
        </is>
      </c>
      <c r="F74" s="6">
        <f>IFERROR(INDEX('Kalem Kataloğu'!$C$1:$C$1000,MATCH(1,INDEX(('Kalem Kataloğu'!$A$1:$A$1000=A74)*('Kalem Kataloğu'!$B$1:$B$1000=E74),0),0)),"?")</f>
        <v/>
      </c>
      <c r="G74" s="6">
        <f>IFERROR(INDEX('Kalem Kataloğu'!$D$1:$D$1000,MATCH(1,INDEX(('Kalem Kataloğu'!$A$1:$A$1000=A74)*('Kalem Kataloğu'!$B$1:$B$1000=E74),0),0)),"?")</f>
        <v/>
      </c>
      <c r="H74" s="7" t="n">
        <v>4</v>
      </c>
      <c r="I74" s="7" t="inlineStr">
        <is>
          <t>Hayır</t>
        </is>
      </c>
      <c r="J74" s="5" t="inlineStr">
        <is>
          <t>Drive foto (Tem. 2024)</t>
        </is>
      </c>
      <c r="K74" s="5" t="inlineStr">
        <is>
          <t>Yatakta 2 arka + 2 ön. Excel X3: 4 (doğrulanmadı). [güven: orta]</t>
        </is>
      </c>
    </row>
    <row r="75" ht="26.4" customHeight="1">
      <c r="A75" s="5" t="inlineStr">
        <is>
          <t>Tare Houses Hotel</t>
        </is>
      </c>
      <c r="B75" s="5" t="inlineStr">
        <is>
          <t>X2</t>
        </is>
      </c>
      <c r="C75" s="7" t="n"/>
      <c r="D75" s="6">
        <f>IFERROR(INDEX('Kontrol Adımları'!$D:$D,MATCH(1,INDEX(('Kontrol Adımları'!$A$1:$A$400=B75)*('Kontrol Adımları'!$B$1:$B$400=C75),0),0)),"")</f>
        <v/>
      </c>
      <c r="E75" s="5" t="inlineStr">
        <is>
          <t>led_mirror</t>
        </is>
      </c>
      <c r="F75" s="6">
        <f>IFERROR(INDEX('Kalem Kataloğu'!$C$1:$C$1000,MATCH(1,INDEX(('Kalem Kataloğu'!$A$1:$A$1000=A75)*('Kalem Kataloğu'!$B$1:$B$1000=E75),0),0)),"?")</f>
        <v/>
      </c>
      <c r="G75" s="6">
        <f>IFERROR(INDEX('Kalem Kataloğu'!$D$1:$D$1000,MATCH(1,INDEX(('Kalem Kataloğu'!$A$1:$A$1000=A75)*('Kalem Kataloğu'!$B$1:$B$1000=E75),0),0)),"?")</f>
        <v/>
      </c>
      <c r="H75" s="7" t="n">
        <v>1</v>
      </c>
      <c r="I75" s="7" t="inlineStr">
        <is>
          <t>Hayır</t>
        </is>
      </c>
      <c r="J75" s="5" t="inlineStr">
        <is>
          <t>Drive foto (Tem. 2024)</t>
        </is>
      </c>
      <c r="K75" s="5" t="inlineStr">
        <is>
          <t xml:space="preserve"> [güven: yüksek]</t>
        </is>
      </c>
    </row>
    <row r="76" ht="26.4" customHeight="1">
      <c r="A76" s="5" t="inlineStr">
        <is>
          <t>Tare Houses Hotel</t>
        </is>
      </c>
      <c r="B76" s="5" t="inlineStr">
        <is>
          <t>X2</t>
        </is>
      </c>
      <c r="C76" s="7" t="n"/>
      <c r="D76" s="6">
        <f>IFERROR(INDEX('Kontrol Adımları'!$D:$D,MATCH(1,INDEX(('Kontrol Adımları'!$A$1:$A$400=B76)*('Kontrol Adımları'!$B$1:$B$400=C76),0),0)),"")</f>
        <v/>
      </c>
      <c r="E76" s="5" t="inlineStr">
        <is>
          <t>round_wall_lamp</t>
        </is>
      </c>
      <c r="F76" s="6">
        <f>IFERROR(INDEX('Kalem Kataloğu'!$C$1:$C$1000,MATCH(1,INDEX(('Kalem Kataloğu'!$A$1:$A$1000=A76)*('Kalem Kataloğu'!$B$1:$B$1000=E76),0),0)),"?")</f>
        <v/>
      </c>
      <c r="G76" s="6">
        <f>IFERROR(INDEX('Kalem Kataloğu'!$D$1:$D$1000,MATCH(1,INDEX(('Kalem Kataloğu'!$A$1:$A$1000=A76)*('Kalem Kataloğu'!$B$1:$B$1000=E76),0),0)),"?")</f>
        <v/>
      </c>
      <c r="H76" s="7" t="n"/>
      <c r="I76" s="7" t="inlineStr">
        <is>
          <t>Hayır</t>
        </is>
      </c>
      <c r="J76" s="5" t="inlineStr">
        <is>
          <t>Drive foto (Tem. 2024)</t>
        </is>
      </c>
      <c r="K76" s="5" t="inlineStr">
        <is>
          <t>Odalarda 1-3 adet; tip bazında sayılmalı. [güven: orta]</t>
        </is>
      </c>
    </row>
    <row r="77">
      <c r="A77" s="5" t="inlineStr">
        <is>
          <t>Tare Houses Hotel</t>
        </is>
      </c>
      <c r="B77" s="5" t="inlineStr">
        <is>
          <t>X2</t>
        </is>
      </c>
      <c r="C77" s="7" t="n"/>
      <c r="D77" s="6">
        <f>IFERROR(INDEX('Kontrol Adımları'!$D:$D,MATCH(1,INDEX(('Kontrol Adımları'!$A$1:$A$400=B77)*('Kontrol Adımları'!$B$1:$B$400=C77),0),0)),"")</f>
        <v/>
      </c>
      <c r="E77" s="5" t="inlineStr">
        <is>
          <t>round_rug_woven</t>
        </is>
      </c>
      <c r="F77" s="6">
        <f>IFERROR(INDEX('Kalem Kataloğu'!$C$1:$C$1000,MATCH(1,INDEX(('Kalem Kataloğu'!$A$1:$A$1000=A77)*('Kalem Kataloğu'!$B$1:$B$1000=E77),0),0)),"?")</f>
        <v/>
      </c>
      <c r="G77" s="6">
        <f>IFERROR(INDEX('Kalem Kataloğu'!$D$1:$D$1000,MATCH(1,INDEX(('Kalem Kataloğu'!$A$1:$A$1000=A77)*('Kalem Kataloğu'!$B$1:$B$1000=E77),0),0)),"?")</f>
        <v/>
      </c>
      <c r="H77" s="7" t="n"/>
      <c r="I77" s="7" t="inlineStr">
        <is>
          <t>Hayır</t>
        </is>
      </c>
      <c r="J77" s="5" t="inlineStr">
        <is>
          <t>Drive foto (Tem. 2024)</t>
        </is>
      </c>
      <c r="K77" s="5" t="inlineStr">
        <is>
          <t xml:space="preserve"> [güven: yüksek]</t>
        </is>
      </c>
    </row>
    <row r="78" ht="26.4" customHeight="1">
      <c r="A78" s="5" t="inlineStr">
        <is>
          <t>Tare Houses Hotel</t>
        </is>
      </c>
      <c r="B78" s="5" t="inlineStr">
        <is>
          <t>X2</t>
        </is>
      </c>
      <c r="C78" s="7" t="n"/>
      <c r="D78" s="6">
        <f>IFERROR(INDEX('Kontrol Adımları'!$D:$D,MATCH(1,INDEX(('Kontrol Adımları'!$A$1:$A$400=B78)*('Kontrol Adımları'!$B$1:$B$400=C78),0),0)),"")</f>
        <v/>
      </c>
      <c r="E78" s="5" t="inlineStr">
        <is>
          <t>round_table</t>
        </is>
      </c>
      <c r="F78" s="6">
        <f>IFERROR(INDEX('Kalem Kataloğu'!$C$1:$C$1000,MATCH(1,INDEX(('Kalem Kataloğu'!$A$1:$A$1000=A78)*('Kalem Kataloğu'!$B$1:$B$1000=E78),0),0)),"?")</f>
        <v/>
      </c>
      <c r="G78" s="6">
        <f>IFERROR(INDEX('Kalem Kataloğu'!$D$1:$D$1000,MATCH(1,INDEX(('Kalem Kataloğu'!$A$1:$A$1000=A78)*('Kalem Kataloğu'!$B$1:$B$1000=E78),0),0)),"?")</f>
        <v/>
      </c>
      <c r="H78" s="7" t="n">
        <v>1</v>
      </c>
      <c r="I78" s="7" t="inlineStr">
        <is>
          <t>Hayır</t>
        </is>
      </c>
      <c r="J78" s="5" t="inlineStr">
        <is>
          <t>Drive foto (Tem. 2024)</t>
        </is>
      </c>
      <c r="K78" s="5" t="inlineStr">
        <is>
          <t>X1'de yuvarlak masa yerine çalışma masası var. [güven: yüksek]</t>
        </is>
      </c>
    </row>
    <row r="79" ht="26.4" customHeight="1">
      <c r="A79" s="5" t="inlineStr">
        <is>
          <t>Tare Houses Hotel</t>
        </is>
      </c>
      <c r="B79" s="5" t="inlineStr">
        <is>
          <t>X2</t>
        </is>
      </c>
      <c r="C79" s="7" t="n"/>
      <c r="D79" s="6">
        <f>IFERROR(INDEX('Kontrol Adımları'!$D:$D,MATCH(1,INDEX(('Kontrol Adımları'!$A$1:$A$400=B79)*('Kontrol Adımları'!$B$1:$B$400=C79),0),0)),"")</f>
        <v/>
      </c>
      <c r="E79" s="5" t="inlineStr">
        <is>
          <t>round_bed</t>
        </is>
      </c>
      <c r="F79" s="6">
        <f>IFERROR(INDEX('Kalem Kataloğu'!$C$1:$C$1000,MATCH(1,INDEX(('Kalem Kataloğu'!$A$1:$A$1000=A79)*('Kalem Kataloğu'!$B$1:$B$1000=E79),0),0)),"?")</f>
        <v/>
      </c>
      <c r="G79" s="6">
        <f>IFERROR(INDEX('Kalem Kataloğu'!$D$1:$D$1000,MATCH(1,INDEX(('Kalem Kataloğu'!$A$1:$A$1000=A79)*('Kalem Kataloğu'!$B$1:$B$1000=E79),0),0)),"?")</f>
        <v/>
      </c>
      <c r="H79" s="7" t="n"/>
      <c r="I79" s="7" t="inlineStr">
        <is>
          <t>Hayır</t>
        </is>
      </c>
      <c r="J79" s="5" t="inlineStr">
        <is>
          <t>Drive foto (Tem. 2024)</t>
        </is>
      </c>
      <c r="K79" s="5" t="inlineStr">
        <is>
          <t>Sadece X4 Exclusive Suite. [güven: yüksek]</t>
        </is>
      </c>
    </row>
    <row r="80" ht="26.4" customHeight="1">
      <c r="A80" s="5" t="inlineStr">
        <is>
          <t>Tare Houses Hotel</t>
        </is>
      </c>
      <c r="B80" s="5" t="inlineStr">
        <is>
          <t>X2</t>
        </is>
      </c>
      <c r="C80" s="7" t="n"/>
      <c r="D80" s="6">
        <f>IFERROR(INDEX('Kontrol Adımları'!$D:$D,MATCH(1,INDEX(('Kontrol Adımları'!$A$1:$A$400=B80)*('Kontrol Adımları'!$B$1:$B$400=C80),0),0)),"")</f>
        <v/>
      </c>
      <c r="E80" s="5" t="inlineStr">
        <is>
          <t>desk_with_chair</t>
        </is>
      </c>
      <c r="F80" s="6">
        <f>IFERROR(INDEX('Kalem Kataloğu'!$C$1:$C$1000,MATCH(1,INDEX(('Kalem Kataloğu'!$A$1:$A$1000=A80)*('Kalem Kataloğu'!$B$1:$B$1000=E80),0),0)),"?")</f>
        <v/>
      </c>
      <c r="G80" s="6">
        <f>IFERROR(INDEX('Kalem Kataloğu'!$D$1:$D$1000,MATCH(1,INDEX(('Kalem Kataloğu'!$A$1:$A$1000=A80)*('Kalem Kataloğu'!$B$1:$B$1000=E80),0),0)),"?")</f>
        <v/>
      </c>
      <c r="H80" s="7" t="n">
        <v>1</v>
      </c>
      <c r="I80" s="7" t="inlineStr">
        <is>
          <t>Hayır</t>
        </is>
      </c>
      <c r="J80" s="5" t="inlineStr">
        <is>
          <t>Drive foto (Tem. 2024)</t>
        </is>
      </c>
      <c r="K80" s="5" t="inlineStr">
        <is>
          <t>X1: oturma alanında çalışma masası + berjer. X2: kapı yanında konsol masa. [güven: orta]</t>
        </is>
      </c>
    </row>
    <row r="81" ht="26.4" customHeight="1">
      <c r="A81" s="5" t="inlineStr">
        <is>
          <t>Tare Houses Hotel</t>
        </is>
      </c>
      <c r="B81" s="5" t="inlineStr">
        <is>
          <t>X2</t>
        </is>
      </c>
      <c r="C81" s="7" t="n"/>
      <c r="D81" s="6">
        <f>IFERROR(INDEX('Kontrol Adımları'!$D:$D,MATCH(1,INDEX(('Kontrol Adımları'!$A$1:$A$400=B81)*('Kontrol Adımları'!$B$1:$B$400=C81),0),0)),"")</f>
        <v/>
      </c>
      <c r="E81" s="5" t="inlineStr">
        <is>
          <t>bed</t>
        </is>
      </c>
      <c r="F81" s="6">
        <f>IFERROR(INDEX('Kalem Kataloğu'!$C$1:$C$1000,MATCH(1,INDEX(('Kalem Kataloğu'!$A$1:$A$1000=A81)*('Kalem Kataloğu'!$B$1:$B$1000=E81),0),0)),"?")</f>
        <v/>
      </c>
      <c r="G81" s="6">
        <f>IFERROR(INDEX('Kalem Kataloğu'!$D$1:$D$1000,MATCH(1,INDEX(('Kalem Kataloğu'!$A$1:$A$1000=A81)*('Kalem Kataloğu'!$B$1:$B$1000=E81),0),0)),"?")</f>
        <v/>
      </c>
      <c r="H81" s="7" t="n">
        <v>1</v>
      </c>
      <c r="I81" s="7" t="inlineStr">
        <is>
          <t>Hayır</t>
        </is>
      </c>
      <c r="J81" s="5" t="inlineStr">
        <is>
          <t>Drive foto (Tem. 2024)</t>
        </is>
      </c>
      <c r="K81" s="5" t="inlineStr">
        <is>
          <t>X1 ve X2'de aynı model. X4'te yuvarlak yatak (ayrı kalem). [güven: yüksek]</t>
        </is>
      </c>
    </row>
    <row r="82">
      <c r="A82" s="5" t="inlineStr">
        <is>
          <t>Tare Houses Hotel</t>
        </is>
      </c>
      <c r="B82" s="5" t="inlineStr">
        <is>
          <t>X3</t>
        </is>
      </c>
      <c r="C82" s="5" t="n">
        <v>2</v>
      </c>
      <c r="D82" s="6">
        <f>IFERROR(INDEX('Kontrol Adımları'!$D:$D,MATCH(1,INDEX(('Kontrol Adımları'!$A$1:$A$400=B82)*('Kontrol Adımları'!$B$1:$B$400=C82),0),0)),"")</f>
        <v/>
      </c>
      <c r="E82" s="5" t="inlineStr">
        <is>
          <t>bath_towel</t>
        </is>
      </c>
      <c r="F82" s="6">
        <f>IFERROR(INDEX('Kalem Kataloğu'!$C$1:$C$1000,MATCH(1,INDEX(('Kalem Kataloğu'!$A$1:$A$1000=A82)*('Kalem Kataloğu'!$B$1:$B$1000=E82),0),0)),"?")</f>
        <v/>
      </c>
      <c r="G82" s="6">
        <f>IFERROR(INDEX('Kalem Kataloğu'!$D$1:$D$1000,MATCH(1,INDEX(('Kalem Kataloğu'!$A$1:$A$1000=A82)*('Kalem Kataloğu'!$B$1:$B$1000=E82),0),0)),"?")</f>
        <v/>
      </c>
      <c r="H82" s="7" t="n">
        <v>2</v>
      </c>
      <c r="I82" s="7" t="inlineStr">
        <is>
          <t>Hayır</t>
        </is>
      </c>
      <c r="J82" s="5" t="inlineStr">
        <is>
          <t>Video 18.10.2026</t>
        </is>
      </c>
      <c r="K82" s="5" t="n"/>
    </row>
    <row r="83">
      <c r="A83" s="5" t="inlineStr">
        <is>
          <t>Tare Houses Hotel</t>
        </is>
      </c>
      <c r="B83" s="5" t="inlineStr">
        <is>
          <t>X3</t>
        </is>
      </c>
      <c r="C83" s="5" t="n">
        <v>2</v>
      </c>
      <c r="D83" s="6">
        <f>IFERROR(INDEX('Kontrol Adımları'!$D:$D,MATCH(1,INDEX(('Kontrol Adımları'!$A$1:$A$400=B83)*('Kontrol Adımları'!$B$1:$B$400=C83),0),0)),"")</f>
        <v/>
      </c>
      <c r="E83" s="5" t="inlineStr">
        <is>
          <t>hand_towel</t>
        </is>
      </c>
      <c r="F83" s="6">
        <f>IFERROR(INDEX('Kalem Kataloğu'!$C$1:$C$1000,MATCH(1,INDEX(('Kalem Kataloğu'!$A$1:$A$1000=A83)*('Kalem Kataloğu'!$B$1:$B$1000=E83),0),0)),"?")</f>
        <v/>
      </c>
      <c r="G83" s="6">
        <f>IFERROR(INDEX('Kalem Kataloğu'!$D$1:$D$1000,MATCH(1,INDEX(('Kalem Kataloğu'!$A$1:$A$1000=A83)*('Kalem Kataloğu'!$B$1:$B$1000=E83),0),0)),"?")</f>
        <v/>
      </c>
      <c r="H83" s="5" t="n">
        <v>1</v>
      </c>
      <c r="I83" s="5" t="inlineStr">
        <is>
          <t>Evet</t>
        </is>
      </c>
      <c r="J83" s="5" t="inlineStr">
        <is>
          <t>Video 18.10.2026</t>
        </is>
      </c>
      <c r="K83" s="5" t="n"/>
    </row>
    <row r="84">
      <c r="A84" s="5" t="inlineStr">
        <is>
          <t>Tare Houses Hotel</t>
        </is>
      </c>
      <c r="B84" s="5" t="inlineStr">
        <is>
          <t>X3</t>
        </is>
      </c>
      <c r="C84" s="5" t="n">
        <v>2</v>
      </c>
      <c r="D84" s="6">
        <f>IFERROR(INDEX('Kontrol Adımları'!$D:$D,MATCH(1,INDEX(('Kontrol Adımları'!$A$1:$A$400=B84)*('Kontrol Adımları'!$B$1:$B$400=C84),0),0)),"")</f>
        <v/>
      </c>
      <c r="E84" s="5" t="inlineStr">
        <is>
          <t>liquid_soap</t>
        </is>
      </c>
      <c r="F84" s="6">
        <f>IFERROR(INDEX('Kalem Kataloğu'!$C$1:$C$1000,MATCH(1,INDEX(('Kalem Kataloğu'!$A$1:$A$1000=A84)*('Kalem Kataloğu'!$B$1:$B$1000=E84),0),0)),"?")</f>
        <v/>
      </c>
      <c r="G84" s="6">
        <f>IFERROR(INDEX('Kalem Kataloğu'!$D$1:$D$1000,MATCH(1,INDEX(('Kalem Kataloğu'!$A$1:$A$1000=A84)*('Kalem Kataloğu'!$B$1:$B$1000=E84),0),0)),"?")</f>
        <v/>
      </c>
      <c r="H84" s="5" t="n">
        <v>1</v>
      </c>
      <c r="I84" s="5" t="inlineStr">
        <is>
          <t>Evet</t>
        </is>
      </c>
      <c r="J84" s="5" t="inlineStr">
        <is>
          <t>Video 18.10.2026</t>
        </is>
      </c>
      <c r="K84" s="5" t="n"/>
    </row>
    <row r="85">
      <c r="A85" s="5" t="inlineStr">
        <is>
          <t>Tare Houses Hotel</t>
        </is>
      </c>
      <c r="B85" s="5" t="inlineStr">
        <is>
          <t>X3</t>
        </is>
      </c>
      <c r="C85" s="5" t="n">
        <v>3</v>
      </c>
      <c r="D85" s="6">
        <f>IFERROR(INDEX('Kontrol Adımları'!$D:$D,MATCH(1,INDEX(('Kontrol Adımları'!$A$1:$A$400=B85)*('Kontrol Adımları'!$B$1:$B$400=C85),0),0)),"")</f>
        <v/>
      </c>
      <c r="E85" s="5" t="inlineStr">
        <is>
          <t>bath_bin</t>
        </is>
      </c>
      <c r="F85" s="6">
        <f>IFERROR(INDEX('Kalem Kataloğu'!$C$1:$C$1000,MATCH(1,INDEX(('Kalem Kataloğu'!$A$1:$A$1000=A85)*('Kalem Kataloğu'!$B$1:$B$1000=E85),0),0)),"?")</f>
        <v/>
      </c>
      <c r="G85" s="6">
        <f>IFERROR(INDEX('Kalem Kataloğu'!$D$1:$D$1000,MATCH(1,INDEX(('Kalem Kataloğu'!$A$1:$A$1000=A85)*('Kalem Kataloğu'!$B$1:$B$1000=E85),0),0)),"?")</f>
        <v/>
      </c>
      <c r="H85" s="5" t="n">
        <v>1</v>
      </c>
      <c r="I85" s="5" t="inlineStr">
        <is>
          <t>Evet</t>
        </is>
      </c>
      <c r="J85" s="5" t="inlineStr">
        <is>
          <t>Video 18.10.2026</t>
        </is>
      </c>
      <c r="K85" s="5" t="n"/>
    </row>
    <row r="86">
      <c r="A86" s="5" t="inlineStr">
        <is>
          <t>Tare Houses Hotel</t>
        </is>
      </c>
      <c r="B86" s="5" t="inlineStr">
        <is>
          <t>X3</t>
        </is>
      </c>
      <c r="C86" s="5" t="n">
        <v>3</v>
      </c>
      <c r="D86" s="6">
        <f>IFERROR(INDEX('Kontrol Adımları'!$D:$D,MATCH(1,INDEX(('Kontrol Adımları'!$A$1:$A$400=B86)*('Kontrol Adımları'!$B$1:$B$400=C86),0),0)),"")</f>
        <v/>
      </c>
      <c r="E86" s="5" t="inlineStr">
        <is>
          <t>toilet_paper</t>
        </is>
      </c>
      <c r="F86" s="6">
        <f>IFERROR(INDEX('Kalem Kataloğu'!$C$1:$C$1000,MATCH(1,INDEX(('Kalem Kataloğu'!$A$1:$A$1000=A86)*('Kalem Kataloğu'!$B$1:$B$1000=E86),0),0)),"?")</f>
        <v/>
      </c>
      <c r="G86" s="6">
        <f>IFERROR(INDEX('Kalem Kataloğu'!$D$1:$D$1000,MATCH(1,INDEX(('Kalem Kataloğu'!$A$1:$A$1000=A86)*('Kalem Kataloğu'!$B$1:$B$1000=E86),0),0)),"?")</f>
        <v/>
      </c>
      <c r="H86" s="5" t="n">
        <v>1</v>
      </c>
      <c r="I86" s="5" t="inlineStr">
        <is>
          <t>Evet</t>
        </is>
      </c>
      <c r="J86" s="5" t="inlineStr">
        <is>
          <t>Video 18.10.2026</t>
        </is>
      </c>
      <c r="K86" s="5" t="n"/>
    </row>
    <row r="87">
      <c r="A87" s="5" t="inlineStr">
        <is>
          <t>Tare Houses Hotel</t>
        </is>
      </c>
      <c r="B87" s="5" t="inlineStr">
        <is>
          <t>X3</t>
        </is>
      </c>
      <c r="C87" s="5" t="n">
        <v>3</v>
      </c>
      <c r="D87" s="6">
        <f>IFERROR(INDEX('Kontrol Adımları'!$D:$D,MATCH(1,INDEX(('Kontrol Adımları'!$A$1:$A$400=B87)*('Kontrol Adımları'!$B$1:$B$400=C87),0),0)),"")</f>
        <v/>
      </c>
      <c r="E87" s="5" t="inlineStr">
        <is>
          <t>toilet_brush</t>
        </is>
      </c>
      <c r="F87" s="6">
        <f>IFERROR(INDEX('Kalem Kataloğu'!$C$1:$C$1000,MATCH(1,INDEX(('Kalem Kataloğu'!$A$1:$A$1000=A87)*('Kalem Kataloğu'!$B$1:$B$1000=E87),0),0)),"?")</f>
        <v/>
      </c>
      <c r="G87" s="6">
        <f>IFERROR(INDEX('Kalem Kataloğu'!$D$1:$D$1000,MATCH(1,INDEX(('Kalem Kataloğu'!$A$1:$A$1000=A87)*('Kalem Kataloğu'!$B$1:$B$1000=E87),0),0)),"?")</f>
        <v/>
      </c>
      <c r="H87" s="5" t="n">
        <v>1</v>
      </c>
      <c r="I87" s="5" t="inlineStr">
        <is>
          <t>Evet</t>
        </is>
      </c>
      <c r="J87" s="5" t="inlineStr">
        <is>
          <t>Video 18.10.2026</t>
        </is>
      </c>
      <c r="K87" s="5" t="n"/>
    </row>
    <row r="88">
      <c r="A88" s="5" t="inlineStr">
        <is>
          <t>Tare Houses Hotel</t>
        </is>
      </c>
      <c r="B88" s="5" t="inlineStr">
        <is>
          <t>X3</t>
        </is>
      </c>
      <c r="C88" s="5" t="n">
        <v>3</v>
      </c>
      <c r="D88" s="6">
        <f>IFERROR(INDEX('Kontrol Adımları'!$D:$D,MATCH(1,INDEX(('Kontrol Adımları'!$A$1:$A$400=B88)*('Kontrol Adımları'!$B$1:$B$400=C88),0),0)),"")</f>
        <v/>
      </c>
      <c r="E88" s="5" t="inlineStr">
        <is>
          <t>toilet_paper_spare</t>
        </is>
      </c>
      <c r="F88" s="6">
        <f>IFERROR(INDEX('Kalem Kataloğu'!$C$1:$C$1000,MATCH(1,INDEX(('Kalem Kataloğu'!$A$1:$A$1000=A88)*('Kalem Kataloğu'!$B$1:$B$1000=E88),0),0)),"?")</f>
        <v/>
      </c>
      <c r="G88" s="6">
        <f>IFERROR(INDEX('Kalem Kataloğu'!$D$1:$D$1000,MATCH(1,INDEX(('Kalem Kataloğu'!$A$1:$A$1000=A88)*('Kalem Kataloğu'!$B$1:$B$1000=E88),0),0)),"?")</f>
        <v/>
      </c>
      <c r="H88" s="7" t="n">
        <v>1</v>
      </c>
      <c r="I88" s="7" t="inlineStr">
        <is>
          <t>Hayır</t>
        </is>
      </c>
      <c r="J88" s="5" t="inlineStr">
        <is>
          <t>Video 18.10.2026</t>
        </is>
      </c>
      <c r="K88" s="5" t="n"/>
    </row>
    <row r="89" ht="26.4" customHeight="1">
      <c r="A89" s="5" t="inlineStr">
        <is>
          <t>Tare Houses Hotel</t>
        </is>
      </c>
      <c r="B89" s="5" t="inlineStr">
        <is>
          <t>X3</t>
        </is>
      </c>
      <c r="C89" s="5" t="n">
        <v>4</v>
      </c>
      <c r="D89" s="6">
        <f>IFERROR(INDEX('Kontrol Adımları'!$D:$D,MATCH(1,INDEX(('Kontrol Adımları'!$A$1:$A$400=B89)*('Kontrol Adımları'!$B$1:$B$400=C89),0),0)),"")</f>
        <v/>
      </c>
      <c r="E89" s="5" t="inlineStr">
        <is>
          <t>dispenser</t>
        </is>
      </c>
      <c r="F89" s="6">
        <f>IFERROR(INDEX('Kalem Kataloğu'!$C$1:$C$1000,MATCH(1,INDEX(('Kalem Kataloğu'!$A$1:$A$1000=A89)*('Kalem Kataloğu'!$B$1:$B$1000=E89),0),0)),"?")</f>
        <v/>
      </c>
      <c r="G89" s="6">
        <f>IFERROR(INDEX('Kalem Kataloğu'!$D$1:$D$1000,MATCH(1,INDEX(('Kalem Kataloğu'!$A$1:$A$1000=A89)*('Kalem Kataloğu'!$B$1:$B$1000=E89),0),0)),"?")</f>
        <v/>
      </c>
      <c r="H89" s="5" t="n">
        <v>3</v>
      </c>
      <c r="I89" s="5" t="inlineStr">
        <is>
          <t>Evet</t>
        </is>
      </c>
      <c r="J89" s="5" t="inlineStr">
        <is>
          <t>Video 18.10.2026</t>
        </is>
      </c>
      <c r="K89" s="5" t="n"/>
    </row>
    <row r="90">
      <c r="A90" s="5" t="inlineStr">
        <is>
          <t>Tare Houses Hotel</t>
        </is>
      </c>
      <c r="B90" s="5" t="inlineStr">
        <is>
          <t>X3</t>
        </is>
      </c>
      <c r="C90" s="5" t="n">
        <v>4</v>
      </c>
      <c r="D90" s="6">
        <f>IFERROR(INDEX('Kontrol Adımları'!$D:$D,MATCH(1,INDEX(('Kontrol Adımları'!$A$1:$A$400=B90)*('Kontrol Adımları'!$B$1:$B$400=C90),0),0)),"")</f>
        <v/>
      </c>
      <c r="E90" s="5" t="inlineStr">
        <is>
          <t>shower_basket</t>
        </is>
      </c>
      <c r="F90" s="6">
        <f>IFERROR(INDEX('Kalem Kataloğu'!$C$1:$C$1000,MATCH(1,INDEX(('Kalem Kataloğu'!$A$1:$A$1000=A90)*('Kalem Kataloğu'!$B$1:$B$1000=E90),0),0)),"?")</f>
        <v/>
      </c>
      <c r="G90" s="6">
        <f>IFERROR(INDEX('Kalem Kataloğu'!$D$1:$D$1000,MATCH(1,INDEX(('Kalem Kataloğu'!$A$1:$A$1000=A90)*('Kalem Kataloğu'!$B$1:$B$1000=E90),0),0)),"?")</f>
        <v/>
      </c>
      <c r="H90" s="5" t="n">
        <v>1</v>
      </c>
      <c r="I90" s="5" t="inlineStr">
        <is>
          <t>Evet</t>
        </is>
      </c>
      <c r="J90" s="5" t="inlineStr">
        <is>
          <t>Video 18.10.2026</t>
        </is>
      </c>
      <c r="K90" s="5" t="n"/>
    </row>
    <row r="91">
      <c r="A91" s="5" t="inlineStr">
        <is>
          <t>Tare Houses Hotel</t>
        </is>
      </c>
      <c r="B91" s="5" t="inlineStr">
        <is>
          <t>X3</t>
        </is>
      </c>
      <c r="C91" s="5" t="n">
        <v>5</v>
      </c>
      <c r="D91" s="6">
        <f>IFERROR(INDEX('Kontrol Adımları'!$D:$D,MATCH(1,INDEX(('Kontrol Adımları'!$A$1:$A$400=B91)*('Kontrol Adımları'!$B$1:$B$400=C91),0),0)),"")</f>
        <v/>
      </c>
      <c r="E91" s="5" t="inlineStr">
        <is>
          <t>wardrobe_box</t>
        </is>
      </c>
      <c r="F91" s="6">
        <f>IFERROR(INDEX('Kalem Kataloğu'!$C$1:$C$1000,MATCH(1,INDEX(('Kalem Kataloğu'!$A$1:$A$1000=A91)*('Kalem Kataloğu'!$B$1:$B$1000=E91),0),0)),"?")</f>
        <v/>
      </c>
      <c r="G91" s="6">
        <f>IFERROR(INDEX('Kalem Kataloğu'!$D$1:$D$1000,MATCH(1,INDEX(('Kalem Kataloğu'!$A$1:$A$1000=A91)*('Kalem Kataloğu'!$B$1:$B$1000=E91),0),0)),"?")</f>
        <v/>
      </c>
      <c r="H91" s="7" t="n">
        <v>1</v>
      </c>
      <c r="I91" s="7" t="inlineStr">
        <is>
          <t>Hayır</t>
        </is>
      </c>
      <c r="J91" s="5" t="inlineStr">
        <is>
          <t>Video 18.10.2026</t>
        </is>
      </c>
      <c r="K91" s="5" t="n"/>
    </row>
    <row r="92">
      <c r="A92" s="5" t="inlineStr">
        <is>
          <t>Tare Houses Hotel</t>
        </is>
      </c>
      <c r="B92" s="5" t="inlineStr">
        <is>
          <t>X3</t>
        </is>
      </c>
      <c r="C92" s="5" t="n">
        <v>5</v>
      </c>
      <c r="D92" s="6">
        <f>IFERROR(INDEX('Kontrol Adımları'!$D:$D,MATCH(1,INDEX(('Kontrol Adımları'!$A$1:$A$400=B92)*('Kontrol Adımları'!$B$1:$B$400=C92),0),0)),"")</f>
        <v/>
      </c>
      <c r="E92" s="5" t="inlineStr">
        <is>
          <t>hanger</t>
        </is>
      </c>
      <c r="F92" s="6">
        <f>IFERROR(INDEX('Kalem Kataloğu'!$C$1:$C$1000,MATCH(1,INDEX(('Kalem Kataloğu'!$A$1:$A$1000=A92)*('Kalem Kataloğu'!$B$1:$B$1000=E92),0),0)),"?")</f>
        <v/>
      </c>
      <c r="G92" s="6">
        <f>IFERROR(INDEX('Kalem Kataloğu'!$D$1:$D$1000,MATCH(1,INDEX(('Kalem Kataloğu'!$A$1:$A$1000=A92)*('Kalem Kataloğu'!$B$1:$B$1000=E92),0),0)),"?")</f>
        <v/>
      </c>
      <c r="H92" s="7" t="n">
        <v>6</v>
      </c>
      <c r="I92" s="7" t="inlineStr">
        <is>
          <t>Hayır</t>
        </is>
      </c>
      <c r="J92" s="5" t="inlineStr">
        <is>
          <t>Video 18.10.2026</t>
        </is>
      </c>
      <c r="K92" s="5" t="n"/>
    </row>
    <row r="93">
      <c r="A93" s="5" t="inlineStr">
        <is>
          <t>Tare Houses Hotel</t>
        </is>
      </c>
      <c r="B93" s="5" t="inlineStr">
        <is>
          <t>X3</t>
        </is>
      </c>
      <c r="C93" s="5" t="n">
        <v>5</v>
      </c>
      <c r="D93" s="6">
        <f>IFERROR(INDEX('Kontrol Adımları'!$D:$D,MATCH(1,INDEX(('Kontrol Adımları'!$A$1:$A$400=B93)*('Kontrol Adımları'!$B$1:$B$400=C93),0),0)),"")</f>
        <v/>
      </c>
      <c r="E93" s="5" t="inlineStr">
        <is>
          <t>spare_blanket</t>
        </is>
      </c>
      <c r="F93" s="6">
        <f>IFERROR(INDEX('Kalem Kataloğu'!$C$1:$C$1000,MATCH(1,INDEX(('Kalem Kataloğu'!$A$1:$A$1000=A93)*('Kalem Kataloğu'!$B$1:$B$1000=E93),0),0)),"?")</f>
        <v/>
      </c>
      <c r="G93" s="6">
        <f>IFERROR(INDEX('Kalem Kataloğu'!$D$1:$D$1000,MATCH(1,INDEX(('Kalem Kataloğu'!$A$1:$A$1000=A93)*('Kalem Kataloğu'!$B$1:$B$1000=E93),0),0)),"?")</f>
        <v/>
      </c>
      <c r="H93" s="7" t="n">
        <v>1</v>
      </c>
      <c r="I93" s="7" t="inlineStr">
        <is>
          <t>Hayır</t>
        </is>
      </c>
      <c r="J93" s="5" t="inlineStr">
        <is>
          <t>Video 18.10.2026</t>
        </is>
      </c>
      <c r="K93" s="5" t="n"/>
    </row>
    <row r="94">
      <c r="A94" s="5" t="inlineStr">
        <is>
          <t>Tare Houses Hotel</t>
        </is>
      </c>
      <c r="B94" s="5" t="inlineStr">
        <is>
          <t>X3</t>
        </is>
      </c>
      <c r="C94" s="5" t="n">
        <v>6</v>
      </c>
      <c r="D94" s="6">
        <f>IFERROR(INDEX('Kontrol Adımları'!$D:$D,MATCH(1,INDEX(('Kontrol Adımları'!$A$1:$A$400=B94)*('Kontrol Adımları'!$B$1:$B$400=C94),0),0)),"")</f>
        <v/>
      </c>
      <c r="E94" s="5" t="inlineStr">
        <is>
          <t>hanging_bin</t>
        </is>
      </c>
      <c r="F94" s="6">
        <f>IFERROR(INDEX('Kalem Kataloğu'!$C$1:$C$1000,MATCH(1,INDEX(('Kalem Kataloğu'!$A$1:$A$1000=A94)*('Kalem Kataloğu'!$B$1:$B$1000=E94),0),0)),"?")</f>
        <v/>
      </c>
      <c r="G94" s="6">
        <f>IFERROR(INDEX('Kalem Kataloğu'!$D$1:$D$1000,MATCH(1,INDEX(('Kalem Kataloğu'!$A$1:$A$1000=A94)*('Kalem Kataloğu'!$B$1:$B$1000=E94),0),0)),"?")</f>
        <v/>
      </c>
      <c r="H94" s="5" t="n">
        <v>1</v>
      </c>
      <c r="I94" s="5" t="inlineStr">
        <is>
          <t>Evet</t>
        </is>
      </c>
      <c r="J94" s="5" t="inlineStr">
        <is>
          <t>Video 18.10.2026</t>
        </is>
      </c>
      <c r="K94" s="5" t="n"/>
    </row>
    <row r="95">
      <c r="A95" s="5" t="inlineStr">
        <is>
          <t>Tare Houses Hotel</t>
        </is>
      </c>
      <c r="B95" s="5" t="inlineStr">
        <is>
          <t>X3</t>
        </is>
      </c>
      <c r="C95" s="5" t="n">
        <v>6</v>
      </c>
      <c r="D95" s="6">
        <f>IFERROR(INDEX('Kontrol Adımları'!$D:$D,MATCH(1,INDEX(('Kontrol Adımları'!$A$1:$A$400=B95)*('Kontrol Adımları'!$B$1:$B$400=C95),0),0)),"")</f>
        <v/>
      </c>
      <c r="E95" s="5" t="inlineStr">
        <is>
          <t>kettle</t>
        </is>
      </c>
      <c r="F95" s="6">
        <f>IFERROR(INDEX('Kalem Kataloğu'!$C$1:$C$1000,MATCH(1,INDEX(('Kalem Kataloğu'!$A$1:$A$1000=A95)*('Kalem Kataloğu'!$B$1:$B$1000=E95),0),0)),"?")</f>
        <v/>
      </c>
      <c r="G95" s="6">
        <f>IFERROR(INDEX('Kalem Kataloğu'!$D$1:$D$1000,MATCH(1,INDEX(('Kalem Kataloğu'!$A$1:$A$1000=A95)*('Kalem Kataloğu'!$B$1:$B$1000=E95),0),0)),"?")</f>
        <v/>
      </c>
      <c r="H95" s="5" t="n">
        <v>1</v>
      </c>
      <c r="I95" s="5" t="inlineStr">
        <is>
          <t>Evet</t>
        </is>
      </c>
      <c r="J95" s="5" t="inlineStr">
        <is>
          <t>Video 18.10.2026</t>
        </is>
      </c>
      <c r="K95" s="5" t="n"/>
    </row>
    <row r="96">
      <c r="A96" s="5" t="inlineStr">
        <is>
          <t>Tare Houses Hotel</t>
        </is>
      </c>
      <c r="B96" s="5" t="inlineStr">
        <is>
          <t>X3</t>
        </is>
      </c>
      <c r="C96" s="5" t="n">
        <v>12</v>
      </c>
      <c r="D96" s="6">
        <f>IFERROR(INDEX('Kontrol Adımları'!$D:$D,MATCH(1,INDEX(('Kontrol Adımları'!$A$1:$A$400=B96)*('Kontrol Adımları'!$B$1:$B$400=C96),0),0)),"")</f>
        <v/>
      </c>
      <c r="E96" s="5" t="inlineStr">
        <is>
          <t>paper_towel</t>
        </is>
      </c>
      <c r="F96" s="6">
        <f>IFERROR(INDEX('Kalem Kataloğu'!$C$1:$C$1000,MATCH(1,INDEX(('Kalem Kataloğu'!$A$1:$A$1000=A96)*('Kalem Kataloğu'!$B$1:$B$1000=E96),0),0)),"?")</f>
        <v/>
      </c>
      <c r="G96" s="6">
        <f>IFERROR(INDEX('Kalem Kataloğu'!$D$1:$D$1000,MATCH(1,INDEX(('Kalem Kataloğu'!$A$1:$A$1000=A96)*('Kalem Kataloğu'!$B$1:$B$1000=E96),0),0)),"?")</f>
        <v/>
      </c>
      <c r="H96" s="5" t="n">
        <v>1</v>
      </c>
      <c r="I96" s="5" t="inlineStr">
        <is>
          <t>Evet</t>
        </is>
      </c>
      <c r="J96" s="5" t="inlineStr">
        <is>
          <t>Video 18.10.2026</t>
        </is>
      </c>
      <c r="K96" s="5" t="n"/>
    </row>
    <row r="97">
      <c r="A97" s="5" t="inlineStr">
        <is>
          <t>Tare Houses Hotel</t>
        </is>
      </c>
      <c r="B97" s="5" t="inlineStr">
        <is>
          <t>X3</t>
        </is>
      </c>
      <c r="C97" s="5" t="n">
        <v>14</v>
      </c>
      <c r="D97" s="6">
        <f>IFERROR(INDEX('Kontrol Adımları'!$D:$D,MATCH(1,INDEX(('Kontrol Adımları'!$A$1:$A$400=B97)*('Kontrol Adımları'!$B$1:$B$400=C97),0),0)),"")</f>
        <v/>
      </c>
      <c r="E97" s="5" t="inlineStr">
        <is>
          <t>tv</t>
        </is>
      </c>
      <c r="F97" s="6">
        <f>IFERROR(INDEX('Kalem Kataloğu'!$C$1:$C$1000,MATCH(1,INDEX(('Kalem Kataloğu'!$A$1:$A$1000=A97)*('Kalem Kataloğu'!$B$1:$B$1000=E97),0),0)),"?")</f>
        <v/>
      </c>
      <c r="G97" s="6">
        <f>IFERROR(INDEX('Kalem Kataloğu'!$D$1:$D$1000,MATCH(1,INDEX(('Kalem Kataloğu'!$A$1:$A$1000=A97)*('Kalem Kataloğu'!$B$1:$B$1000=E97),0),0)),"?")</f>
        <v/>
      </c>
      <c r="H97" s="5" t="n">
        <v>1</v>
      </c>
      <c r="I97" s="5" t="inlineStr">
        <is>
          <t>Evet</t>
        </is>
      </c>
      <c r="J97" s="5" t="inlineStr">
        <is>
          <t>Video 18.10.2026</t>
        </is>
      </c>
      <c r="K97" s="5" t="n"/>
    </row>
    <row r="98">
      <c r="A98" s="5" t="inlineStr">
        <is>
          <t>Tare Houses Hotel</t>
        </is>
      </c>
      <c r="B98" s="5" t="inlineStr">
        <is>
          <t>X3</t>
        </is>
      </c>
      <c r="C98" s="5" t="n">
        <v>15</v>
      </c>
      <c r="D98" s="6">
        <f>IFERROR(INDEX('Kontrol Adımları'!$D:$D,MATCH(1,INDEX(('Kontrol Adımları'!$A$1:$A$400=B98)*('Kontrol Adımları'!$B$1:$B$400=C98),0),0)),"")</f>
        <v/>
      </c>
      <c r="E98" s="5" t="inlineStr">
        <is>
          <t>nightstand</t>
        </is>
      </c>
      <c r="F98" s="6">
        <f>IFERROR(INDEX('Kalem Kataloğu'!$C$1:$C$1000,MATCH(1,INDEX(('Kalem Kataloğu'!$A$1:$A$1000=A98)*('Kalem Kataloğu'!$B$1:$B$1000=E98),0),0)),"?")</f>
        <v/>
      </c>
      <c r="G98" s="6">
        <f>IFERROR(INDEX('Kalem Kataloğu'!$D$1:$D$1000,MATCH(1,INDEX(('Kalem Kataloğu'!$A$1:$A$1000=A98)*('Kalem Kataloğu'!$B$1:$B$1000=E98),0),0)),"?")</f>
        <v/>
      </c>
      <c r="H98" s="5" t="n">
        <v>2</v>
      </c>
      <c r="I98" s="5" t="inlineStr">
        <is>
          <t>Evet</t>
        </is>
      </c>
      <c r="J98" s="5" t="inlineStr">
        <is>
          <t>Video 18.10.2026</t>
        </is>
      </c>
      <c r="K98" s="5" t="n"/>
    </row>
    <row r="99">
      <c r="A99" s="5" t="inlineStr">
        <is>
          <t>Tare Houses Hotel</t>
        </is>
      </c>
      <c r="B99" s="5" t="inlineStr">
        <is>
          <t>X3</t>
        </is>
      </c>
      <c r="C99" s="5" t="n">
        <v>15</v>
      </c>
      <c r="D99" s="6">
        <f>IFERROR(INDEX('Kontrol Adımları'!$D:$D,MATCH(1,INDEX(('Kontrol Adımları'!$A$1:$A$400=B99)*('Kontrol Adımları'!$B$1:$B$400=C99),0),0)),"")</f>
        <v/>
      </c>
      <c r="E99" s="5" t="inlineStr">
        <is>
          <t>pillow</t>
        </is>
      </c>
      <c r="F99" s="6">
        <f>IFERROR(INDEX('Kalem Kataloğu'!$C$1:$C$1000,MATCH(1,INDEX(('Kalem Kataloğu'!$A$1:$A$1000=A99)*('Kalem Kataloğu'!$B$1:$B$1000=E99),0),0)),"?")</f>
        <v/>
      </c>
      <c r="G99" s="6">
        <f>IFERROR(INDEX('Kalem Kataloğu'!$D$1:$D$1000,MATCH(1,INDEX(('Kalem Kataloğu'!$A$1:$A$1000=A99)*('Kalem Kataloğu'!$B$1:$B$1000=E99),0),0)),"?")</f>
        <v/>
      </c>
      <c r="H99" s="7" t="n">
        <v>4</v>
      </c>
      <c r="I99" s="7" t="inlineStr">
        <is>
          <t>Hayır</t>
        </is>
      </c>
      <c r="J99" s="5" t="inlineStr">
        <is>
          <t>Video 18.10.2026</t>
        </is>
      </c>
      <c r="K99" s="5" t="n"/>
    </row>
    <row r="100">
      <c r="A100" s="5" t="inlineStr">
        <is>
          <t>Tare Houses Hotel</t>
        </is>
      </c>
      <c r="B100" s="5" t="inlineStr">
        <is>
          <t>X3</t>
        </is>
      </c>
      <c r="C100" s="5" t="n">
        <v>16</v>
      </c>
      <c r="D100" s="6">
        <f>IFERROR(INDEX('Kontrol Adımları'!$D:$D,MATCH(1,INDEX(('Kontrol Adımları'!$A$1:$A$400=B100)*('Kontrol Adımları'!$B$1:$B$400=C100),0),0)),"")</f>
        <v/>
      </c>
      <c r="E100" s="5" t="inlineStr">
        <is>
          <t>armchair</t>
        </is>
      </c>
      <c r="F100" s="6">
        <f>IFERROR(INDEX('Kalem Kataloğu'!$C$1:$C$1000,MATCH(1,INDEX(('Kalem Kataloğu'!$A$1:$A$1000=A100)*('Kalem Kataloğu'!$B$1:$B$1000=E100),0),0)),"?")</f>
        <v/>
      </c>
      <c r="G100" s="6">
        <f>IFERROR(INDEX('Kalem Kataloğu'!$D$1:$D$1000,MATCH(1,INDEX(('Kalem Kataloğu'!$A$1:$A$1000=A100)*('Kalem Kataloğu'!$B$1:$B$1000=E100),0),0)),"?")</f>
        <v/>
      </c>
      <c r="H100" s="5" t="n">
        <v>2</v>
      </c>
      <c r="I100" s="5" t="inlineStr">
        <is>
          <t>Evet</t>
        </is>
      </c>
      <c r="J100" s="5" t="inlineStr">
        <is>
          <t>Video 18.10.2026</t>
        </is>
      </c>
      <c r="K100" s="5" t="n"/>
    </row>
    <row r="101">
      <c r="A101" s="5" t="inlineStr">
        <is>
          <t>Tare Houses Hotel</t>
        </is>
      </c>
      <c r="B101" s="5" t="inlineStr">
        <is>
          <t>X3</t>
        </is>
      </c>
      <c r="C101" s="5" t="n">
        <v>16</v>
      </c>
      <c r="D101" s="6">
        <f>IFERROR(INDEX('Kontrol Adımları'!$D:$D,MATCH(1,INDEX(('Kontrol Adımları'!$A$1:$A$400=B101)*('Kontrol Adımları'!$B$1:$B$400=C101),0),0)),"")</f>
        <v/>
      </c>
      <c r="E101" s="5" t="inlineStr">
        <is>
          <t>remote</t>
        </is>
      </c>
      <c r="F101" s="6">
        <f>IFERROR(INDEX('Kalem Kataloğu'!$C$1:$C$1000,MATCH(1,INDEX(('Kalem Kataloğu'!$A$1:$A$1000=A101)*('Kalem Kataloğu'!$B$1:$B$1000=E101),0),0)),"?")</f>
        <v/>
      </c>
      <c r="G101" s="6">
        <f>IFERROR(INDEX('Kalem Kataloğu'!$D$1:$D$1000,MATCH(1,INDEX(('Kalem Kataloğu'!$A$1:$A$1000=A101)*('Kalem Kataloğu'!$B$1:$B$1000=E101),0),0)),"?")</f>
        <v/>
      </c>
      <c r="H101" s="5" t="n">
        <v>2</v>
      </c>
      <c r="I101" s="5" t="inlineStr">
        <is>
          <t>Evet</t>
        </is>
      </c>
      <c r="J101" s="5" t="inlineStr">
        <is>
          <t>Video 18.10.2026</t>
        </is>
      </c>
      <c r="K101" s="5" t="n"/>
    </row>
    <row r="102">
      <c r="A102" s="5" t="inlineStr">
        <is>
          <t>Tare Houses Hotel</t>
        </is>
      </c>
      <c r="B102" s="5" t="inlineStr">
        <is>
          <t>X3</t>
        </is>
      </c>
      <c r="C102" s="5" t="n">
        <v>17</v>
      </c>
      <c r="D102" s="6">
        <f>IFERROR(INDEX('Kontrol Adımları'!$D:$D,MATCH(1,INDEX(('Kontrol Adımları'!$A$1:$A$400=B102)*('Kontrol Adımları'!$B$1:$B$400=C102),0),0)),"")</f>
        <v/>
      </c>
      <c r="E102" s="5" t="inlineStr">
        <is>
          <t>room_bin</t>
        </is>
      </c>
      <c r="F102" s="6">
        <f>IFERROR(INDEX('Kalem Kataloğu'!$C$1:$C$1000,MATCH(1,INDEX(('Kalem Kataloğu'!$A$1:$A$1000=A102)*('Kalem Kataloğu'!$B$1:$B$1000=E102),0),0)),"?")</f>
        <v/>
      </c>
      <c r="G102" s="6">
        <f>IFERROR(INDEX('Kalem Kataloğu'!$D$1:$D$1000,MATCH(1,INDEX(('Kalem Kataloğu'!$A$1:$A$1000=A102)*('Kalem Kataloğu'!$B$1:$B$1000=E102),0),0)),"?")</f>
        <v/>
      </c>
      <c r="H102" s="5" t="n">
        <v>1</v>
      </c>
      <c r="I102" s="5" t="inlineStr">
        <is>
          <t>Evet</t>
        </is>
      </c>
      <c r="J102" s="5" t="inlineStr">
        <is>
          <t>Video 18.10.2026</t>
        </is>
      </c>
      <c r="K102" s="5" t="n"/>
    </row>
    <row r="103" ht="26.4" customHeight="1">
      <c r="A103" s="5" t="inlineStr">
        <is>
          <t>Tare Houses Hotel</t>
        </is>
      </c>
      <c r="B103" s="5" t="inlineStr">
        <is>
          <t>X3</t>
        </is>
      </c>
      <c r="C103" s="5" t="n"/>
      <c r="D103" s="6">
        <f>IFERROR(INDEX('Kontrol Adımları'!$D:$D,MATCH(1,INDEX(('Kontrol Adımları'!$A$1:$A$400=B103)*('Kontrol Adımları'!$B$1:$B$400=C103),0),0)),"")</f>
        <v/>
      </c>
      <c r="E103" s="5" t="inlineStr">
        <is>
          <t>cooktop</t>
        </is>
      </c>
      <c r="F103" s="6">
        <f>IFERROR(INDEX('Kalem Kataloğu'!$C$1:$C$1000,MATCH(1,INDEX(('Kalem Kataloğu'!$A$1:$A$1000=A103)*('Kalem Kataloğu'!$B$1:$B$1000=E103),0),0)),"?")</f>
        <v/>
      </c>
      <c r="G103" s="6">
        <f>IFERROR(INDEX('Kalem Kataloğu'!$D$1:$D$1000,MATCH(1,INDEX(('Kalem Kataloğu'!$A$1:$A$1000=A103)*('Kalem Kataloğu'!$B$1:$B$1000=E103),0),0)),"?")</f>
        <v/>
      </c>
      <c r="H103" s="7" t="n">
        <v>1</v>
      </c>
      <c r="I103" s="7" t="inlineStr">
        <is>
          <t>Hayır</t>
        </is>
      </c>
      <c r="J103" s="5" t="inlineStr">
        <is>
          <t>Drive foto (Tem. 2024)</t>
        </is>
      </c>
      <c r="K103" s="5" t="inlineStr">
        <is>
          <t xml:space="preserve"> [güven: yüksek]</t>
        </is>
      </c>
    </row>
    <row r="104">
      <c r="A104" s="5" t="inlineStr">
        <is>
          <t>Tare Houses Hotel</t>
        </is>
      </c>
      <c r="B104" s="5" t="inlineStr">
        <is>
          <t>X3</t>
        </is>
      </c>
      <c r="C104" s="5" t="n"/>
      <c r="D104" s="6">
        <f>IFERROR(INDEX('Kontrol Adımları'!$D:$D,MATCH(1,INDEX(('Kontrol Adımları'!$A$1:$A$400=B104)*('Kontrol Adımları'!$B$1:$B$400=C104),0),0)),"")</f>
        <v/>
      </c>
      <c r="E104" s="5" t="inlineStr">
        <is>
          <t>wc</t>
        </is>
      </c>
      <c r="F104" s="6">
        <f>IFERROR(INDEX('Kalem Kataloğu'!$C$1:$C$1000,MATCH(1,INDEX(('Kalem Kataloğu'!$A$1:$A$1000=A104)*('Kalem Kataloğu'!$B$1:$B$1000=E104),0),0)),"?")</f>
        <v/>
      </c>
      <c r="G104" s="6">
        <f>IFERROR(INDEX('Kalem Kataloğu'!$D$1:$D$1000,MATCH(1,INDEX(('Kalem Kataloğu'!$A$1:$A$1000=A104)*('Kalem Kataloğu'!$B$1:$B$1000=E104),0),0)),"?")</f>
        <v/>
      </c>
      <c r="H104" s="7" t="n">
        <v>1</v>
      </c>
      <c r="I104" s="7" t="inlineStr">
        <is>
          <t>Hayır</t>
        </is>
      </c>
      <c r="J104" s="5" t="inlineStr">
        <is>
          <t>Drive foto (Tem. 2024)</t>
        </is>
      </c>
      <c r="K104" s="5" t="inlineStr">
        <is>
          <t xml:space="preserve"> [güven: yüksek]</t>
        </is>
      </c>
    </row>
    <row r="105">
      <c r="A105" s="5" t="inlineStr">
        <is>
          <t>Tare Houses Hotel</t>
        </is>
      </c>
      <c r="B105" s="5" t="inlineStr">
        <is>
          <t>X3</t>
        </is>
      </c>
      <c r="C105" s="5" t="n"/>
      <c r="D105" s="6">
        <f>IFERROR(INDEX('Kontrol Adımları'!$D:$D,MATCH(1,INDEX(('Kontrol Adımları'!$A$1:$A$400=B105)*('Kontrol Adımları'!$B$1:$B$400=C105),0),0)),"")</f>
        <v/>
      </c>
      <c r="E105" s="5" t="inlineStr">
        <is>
          <t>bedside_wall_lamp</t>
        </is>
      </c>
      <c r="F105" s="6">
        <f>IFERROR(INDEX('Kalem Kataloğu'!$C$1:$C$1000,MATCH(1,INDEX(('Kalem Kataloğu'!$A$1:$A$1000=A105)*('Kalem Kataloğu'!$B$1:$B$1000=E105),0),0)),"?")</f>
        <v/>
      </c>
      <c r="G105" s="6">
        <f>IFERROR(INDEX('Kalem Kataloğu'!$D$1:$D$1000,MATCH(1,INDEX(('Kalem Kataloğu'!$A$1:$A$1000=A105)*('Kalem Kataloğu'!$B$1:$B$1000=E105),0),0)),"?")</f>
        <v/>
      </c>
      <c r="H105" s="7" t="n">
        <v>2</v>
      </c>
      <c r="I105" s="7" t="inlineStr">
        <is>
          <t>Hayır</t>
        </is>
      </c>
      <c r="J105" s="5" t="inlineStr">
        <is>
          <t>Drive foto (Tem. 2024)</t>
        </is>
      </c>
      <c r="K105" s="5" t="inlineStr">
        <is>
          <t>Yatağın iki yanında. [güven: orta]</t>
        </is>
      </c>
    </row>
    <row r="106" ht="26.4" customHeight="1">
      <c r="A106" s="5" t="inlineStr">
        <is>
          <t>Tare Houses Hotel</t>
        </is>
      </c>
      <c r="B106" s="5" t="inlineStr">
        <is>
          <t>X3</t>
        </is>
      </c>
      <c r="C106" s="5" t="n"/>
      <c r="D106" s="6">
        <f>IFERROR(INDEX('Kontrol Adımları'!$D:$D,MATCH(1,INDEX(('Kontrol Adımları'!$A$1:$A$400=B106)*('Kontrol Adımları'!$B$1:$B$400=C106),0),0)),"")</f>
        <v/>
      </c>
      <c r="E106" s="5" t="inlineStr">
        <is>
          <t>range_hood</t>
        </is>
      </c>
      <c r="F106" s="6">
        <f>IFERROR(INDEX('Kalem Kataloğu'!$C$1:$C$1000,MATCH(1,INDEX(('Kalem Kataloğu'!$A$1:$A$1000=A106)*('Kalem Kataloğu'!$B$1:$B$1000=E106),0),0)),"?")</f>
        <v/>
      </c>
      <c r="G106" s="6">
        <f>IFERROR(INDEX('Kalem Kataloğu'!$D$1:$D$1000,MATCH(1,INDEX(('Kalem Kataloğu'!$A$1:$A$1000=A106)*('Kalem Kataloğu'!$B$1:$B$1000=E106),0),0)),"?")</f>
        <v/>
      </c>
      <c r="H106" s="7" t="n">
        <v>1</v>
      </c>
      <c r="I106" s="7" t="inlineStr">
        <is>
          <t>Hayır</t>
        </is>
      </c>
      <c r="J106" s="5" t="inlineStr">
        <is>
          <t>Drive foto (Tem. 2024)</t>
        </is>
      </c>
      <c r="K106" s="5" t="inlineStr">
        <is>
          <t xml:space="preserve"> [güven: orta]</t>
        </is>
      </c>
    </row>
    <row r="107">
      <c r="A107" s="5" t="inlineStr">
        <is>
          <t>Tare Houses Hotel</t>
        </is>
      </c>
      <c r="B107" s="5" t="inlineStr">
        <is>
          <t>X3</t>
        </is>
      </c>
      <c r="C107" s="5" t="n"/>
      <c r="D107" s="6">
        <f>IFERROR(INDEX('Kontrol Adımları'!$D:$D,MATCH(1,INDEX(('Kontrol Adımları'!$A$1:$A$400=B107)*('Kontrol Adımları'!$B$1:$B$400=C107),0),0)),"")</f>
        <v/>
      </c>
      <c r="E107" s="5" t="inlineStr">
        <is>
          <t>decor_branches</t>
        </is>
      </c>
      <c r="F107" s="6">
        <f>IFERROR(INDEX('Kalem Kataloğu'!$C$1:$C$1000,MATCH(1,INDEX(('Kalem Kataloğu'!$A$1:$A$1000=A107)*('Kalem Kataloğu'!$B$1:$B$1000=E107),0),0)),"?")</f>
        <v/>
      </c>
      <c r="G107" s="6">
        <f>IFERROR(INDEX('Kalem Kataloğu'!$D$1:$D$1000,MATCH(1,INDEX(('Kalem Kataloğu'!$A$1:$A$1000=A107)*('Kalem Kataloğu'!$B$1:$B$1000=E107),0),0)),"?")</f>
        <v/>
      </c>
      <c r="H107" s="7" t="n">
        <v>1</v>
      </c>
      <c r="I107" s="7" t="inlineStr">
        <is>
          <t>Hayır</t>
        </is>
      </c>
      <c r="J107" s="5" t="inlineStr">
        <is>
          <t>Drive foto (Tem. 2024)</t>
        </is>
      </c>
      <c r="K107" s="5" t="inlineStr">
        <is>
          <t xml:space="preserve"> [güven: orta]</t>
        </is>
      </c>
    </row>
    <row r="108">
      <c r="A108" s="5" t="inlineStr">
        <is>
          <t>Tare Houses Hotel</t>
        </is>
      </c>
      <c r="B108" s="5" t="inlineStr">
        <is>
          <t>X3</t>
        </is>
      </c>
      <c r="C108" s="5" t="n"/>
      <c r="D108" s="6">
        <f>IFERROR(INDEX('Kontrol Adımları'!$D:$D,MATCH(1,INDEX(('Kontrol Adımları'!$A$1:$A$400=B108)*('Kontrol Adımları'!$B$1:$B$400=C108),0),0)),"")</f>
        <v/>
      </c>
      <c r="E108" s="5" t="inlineStr">
        <is>
          <t>smoke_detector</t>
        </is>
      </c>
      <c r="F108" s="6">
        <f>IFERROR(INDEX('Kalem Kataloğu'!$C$1:$C$1000,MATCH(1,INDEX(('Kalem Kataloğu'!$A$1:$A$1000=A108)*('Kalem Kataloğu'!$B$1:$B$1000=E108),0),0)),"?")</f>
        <v/>
      </c>
      <c r="G108" s="6">
        <f>IFERROR(INDEX('Kalem Kataloğu'!$D$1:$D$1000,MATCH(1,INDEX(('Kalem Kataloğu'!$A$1:$A$1000=A108)*('Kalem Kataloğu'!$B$1:$B$1000=E108),0),0)),"?")</f>
        <v/>
      </c>
      <c r="H108" s="7" t="n">
        <v>1</v>
      </c>
      <c r="I108" s="7" t="inlineStr">
        <is>
          <t>Hayır</t>
        </is>
      </c>
      <c r="J108" s="5" t="inlineStr">
        <is>
          <t>Drive foto (Tem. 2024)</t>
        </is>
      </c>
      <c r="K108" s="5" t="inlineStr">
        <is>
          <t xml:space="preserve"> [güven: orta]</t>
        </is>
      </c>
    </row>
    <row r="109" ht="26.4" customHeight="1">
      <c r="A109" s="5" t="inlineStr">
        <is>
          <t>Tare Houses Hotel</t>
        </is>
      </c>
      <c r="B109" s="5" t="inlineStr">
        <is>
          <t>X3</t>
        </is>
      </c>
      <c r="C109" s="5" t="n"/>
      <c r="D109" s="6">
        <f>IFERROR(INDEX('Kontrol Adımları'!$D:$D,MATCH(1,INDEX(('Kontrol Adımları'!$A$1:$A$400=B109)*('Kontrol Adımları'!$B$1:$B$400=C109),0),0)),"")</f>
        <v/>
      </c>
      <c r="E109" s="5" t="inlineStr">
        <is>
          <t>wardrobe</t>
        </is>
      </c>
      <c r="F109" s="6">
        <f>IFERROR(INDEX('Kalem Kataloğu'!$C$1:$C$1000,MATCH(1,INDEX(('Kalem Kataloğu'!$A$1:$A$1000=A109)*('Kalem Kataloğu'!$B$1:$B$1000=E109),0),0)),"?")</f>
        <v/>
      </c>
      <c r="G109" s="6">
        <f>IFERROR(INDEX('Kalem Kataloğu'!$D$1:$D$1000,MATCH(1,INDEX(('Kalem Kataloğu'!$A$1:$A$1000=A109)*('Kalem Kataloğu'!$B$1:$B$1000=E109),0),0)),"?")</f>
        <v/>
      </c>
      <c r="H109" s="7" t="n">
        <v>1</v>
      </c>
      <c r="I109" s="7" t="inlineStr">
        <is>
          <t>Hayır</t>
        </is>
      </c>
      <c r="J109" s="5" t="inlineStr">
        <is>
          <t>Drive foto (Tem. 2024)</t>
        </is>
      </c>
      <c r="K109" s="5" t="inlineStr">
        <is>
          <t>İçi (askı, battaniye) fotoğrafta görünmüyor. Excel X3: askı 6, yedek battaniye 1. [güven: yüksek]</t>
        </is>
      </c>
    </row>
    <row r="110" ht="26.4" customHeight="1">
      <c r="A110" s="5" t="inlineStr">
        <is>
          <t>Tare Houses Hotel</t>
        </is>
      </c>
      <c r="B110" s="5" t="inlineStr">
        <is>
          <t>X3</t>
        </is>
      </c>
      <c r="C110" s="5" t="n"/>
      <c r="D110" s="6">
        <f>IFERROR(INDEX('Kontrol Adımları'!$D:$D,MATCH(1,INDEX(('Kontrol Adımları'!$A$1:$A$400=B110)*('Kontrol Adımları'!$B$1:$B$400=C110),0),0)),"")</f>
        <v/>
      </c>
      <c r="E110" s="5" t="inlineStr">
        <is>
          <t>flush_plate</t>
        </is>
      </c>
      <c r="F110" s="6">
        <f>IFERROR(INDEX('Kalem Kataloğu'!$C$1:$C$1000,MATCH(1,INDEX(('Kalem Kataloğu'!$A$1:$A$1000=A110)*('Kalem Kataloğu'!$B$1:$B$1000=E110),0),0)),"?")</f>
        <v/>
      </c>
      <c r="G110" s="6">
        <f>IFERROR(INDEX('Kalem Kataloğu'!$D$1:$D$1000,MATCH(1,INDEX(('Kalem Kataloğu'!$A$1:$A$1000=A110)*('Kalem Kataloğu'!$B$1:$B$1000=E110),0),0)),"?")</f>
        <v/>
      </c>
      <c r="H110" s="7" t="n">
        <v>1</v>
      </c>
      <c r="I110" s="7" t="inlineStr">
        <is>
          <t>Hayır</t>
        </is>
      </c>
      <c r="J110" s="5" t="inlineStr">
        <is>
          <t>Drive foto (Tem. 2024)</t>
        </is>
      </c>
      <c r="K110" s="5" t="inlineStr">
        <is>
          <t xml:space="preserve"> [güven: yüksek]</t>
        </is>
      </c>
    </row>
    <row r="111" ht="26.4" customHeight="1">
      <c r="A111" s="5" t="inlineStr">
        <is>
          <t>Tare Houses Hotel</t>
        </is>
      </c>
      <c r="B111" s="5" t="inlineStr">
        <is>
          <t>X3</t>
        </is>
      </c>
      <c r="C111" s="5" t="n"/>
      <c r="D111" s="6">
        <f>IFERROR(INDEX('Kontrol Adımları'!$D:$D,MATCH(1,INDEX(('Kontrol Adımları'!$A$1:$A$400=B111)*('Kontrol Adımları'!$B$1:$B$400=C111),0),0)),"")</f>
        <v/>
      </c>
      <c r="E111" s="5" t="inlineStr">
        <is>
          <t>rug_striped</t>
        </is>
      </c>
      <c r="F111" s="6">
        <f>IFERROR(INDEX('Kalem Kataloğu'!$C$1:$C$1000,MATCH(1,INDEX(('Kalem Kataloğu'!$A$1:$A$1000=A111)*('Kalem Kataloğu'!$B$1:$B$1000=E111),0),0)),"?")</f>
        <v/>
      </c>
      <c r="G111" s="6">
        <f>IFERROR(INDEX('Kalem Kataloğu'!$D$1:$D$1000,MATCH(1,INDEX(('Kalem Kataloğu'!$A$1:$A$1000=A111)*('Kalem Kataloğu'!$B$1:$B$1000=E111),0),0)),"?")</f>
        <v/>
      </c>
      <c r="H111" s="7" t="n"/>
      <c r="I111" s="7" t="inlineStr">
        <is>
          <t>Hayır</t>
        </is>
      </c>
      <c r="J111" s="5" t="inlineStr">
        <is>
          <t>Drive foto (Tem. 2024)</t>
        </is>
      </c>
      <c r="K111" s="5" t="inlineStr">
        <is>
          <t xml:space="preserve"> [güven: orta]</t>
        </is>
      </c>
    </row>
    <row r="112">
      <c r="A112" s="5" t="inlineStr">
        <is>
          <t>Tare Houses Hotel</t>
        </is>
      </c>
      <c r="B112" s="5" t="inlineStr">
        <is>
          <t>X3</t>
        </is>
      </c>
      <c r="C112" s="5" t="n"/>
      <c r="D112" s="6">
        <f>IFERROR(INDEX('Kontrol Adımları'!$D:$D,MATCH(1,INDEX(('Kontrol Adımları'!$A$1:$A$400=B112)*('Kontrol Adımları'!$B$1:$B$400=C112),0),0)),"")</f>
        <v/>
      </c>
      <c r="E112" s="5" t="inlineStr">
        <is>
          <t>towel_bar</t>
        </is>
      </c>
      <c r="F112" s="6">
        <f>IFERROR(INDEX('Kalem Kataloğu'!$C$1:$C$1000,MATCH(1,INDEX(('Kalem Kataloğu'!$A$1:$A$1000=A112)*('Kalem Kataloğu'!$B$1:$B$1000=E112),0),0)),"?")</f>
        <v/>
      </c>
      <c r="G112" s="6">
        <f>IFERROR(INDEX('Kalem Kataloğu'!$D$1:$D$1000,MATCH(1,INDEX(('Kalem Kataloğu'!$A$1:$A$1000=A112)*('Kalem Kataloğu'!$B$1:$B$1000=E112),0),0)),"?")</f>
        <v/>
      </c>
      <c r="H112" s="7" t="n">
        <v>1</v>
      </c>
      <c r="I112" s="7" t="inlineStr">
        <is>
          <t>Hayır</t>
        </is>
      </c>
      <c r="J112" s="5" t="inlineStr">
        <is>
          <t>Drive foto (Tem. 2024)</t>
        </is>
      </c>
      <c r="K112" s="5" t="inlineStr">
        <is>
          <t xml:space="preserve"> [güven: orta]</t>
        </is>
      </c>
    </row>
    <row r="113">
      <c r="A113" s="5" t="inlineStr">
        <is>
          <t>Tare Houses Hotel</t>
        </is>
      </c>
      <c r="B113" s="5" t="inlineStr">
        <is>
          <t>X3</t>
        </is>
      </c>
      <c r="C113" s="5" t="n"/>
      <c r="D113" s="6">
        <f>IFERROR(INDEX('Kontrol Adımları'!$D:$D,MATCH(1,INDEX(('Kontrol Adımları'!$A$1:$A$400=B113)*('Kontrol Adımları'!$B$1:$B$400=C113),0),0)),"")</f>
        <v/>
      </c>
      <c r="E113" s="5" t="inlineStr">
        <is>
          <t>towel_ring</t>
        </is>
      </c>
      <c r="F113" s="6">
        <f>IFERROR(INDEX('Kalem Kataloğu'!$C$1:$C$1000,MATCH(1,INDEX(('Kalem Kataloğu'!$A$1:$A$1000=A113)*('Kalem Kataloğu'!$B$1:$B$1000=E113),0),0)),"?")</f>
        <v/>
      </c>
      <c r="G113" s="6">
        <f>IFERROR(INDEX('Kalem Kataloğu'!$D$1:$D$1000,MATCH(1,INDEX(('Kalem Kataloğu'!$A$1:$A$1000=A113)*('Kalem Kataloğu'!$B$1:$B$1000=E113),0),0)),"?")</f>
        <v/>
      </c>
      <c r="H113" s="7" t="n">
        <v>1</v>
      </c>
      <c r="I113" s="7" t="inlineStr">
        <is>
          <t>Hayır</t>
        </is>
      </c>
      <c r="J113" s="5" t="inlineStr">
        <is>
          <t>Drive foto (Tem. 2024)</t>
        </is>
      </c>
      <c r="K113" s="5" t="inlineStr">
        <is>
          <t xml:space="preserve"> [güven: orta]</t>
        </is>
      </c>
    </row>
    <row r="114" ht="39.6" customHeight="1">
      <c r="A114" s="5" t="inlineStr">
        <is>
          <t>Tare Houses Hotel</t>
        </is>
      </c>
      <c r="B114" s="5" t="inlineStr">
        <is>
          <t>X3</t>
        </is>
      </c>
      <c r="C114" s="5" t="n"/>
      <c r="D114" s="6">
        <f>IFERROR(INDEX('Kontrol Adımları'!$D:$D,MATCH(1,INDEX(('Kontrol Adımları'!$A$1:$A$400=B114)*('Kontrol Adımları'!$B$1:$B$400=C114),0),0)),"")</f>
        <v/>
      </c>
      <c r="E114" s="5" t="inlineStr">
        <is>
          <t>sofa_gray</t>
        </is>
      </c>
      <c r="F114" s="6">
        <f>IFERROR(INDEX('Kalem Kataloğu'!$C$1:$C$1000,MATCH(1,INDEX(('Kalem Kataloğu'!$A$1:$A$1000=A114)*('Kalem Kataloğu'!$B$1:$B$1000=E114),0),0)),"?")</f>
        <v/>
      </c>
      <c r="G114" s="6">
        <f>IFERROR(INDEX('Kalem Kataloğu'!$D$1:$D$1000,MATCH(1,INDEX(('Kalem Kataloğu'!$A$1:$A$1000=A114)*('Kalem Kataloğu'!$B$1:$B$1000=E114),0),0)),"?")</f>
        <v/>
      </c>
      <c r="H114" s="7" t="n"/>
      <c r="I114" s="7" t="inlineStr">
        <is>
          <t>Hayır</t>
        </is>
      </c>
      <c r="J114" s="5" t="inlineStr">
        <is>
          <t>Drive foto (Tem. 2024)</t>
        </is>
      </c>
      <c r="K114" s="5" t="inlineStr">
        <is>
          <t>X1 Deluxe Suite ve X2 Deluxe Triple oturma alanında. Açılır mı teyit et (Triple için 3. kişi yatağı). [güven: yüksek]</t>
        </is>
      </c>
    </row>
    <row r="115" ht="26.4" customHeight="1">
      <c r="A115" s="5" t="inlineStr">
        <is>
          <t>Tare Houses Hotel</t>
        </is>
      </c>
      <c r="B115" s="5" t="inlineStr">
        <is>
          <t>X3</t>
        </is>
      </c>
      <c r="C115" s="5" t="n"/>
      <c r="D115" s="6">
        <f>IFERROR(INDEX('Kontrol Adımları'!$D:$D,MATCH(1,INDEX(('Kontrol Adımları'!$A$1:$A$400=B115)*('Kontrol Adımları'!$B$1:$B$400=C115),0),0)),"")</f>
        <v/>
      </c>
      <c r="E115" s="5" t="inlineStr">
        <is>
          <t>air_conditioner</t>
        </is>
      </c>
      <c r="F115" s="6">
        <f>IFERROR(INDEX('Kalem Kataloğu'!$C$1:$C$1000,MATCH(1,INDEX(('Kalem Kataloğu'!$A$1:$A$1000=A115)*('Kalem Kataloğu'!$B$1:$B$1000=E115),0),0)),"?")</f>
        <v/>
      </c>
      <c r="G115" s="6">
        <f>IFERROR(INDEX('Kalem Kataloğu'!$D$1:$D$1000,MATCH(1,INDEX(('Kalem Kataloğu'!$A$1:$A$1000=A115)*('Kalem Kataloğu'!$B$1:$B$1000=E115),0),0)),"?")</f>
        <v/>
      </c>
      <c r="H115" s="7" t="n">
        <v>1</v>
      </c>
      <c r="I115" s="7" t="inlineStr">
        <is>
          <t>Hayır</t>
        </is>
      </c>
      <c r="J115" s="5" t="inlineStr">
        <is>
          <t>Drive foto (Tem. 2024)</t>
        </is>
      </c>
      <c r="K115" s="5" t="inlineStr">
        <is>
          <t>Kumanda Excel X3'te: TV + klima kumandası 2. [güven: yüksek]</t>
        </is>
      </c>
    </row>
    <row r="116" ht="26.4" customHeight="1">
      <c r="A116" s="5" t="inlineStr">
        <is>
          <t>Tare Houses Hotel</t>
        </is>
      </c>
      <c r="B116" s="5" t="inlineStr">
        <is>
          <t>X3</t>
        </is>
      </c>
      <c r="C116" s="5" t="n"/>
      <c r="D116" s="6">
        <f>IFERROR(INDEX('Kontrol Adımları'!$D:$D,MATCH(1,INDEX(('Kontrol Adımları'!$A$1:$A$400=B116)*('Kontrol Adımları'!$B$1:$B$400=C116),0),0)),"")</f>
        <v/>
      </c>
      <c r="E116" s="5" t="inlineStr">
        <is>
          <t>floor_lamp</t>
        </is>
      </c>
      <c r="F116" s="6">
        <f>IFERROR(INDEX('Kalem Kataloğu'!$C$1:$C$1000,MATCH(1,INDEX(('Kalem Kataloğu'!$A$1:$A$1000=A116)*('Kalem Kataloğu'!$B$1:$B$1000=E116),0),0)),"?")</f>
        <v/>
      </c>
      <c r="G116" s="6">
        <f>IFERROR(INDEX('Kalem Kataloğu'!$D$1:$D$1000,MATCH(1,INDEX(('Kalem Kataloğu'!$A$1:$A$1000=A116)*('Kalem Kataloğu'!$B$1:$B$1000=E116),0),0)),"?")</f>
        <v/>
      </c>
      <c r="H116" s="7" t="n"/>
      <c r="I116" s="7" t="inlineStr">
        <is>
          <t>Hayır</t>
        </is>
      </c>
      <c r="J116" s="5" t="inlineStr">
        <is>
          <t>Drive foto (Tem. 2024)</t>
        </is>
      </c>
      <c r="K116" s="5" t="inlineStr">
        <is>
          <t xml:space="preserve"> [güven: yüksek]</t>
        </is>
      </c>
    </row>
    <row r="117" ht="26.4" customHeight="1">
      <c r="A117" s="5" t="inlineStr">
        <is>
          <t>Tare Houses Hotel</t>
        </is>
      </c>
      <c r="B117" s="5" t="inlineStr">
        <is>
          <t>X3</t>
        </is>
      </c>
      <c r="C117" s="5" t="n"/>
      <c r="D117" s="6">
        <f>IFERROR(INDEX('Kontrol Adımları'!$D:$D,MATCH(1,INDEX(('Kontrol Adımları'!$A$1:$A$400=B117)*('Kontrol Adımları'!$B$1:$B$400=C117),0),0)),"")</f>
        <v/>
      </c>
      <c r="E117" s="5" t="inlineStr">
        <is>
          <t>vanity_unit</t>
        </is>
      </c>
      <c r="F117" s="6">
        <f>IFERROR(INDEX('Kalem Kataloğu'!$C$1:$C$1000,MATCH(1,INDEX(('Kalem Kataloğu'!$A$1:$A$1000=A117)*('Kalem Kataloğu'!$B$1:$B$1000=E117),0),0)),"?")</f>
        <v/>
      </c>
      <c r="G117" s="6">
        <f>IFERROR(INDEX('Kalem Kataloğu'!$D$1:$D$1000,MATCH(1,INDEX(('Kalem Kataloğu'!$A$1:$A$1000=A117)*('Kalem Kataloğu'!$B$1:$B$1000=E117),0),0)),"?")</f>
        <v/>
      </c>
      <c r="H117" s="7" t="n">
        <v>1</v>
      </c>
      <c r="I117" s="7" t="inlineStr">
        <is>
          <t>Hayır</t>
        </is>
      </c>
      <c r="J117" s="5" t="inlineStr">
        <is>
          <t>Drive foto (Tem. 2024)</t>
        </is>
      </c>
      <c r="K117" s="5" t="inlineStr">
        <is>
          <t>Excel X3 adım 2: raftaki havlular burada. [güven: yüksek]</t>
        </is>
      </c>
    </row>
    <row r="118" ht="26.4" customHeight="1">
      <c r="A118" s="5" t="inlineStr">
        <is>
          <t>Tare Houses Hotel</t>
        </is>
      </c>
      <c r="B118" s="5" t="inlineStr">
        <is>
          <t>X3</t>
        </is>
      </c>
      <c r="C118" s="5" t="n"/>
      <c r="D118" s="6">
        <f>IFERROR(INDEX('Kontrol Adımları'!$D:$D,MATCH(1,INDEX(('Kontrol Adımları'!$A$1:$A$400=B118)*('Kontrol Adımları'!$B$1:$B$400=C118),0),0)),"")</f>
        <v/>
      </c>
      <c r="E118" s="5" t="inlineStr">
        <is>
          <t>basin_faucet</t>
        </is>
      </c>
      <c r="F118" s="6">
        <f>IFERROR(INDEX('Kalem Kataloğu'!$C$1:$C$1000,MATCH(1,INDEX(('Kalem Kataloğu'!$A$1:$A$1000=A118)*('Kalem Kataloğu'!$B$1:$B$1000=E118),0),0)),"?")</f>
        <v/>
      </c>
      <c r="G118" s="6">
        <f>IFERROR(INDEX('Kalem Kataloğu'!$D$1:$D$1000,MATCH(1,INDEX(('Kalem Kataloğu'!$A$1:$A$1000=A118)*('Kalem Kataloğu'!$B$1:$B$1000=E118),0),0)),"?")</f>
        <v/>
      </c>
      <c r="H118" s="7" t="n">
        <v>1</v>
      </c>
      <c r="I118" s="7" t="inlineStr">
        <is>
          <t>Hayır</t>
        </is>
      </c>
      <c r="J118" s="5" t="inlineStr">
        <is>
          <t>Drive foto (Tem. 2024)</t>
        </is>
      </c>
      <c r="K118" s="5" t="inlineStr">
        <is>
          <t xml:space="preserve"> [güven: yüksek]</t>
        </is>
      </c>
    </row>
    <row r="119" ht="26.4" customHeight="1">
      <c r="A119" s="5" t="inlineStr">
        <is>
          <t>Tare Houses Hotel</t>
        </is>
      </c>
      <c r="B119" s="5" t="inlineStr">
        <is>
          <t>X3</t>
        </is>
      </c>
      <c r="C119" s="5" t="n"/>
      <c r="D119" s="6">
        <f>IFERROR(INDEX('Kontrol Adımları'!$D:$D,MATCH(1,INDEX(('Kontrol Adımları'!$A$1:$A$400=B119)*('Kontrol Adımları'!$B$1:$B$400=C119),0),0)),"")</f>
        <v/>
      </c>
      <c r="E119" s="5" t="inlineStr">
        <is>
          <t>globe_table_lamp</t>
        </is>
      </c>
      <c r="F119" s="6">
        <f>IFERROR(INDEX('Kalem Kataloğu'!$C$1:$C$1000,MATCH(1,INDEX(('Kalem Kataloğu'!$A$1:$A$1000=A119)*('Kalem Kataloğu'!$B$1:$B$1000=E119),0),0)),"?")</f>
        <v/>
      </c>
      <c r="G119" s="6">
        <f>IFERROR(INDEX('Kalem Kataloğu'!$D$1:$D$1000,MATCH(1,INDEX(('Kalem Kataloğu'!$A$1:$A$1000=A119)*('Kalem Kataloğu'!$B$1:$B$1000=E119),0),0)),"?")</f>
        <v/>
      </c>
      <c r="H119" s="7" t="n"/>
      <c r="I119" s="7" t="inlineStr">
        <is>
          <t>Hayır</t>
        </is>
      </c>
      <c r="J119" s="5" t="inlineStr">
        <is>
          <t>Drive foto (Tem. 2024)</t>
        </is>
      </c>
      <c r="K119" s="5" t="inlineStr">
        <is>
          <t>X4 yatak başlığı tablalarında 2 adet. [güven: yüksek]</t>
        </is>
      </c>
    </row>
    <row r="120">
      <c r="A120" s="5" t="inlineStr">
        <is>
          <t>Tare Houses Hotel</t>
        </is>
      </c>
      <c r="B120" s="5" t="inlineStr">
        <is>
          <t>X3</t>
        </is>
      </c>
      <c r="C120" s="5" t="n"/>
      <c r="D120" s="6">
        <f>IFERROR(INDEX('Kontrol Adımları'!$D:$D,MATCH(1,INDEX(('Kontrol Adımları'!$A$1:$A$400=B120)*('Kontrol Adımları'!$B$1:$B$400=C120),0),0)),"")</f>
        <v/>
      </c>
      <c r="E120" s="5" t="inlineStr">
        <is>
          <t>mini_fridge</t>
        </is>
      </c>
      <c r="F120" s="6">
        <f>IFERROR(INDEX('Kalem Kataloğu'!$C$1:$C$1000,MATCH(1,INDEX(('Kalem Kataloğu'!$A$1:$A$1000=A120)*('Kalem Kataloğu'!$B$1:$B$1000=E120),0),0)),"?")</f>
        <v/>
      </c>
      <c r="G120" s="6">
        <f>IFERROR(INDEX('Kalem Kataloğu'!$D$1:$D$1000,MATCH(1,INDEX(('Kalem Kataloğu'!$A$1:$A$1000=A120)*('Kalem Kataloğu'!$B$1:$B$1000=E120),0),0)),"?")</f>
        <v/>
      </c>
      <c r="H120" s="7" t="n">
        <v>1</v>
      </c>
      <c r="I120" s="7" t="inlineStr">
        <is>
          <t>Hayır</t>
        </is>
      </c>
      <c r="J120" s="5" t="inlineStr">
        <is>
          <t>Drive foto (Tem. 2024)</t>
        </is>
      </c>
      <c r="K120" s="5" t="inlineStr">
        <is>
          <t xml:space="preserve"> [güven: yüksek]</t>
        </is>
      </c>
    </row>
    <row r="121" ht="26.4" customHeight="1">
      <c r="A121" s="5" t="inlineStr">
        <is>
          <t>Tare Houses Hotel</t>
        </is>
      </c>
      <c r="B121" s="5" t="inlineStr">
        <is>
          <t>X3</t>
        </is>
      </c>
      <c r="C121" s="5" t="n"/>
      <c r="D121" s="6">
        <f>IFERROR(INDEX('Kontrol Adımları'!$D:$D,MATCH(1,INDEX(('Kontrol Adımları'!$A$1:$A$400=B121)*('Kontrol Adımları'!$B$1:$B$400=C121),0),0)),"")</f>
        <v/>
      </c>
      <c r="E121" s="5" t="inlineStr">
        <is>
          <t>coffee_table_glass</t>
        </is>
      </c>
      <c r="F121" s="6">
        <f>IFERROR(INDEX('Kalem Kataloğu'!$C$1:$C$1000,MATCH(1,INDEX(('Kalem Kataloğu'!$A$1:$A$1000=A121)*('Kalem Kataloğu'!$B$1:$B$1000=E121),0),0)),"?")</f>
        <v/>
      </c>
      <c r="G121" s="6">
        <f>IFERROR(INDEX('Kalem Kataloğu'!$D$1:$D$1000,MATCH(1,INDEX(('Kalem Kataloğu'!$A$1:$A$1000=A121)*('Kalem Kataloğu'!$B$1:$B$1000=E121),0),0)),"?")</f>
        <v/>
      </c>
      <c r="H121" s="7" t="n"/>
      <c r="I121" s="7" t="inlineStr">
        <is>
          <t>Hayır</t>
        </is>
      </c>
      <c r="J121" s="5" t="inlineStr">
        <is>
          <t>Drive foto (Tem. 2024)</t>
        </is>
      </c>
      <c r="K121" s="5" t="inlineStr">
        <is>
          <t xml:space="preserve"> [güven: yüksek]</t>
        </is>
      </c>
    </row>
    <row r="122">
      <c r="A122" s="5" t="inlineStr">
        <is>
          <t>Tare Houses Hotel</t>
        </is>
      </c>
      <c r="B122" s="5" t="inlineStr">
        <is>
          <t>X3</t>
        </is>
      </c>
      <c r="C122" s="5" t="n"/>
      <c r="D122" s="6">
        <f>IFERROR(INDEX('Kontrol Adımları'!$D:$D,MATCH(1,INDEX(('Kontrol Adımları'!$A$1:$A$400=B122)*('Kontrol Adımları'!$B$1:$B$400=C122),0),0)),"")</f>
        <v/>
      </c>
      <c r="E122" s="5" t="inlineStr">
        <is>
          <t>pendant_lamp</t>
        </is>
      </c>
      <c r="F122" s="6">
        <f>IFERROR(INDEX('Kalem Kataloğu'!$C$1:$C$1000,MATCH(1,INDEX(('Kalem Kataloğu'!$A$1:$A$1000=A122)*('Kalem Kataloğu'!$B$1:$B$1000=E122),0),0)),"?")</f>
        <v/>
      </c>
      <c r="G122" s="6">
        <f>IFERROR(INDEX('Kalem Kataloğu'!$D$1:$D$1000,MATCH(1,INDEX(('Kalem Kataloğu'!$A$1:$A$1000=A122)*('Kalem Kataloğu'!$B$1:$B$1000=E122),0),0)),"?")</f>
        <v/>
      </c>
      <c r="H122" s="7" t="n"/>
      <c r="I122" s="7" t="inlineStr">
        <is>
          <t>Hayır</t>
        </is>
      </c>
      <c r="J122" s="5" t="inlineStr">
        <is>
          <t>Drive foto (Tem. 2024)</t>
        </is>
      </c>
      <c r="K122" s="5" t="inlineStr">
        <is>
          <t xml:space="preserve"> [güven: yüksek]</t>
        </is>
      </c>
    </row>
    <row r="123" ht="26.4" customHeight="1">
      <c r="A123" s="5" t="inlineStr">
        <is>
          <t>Tare Houses Hotel</t>
        </is>
      </c>
      <c r="B123" s="5" t="inlineStr">
        <is>
          <t>X3</t>
        </is>
      </c>
      <c r="C123" s="5" t="n"/>
      <c r="D123" s="6">
        <f>IFERROR(INDEX('Kontrol Adımları'!$D:$D,MATCH(1,INDEX(('Kontrol Adımları'!$A$1:$A$400=B123)*('Kontrol Adımları'!$B$1:$B$400=C123),0),0)),"")</f>
        <v/>
      </c>
      <c r="E123" s="5" t="inlineStr">
        <is>
          <t>wall_art</t>
        </is>
      </c>
      <c r="F123" s="6">
        <f>IFERROR(INDEX('Kalem Kataloğu'!$C$1:$C$1000,MATCH(1,INDEX(('Kalem Kataloğu'!$A$1:$A$1000=A123)*('Kalem Kataloğu'!$B$1:$B$1000=E123),0),0)),"?")</f>
        <v/>
      </c>
      <c r="G123" s="6">
        <f>IFERROR(INDEX('Kalem Kataloğu'!$D$1:$D$1000,MATCH(1,INDEX(('Kalem Kataloğu'!$A$1:$A$1000=A123)*('Kalem Kataloğu'!$B$1:$B$1000=E123),0),0)),"?")</f>
        <v/>
      </c>
      <c r="H123" s="7" t="n">
        <v>1</v>
      </c>
      <c r="I123" s="7" t="inlineStr">
        <is>
          <t>Hayır</t>
        </is>
      </c>
      <c r="J123" s="5" t="inlineStr">
        <is>
          <t>Drive foto (Tem. 2024)</t>
        </is>
      </c>
      <c r="K123" s="5" t="inlineStr">
        <is>
          <t>X1: oturma alanı + yatak odası 2 adet. [güven: yüksek]</t>
        </is>
      </c>
    </row>
    <row r="124" ht="26.4" customHeight="1">
      <c r="A124" s="5" t="inlineStr">
        <is>
          <t>Tare Houses Hotel</t>
        </is>
      </c>
      <c r="B124" s="5" t="inlineStr">
        <is>
          <t>X3</t>
        </is>
      </c>
      <c r="C124" s="5" t="n"/>
      <c r="D124" s="6">
        <f>IFERROR(INDEX('Kontrol Adımları'!$D:$D,MATCH(1,INDEX(('Kontrol Adımları'!$A$1:$A$400=B124)*('Kontrol Adımları'!$B$1:$B$400=C124),0),0)),"")</f>
        <v/>
      </c>
      <c r="E124" s="5" t="inlineStr">
        <is>
          <t>shower_set</t>
        </is>
      </c>
      <c r="F124" s="6">
        <f>IFERROR(INDEX('Kalem Kataloğu'!$C$1:$C$1000,MATCH(1,INDEX(('Kalem Kataloğu'!$A$1:$A$1000=A124)*('Kalem Kataloğu'!$B$1:$B$1000=E124),0),0)),"?")</f>
        <v/>
      </c>
      <c r="G124" s="6">
        <f>IFERROR(INDEX('Kalem Kataloğu'!$D$1:$D$1000,MATCH(1,INDEX(('Kalem Kataloğu'!$A$1:$A$1000=A124)*('Kalem Kataloğu'!$B$1:$B$1000=E124),0),0)),"?")</f>
        <v/>
      </c>
      <c r="H124" s="7" t="n">
        <v>1</v>
      </c>
      <c r="I124" s="7" t="inlineStr">
        <is>
          <t>Hayır</t>
        </is>
      </c>
      <c r="J124" s="5" t="inlineStr">
        <is>
          <t>Drive foto (Tem. 2024)</t>
        </is>
      </c>
      <c r="K124" s="5" t="inlineStr">
        <is>
          <t xml:space="preserve"> [güven: yüksek]</t>
        </is>
      </c>
    </row>
    <row r="125" ht="26.4" customHeight="1">
      <c r="A125" s="5" t="inlineStr">
        <is>
          <t>Tare Houses Hotel</t>
        </is>
      </c>
      <c r="B125" s="5" t="inlineStr">
        <is>
          <t>X3</t>
        </is>
      </c>
      <c r="C125" s="5" t="n"/>
      <c r="D125" s="6">
        <f>IFERROR(INDEX('Kontrol Adımları'!$D:$D,MATCH(1,INDEX(('Kontrol Adımları'!$A$1:$A$400=B125)*('Kontrol Adımları'!$B$1:$B$400=C125),0),0)),"")</f>
        <v/>
      </c>
      <c r="E125" s="5" t="inlineStr">
        <is>
          <t>vessel_sink</t>
        </is>
      </c>
      <c r="F125" s="6">
        <f>IFERROR(INDEX('Kalem Kataloğu'!$C$1:$C$1000,MATCH(1,INDEX(('Kalem Kataloğu'!$A$1:$A$1000=A125)*('Kalem Kataloğu'!$B$1:$B$1000=E125),0),0)),"?")</f>
        <v/>
      </c>
      <c r="G125" s="6">
        <f>IFERROR(INDEX('Kalem Kataloğu'!$D$1:$D$1000,MATCH(1,INDEX(('Kalem Kataloğu'!$A$1:$A$1000=A125)*('Kalem Kataloğu'!$B$1:$B$1000=E125),0),0)),"?")</f>
        <v/>
      </c>
      <c r="H125" s="7" t="n">
        <v>1</v>
      </c>
      <c r="I125" s="7" t="inlineStr">
        <is>
          <t>Hayır</t>
        </is>
      </c>
      <c r="J125" s="5" t="inlineStr">
        <is>
          <t>Drive foto (Tem. 2024)</t>
        </is>
      </c>
      <c r="K125" s="5" t="inlineStr">
        <is>
          <t xml:space="preserve"> [güven: yüksek]</t>
        </is>
      </c>
    </row>
    <row r="126">
      <c r="A126" s="5" t="inlineStr">
        <is>
          <t>Tare Houses Hotel</t>
        </is>
      </c>
      <c r="B126" s="5" t="inlineStr">
        <is>
          <t>X3</t>
        </is>
      </c>
      <c r="C126" s="5" t="n"/>
      <c r="D126" s="6">
        <f>IFERROR(INDEX('Kontrol Adımları'!$D:$D,MATCH(1,INDEX(('Kontrol Adımları'!$A$1:$A$400=B126)*('Kontrol Adımları'!$B$1:$B$400=C126),0),0)),"")</f>
        <v/>
      </c>
      <c r="E126" s="5" t="inlineStr">
        <is>
          <t>toilet_paper_holder</t>
        </is>
      </c>
      <c r="F126" s="6">
        <f>IFERROR(INDEX('Kalem Kataloğu'!$C$1:$C$1000,MATCH(1,INDEX(('Kalem Kataloğu'!$A$1:$A$1000=A126)*('Kalem Kataloğu'!$B$1:$B$1000=E126),0),0)),"?")</f>
        <v/>
      </c>
      <c r="G126" s="6">
        <f>IFERROR(INDEX('Kalem Kataloğu'!$D$1:$D$1000,MATCH(1,INDEX(('Kalem Kataloğu'!$A$1:$A$1000=A126)*('Kalem Kataloğu'!$B$1:$B$1000=E126),0),0)),"?")</f>
        <v/>
      </c>
      <c r="H126" s="7" t="n">
        <v>1</v>
      </c>
      <c r="I126" s="7" t="inlineStr">
        <is>
          <t>Hayır</t>
        </is>
      </c>
      <c r="J126" s="5" t="inlineStr">
        <is>
          <t>Drive foto (Tem. 2024)</t>
        </is>
      </c>
      <c r="K126" s="5" t="inlineStr">
        <is>
          <t xml:space="preserve"> [güven: orta]</t>
        </is>
      </c>
    </row>
    <row r="127" ht="26.4" customHeight="1">
      <c r="A127" s="5" t="inlineStr">
        <is>
          <t>Tare Houses Hotel</t>
        </is>
      </c>
      <c r="B127" s="5" t="inlineStr">
        <is>
          <t>X3</t>
        </is>
      </c>
      <c r="C127" s="5" t="n"/>
      <c r="D127" s="6">
        <f>IFERROR(INDEX('Kontrol Adımları'!$D:$D,MATCH(1,INDEX(('Kontrol Adımları'!$A$1:$A$400=B127)*('Kontrol Adımları'!$B$1:$B$400=C127),0),0)),"")</f>
        <v/>
      </c>
      <c r="E127" s="5" t="inlineStr">
        <is>
          <t>led_mirror</t>
        </is>
      </c>
      <c r="F127" s="6">
        <f>IFERROR(INDEX('Kalem Kataloğu'!$C$1:$C$1000,MATCH(1,INDEX(('Kalem Kataloğu'!$A$1:$A$1000=A127)*('Kalem Kataloğu'!$B$1:$B$1000=E127),0),0)),"?")</f>
        <v/>
      </c>
      <c r="G127" s="6">
        <f>IFERROR(INDEX('Kalem Kataloğu'!$D$1:$D$1000,MATCH(1,INDEX(('Kalem Kataloğu'!$A$1:$A$1000=A127)*('Kalem Kataloğu'!$B$1:$B$1000=E127),0),0)),"?")</f>
        <v/>
      </c>
      <c r="H127" s="7" t="n">
        <v>1</v>
      </c>
      <c r="I127" s="7" t="inlineStr">
        <is>
          <t>Hayır</t>
        </is>
      </c>
      <c r="J127" s="5" t="inlineStr">
        <is>
          <t>Drive foto (Tem. 2024)</t>
        </is>
      </c>
      <c r="K127" s="5" t="inlineStr">
        <is>
          <t xml:space="preserve"> [güven: yüksek]</t>
        </is>
      </c>
    </row>
    <row r="128" ht="26.4" customHeight="1">
      <c r="A128" s="5" t="inlineStr">
        <is>
          <t>Tare Houses Hotel</t>
        </is>
      </c>
      <c r="B128" s="5" t="inlineStr">
        <is>
          <t>X3</t>
        </is>
      </c>
      <c r="C128" s="5" t="n"/>
      <c r="D128" s="6">
        <f>IFERROR(INDEX('Kontrol Adımları'!$D:$D,MATCH(1,INDEX(('Kontrol Adımları'!$A$1:$A$400=B128)*('Kontrol Adımları'!$B$1:$B$400=C128),0),0)),"")</f>
        <v/>
      </c>
      <c r="E128" s="5" t="inlineStr">
        <is>
          <t>round_wall_lamp</t>
        </is>
      </c>
      <c r="F128" s="6">
        <f>IFERROR(INDEX('Kalem Kataloğu'!$C$1:$C$1000,MATCH(1,INDEX(('Kalem Kataloğu'!$A$1:$A$1000=A128)*('Kalem Kataloğu'!$B$1:$B$1000=E128),0),0)),"?")</f>
        <v/>
      </c>
      <c r="G128" s="6">
        <f>IFERROR(INDEX('Kalem Kataloğu'!$D$1:$D$1000,MATCH(1,INDEX(('Kalem Kataloğu'!$A$1:$A$1000=A128)*('Kalem Kataloğu'!$B$1:$B$1000=E128),0),0)),"?")</f>
        <v/>
      </c>
      <c r="H128" s="7" t="n">
        <v>2</v>
      </c>
      <c r="I128" s="7" t="inlineStr">
        <is>
          <t>Hayır</t>
        </is>
      </c>
      <c r="J128" s="5" t="inlineStr">
        <is>
          <t>Drive foto (Tem. 2024)</t>
        </is>
      </c>
      <c r="K128" s="5" t="inlineStr">
        <is>
          <t>Odalarda 1-3 adet; tip bazında sayılmalı. [güven: orta]</t>
        </is>
      </c>
    </row>
    <row r="129">
      <c r="A129" s="5" t="inlineStr">
        <is>
          <t>Tare Houses Hotel</t>
        </is>
      </c>
      <c r="B129" s="5" t="inlineStr">
        <is>
          <t>X3</t>
        </is>
      </c>
      <c r="C129" s="5" t="n"/>
      <c r="D129" s="6">
        <f>IFERROR(INDEX('Kontrol Adımları'!$D:$D,MATCH(1,INDEX(('Kontrol Adımları'!$A$1:$A$400=B129)*('Kontrol Adımları'!$B$1:$B$400=C129),0),0)),"")</f>
        <v/>
      </c>
      <c r="E129" s="5" t="inlineStr">
        <is>
          <t>round_rug_woven</t>
        </is>
      </c>
      <c r="F129" s="6">
        <f>IFERROR(INDEX('Kalem Kataloğu'!$C$1:$C$1000,MATCH(1,INDEX(('Kalem Kataloğu'!$A$1:$A$1000=A129)*('Kalem Kataloğu'!$B$1:$B$1000=E129),0),0)),"?")</f>
        <v/>
      </c>
      <c r="G129" s="6">
        <f>IFERROR(INDEX('Kalem Kataloğu'!$D$1:$D$1000,MATCH(1,INDEX(('Kalem Kataloğu'!$A$1:$A$1000=A129)*('Kalem Kataloğu'!$B$1:$B$1000=E129),0),0)),"?")</f>
        <v/>
      </c>
      <c r="H129" s="7" t="n"/>
      <c r="I129" s="7" t="inlineStr">
        <is>
          <t>Hayır</t>
        </is>
      </c>
      <c r="J129" s="5" t="inlineStr">
        <is>
          <t>Drive foto (Tem. 2024)</t>
        </is>
      </c>
      <c r="K129" s="5" t="inlineStr">
        <is>
          <t xml:space="preserve"> [güven: yüksek]</t>
        </is>
      </c>
    </row>
    <row r="130" ht="26.4" customHeight="1">
      <c r="A130" s="5" t="inlineStr">
        <is>
          <t>Tare Houses Hotel</t>
        </is>
      </c>
      <c r="B130" s="5" t="inlineStr">
        <is>
          <t>X3</t>
        </is>
      </c>
      <c r="C130" s="5" t="n"/>
      <c r="D130" s="6">
        <f>IFERROR(INDEX('Kontrol Adımları'!$D:$D,MATCH(1,INDEX(('Kontrol Adımları'!$A$1:$A$400=B130)*('Kontrol Adımları'!$B$1:$B$400=C130),0),0)),"")</f>
        <v/>
      </c>
      <c r="E130" s="5" t="inlineStr">
        <is>
          <t>round_table</t>
        </is>
      </c>
      <c r="F130" s="6">
        <f>IFERROR(INDEX('Kalem Kataloğu'!$C$1:$C$1000,MATCH(1,INDEX(('Kalem Kataloğu'!$A$1:$A$1000=A130)*('Kalem Kataloğu'!$B$1:$B$1000=E130),0),0)),"?")</f>
        <v/>
      </c>
      <c r="G130" s="6">
        <f>IFERROR(INDEX('Kalem Kataloğu'!$D$1:$D$1000,MATCH(1,INDEX(('Kalem Kataloğu'!$A$1:$A$1000=A130)*('Kalem Kataloğu'!$B$1:$B$1000=E130),0),0)),"?")</f>
        <v/>
      </c>
      <c r="H130" s="7" t="n">
        <v>1</v>
      </c>
      <c r="I130" s="7" t="inlineStr">
        <is>
          <t>Hayır</t>
        </is>
      </c>
      <c r="J130" s="5" t="inlineStr">
        <is>
          <t>Drive foto (Tem. 2024)</t>
        </is>
      </c>
      <c r="K130" s="5" t="inlineStr">
        <is>
          <t>X1'de yuvarlak masa yerine çalışma masası var. [güven: yüksek]</t>
        </is>
      </c>
    </row>
    <row r="131" ht="26.4" customHeight="1">
      <c r="A131" s="5" t="inlineStr">
        <is>
          <t>Tare Houses Hotel</t>
        </is>
      </c>
      <c r="B131" s="5" t="inlineStr">
        <is>
          <t>X3</t>
        </is>
      </c>
      <c r="C131" s="5" t="n"/>
      <c r="D131" s="6">
        <f>IFERROR(INDEX('Kontrol Adımları'!$D:$D,MATCH(1,INDEX(('Kontrol Adımları'!$A$1:$A$400=B131)*('Kontrol Adımları'!$B$1:$B$400=C131),0),0)),"")</f>
        <v/>
      </c>
      <c r="E131" s="5" t="inlineStr">
        <is>
          <t>round_bed</t>
        </is>
      </c>
      <c r="F131" s="6">
        <f>IFERROR(INDEX('Kalem Kataloğu'!$C$1:$C$1000,MATCH(1,INDEX(('Kalem Kataloğu'!$A$1:$A$1000=A131)*('Kalem Kataloğu'!$B$1:$B$1000=E131),0),0)),"?")</f>
        <v/>
      </c>
      <c r="G131" s="6">
        <f>IFERROR(INDEX('Kalem Kataloğu'!$D$1:$D$1000,MATCH(1,INDEX(('Kalem Kataloğu'!$A$1:$A$1000=A131)*('Kalem Kataloğu'!$B$1:$B$1000=E131),0),0)),"?")</f>
        <v/>
      </c>
      <c r="H131" s="7" t="n"/>
      <c r="I131" s="7" t="inlineStr">
        <is>
          <t>Hayır</t>
        </is>
      </c>
      <c r="J131" s="5" t="inlineStr">
        <is>
          <t>Drive foto (Tem. 2024)</t>
        </is>
      </c>
      <c r="K131" s="5" t="inlineStr">
        <is>
          <t>Sadece X4 Exclusive Suite. [güven: yüksek]</t>
        </is>
      </c>
    </row>
    <row r="132" ht="26.4" customHeight="1">
      <c r="A132" s="5" t="inlineStr">
        <is>
          <t>Tare Houses Hotel</t>
        </is>
      </c>
      <c r="B132" s="5" t="inlineStr">
        <is>
          <t>X3</t>
        </is>
      </c>
      <c r="C132" s="5" t="n"/>
      <c r="D132" s="6">
        <f>IFERROR(INDEX('Kontrol Adımları'!$D:$D,MATCH(1,INDEX(('Kontrol Adımları'!$A$1:$A$400=B132)*('Kontrol Adımları'!$B$1:$B$400=C132),0),0)),"")</f>
        <v/>
      </c>
      <c r="E132" s="5" t="inlineStr">
        <is>
          <t>desk_with_chair</t>
        </is>
      </c>
      <c r="F132" s="6">
        <f>IFERROR(INDEX('Kalem Kataloğu'!$C$1:$C$1000,MATCH(1,INDEX(('Kalem Kataloğu'!$A$1:$A$1000=A132)*('Kalem Kataloğu'!$B$1:$B$1000=E132),0),0)),"?")</f>
        <v/>
      </c>
      <c r="G132" s="6">
        <f>IFERROR(INDEX('Kalem Kataloğu'!$D$1:$D$1000,MATCH(1,INDEX(('Kalem Kataloğu'!$A$1:$A$1000=A132)*('Kalem Kataloğu'!$B$1:$B$1000=E132),0),0)),"?")</f>
        <v/>
      </c>
      <c r="H132" s="7" t="n"/>
      <c r="I132" s="7" t="inlineStr">
        <is>
          <t>Hayır</t>
        </is>
      </c>
      <c r="J132" s="5" t="inlineStr">
        <is>
          <t>Drive foto (Tem. 2024)</t>
        </is>
      </c>
      <c r="K132" s="5" t="inlineStr">
        <is>
          <t>X1: oturma alanında çalışma masası + berjer. X2: kapı yanında konsol masa. [güven: orta]</t>
        </is>
      </c>
    </row>
    <row r="133" ht="26.4" customHeight="1">
      <c r="A133" s="5" t="inlineStr">
        <is>
          <t>Tare Houses Hotel</t>
        </is>
      </c>
      <c r="B133" s="5" t="inlineStr">
        <is>
          <t>X3</t>
        </is>
      </c>
      <c r="C133" s="5" t="n"/>
      <c r="D133" s="6">
        <f>IFERROR(INDEX('Kontrol Adımları'!$D:$D,MATCH(1,INDEX(('Kontrol Adımları'!$A$1:$A$400=B133)*('Kontrol Adımları'!$B$1:$B$400=C133),0),0)),"")</f>
        <v/>
      </c>
      <c r="E133" s="5" t="inlineStr">
        <is>
          <t>bed</t>
        </is>
      </c>
      <c r="F133" s="6">
        <f>IFERROR(INDEX('Kalem Kataloğu'!$C$1:$C$1000,MATCH(1,INDEX(('Kalem Kataloğu'!$A$1:$A$1000=A133)*('Kalem Kataloğu'!$B$1:$B$1000=E133),0),0)),"?")</f>
        <v/>
      </c>
      <c r="G133" s="6">
        <f>IFERROR(INDEX('Kalem Kataloğu'!$D$1:$D$1000,MATCH(1,INDEX(('Kalem Kataloğu'!$A$1:$A$1000=A133)*('Kalem Kataloğu'!$B$1:$B$1000=E133),0),0)),"?")</f>
        <v/>
      </c>
      <c r="H133" s="7" t="n">
        <v>1</v>
      </c>
      <c r="I133" s="7" t="inlineStr">
        <is>
          <t>Hayır</t>
        </is>
      </c>
      <c r="J133" s="5" t="inlineStr">
        <is>
          <t>Drive foto (Tem. 2024)</t>
        </is>
      </c>
      <c r="K133" s="5" t="inlineStr">
        <is>
          <t>X1 ve X2'de aynı model. X4'te yuvarlak yatak (ayrı kalem). [güven: yüksek]</t>
        </is>
      </c>
    </row>
    <row r="134" ht="26.4" customHeight="1">
      <c r="A134" s="5" t="inlineStr">
        <is>
          <t>Tare Houses Hotel</t>
        </is>
      </c>
      <c r="B134" s="5" t="inlineStr">
        <is>
          <t>X4</t>
        </is>
      </c>
      <c r="C134" s="7" t="n"/>
      <c r="D134" s="6">
        <f>IFERROR(INDEX('Kontrol Adımları'!$D:$D,MATCH(1,INDEX(('Kontrol Adımları'!$A$1:$A$400=B134)*('Kontrol Adımları'!$B$1:$B$400=C134),0),0)),"")</f>
        <v/>
      </c>
      <c r="E134" s="5" t="inlineStr">
        <is>
          <t>cooktop</t>
        </is>
      </c>
      <c r="F134" s="6">
        <f>IFERROR(INDEX('Kalem Kataloğu'!$C$1:$C$1000,MATCH(1,INDEX(('Kalem Kataloğu'!$A$1:$A$1000=A134)*('Kalem Kataloğu'!$B$1:$B$1000=E134),0),0)),"?")</f>
        <v/>
      </c>
      <c r="G134" s="6">
        <f>IFERROR(INDEX('Kalem Kataloğu'!$D$1:$D$1000,MATCH(1,INDEX(('Kalem Kataloğu'!$A$1:$A$1000=A134)*('Kalem Kataloğu'!$B$1:$B$1000=E134),0),0)),"?")</f>
        <v/>
      </c>
      <c r="H134" s="7" t="n">
        <v>1</v>
      </c>
      <c r="I134" s="7" t="inlineStr">
        <is>
          <t>Hayır</t>
        </is>
      </c>
      <c r="J134" s="5" t="inlineStr">
        <is>
          <t>Drive foto (Tem. 2024)</t>
        </is>
      </c>
      <c r="K134" s="5" t="inlineStr">
        <is>
          <t xml:space="preserve"> [güven: yüksek]</t>
        </is>
      </c>
    </row>
    <row r="135">
      <c r="A135" s="5" t="inlineStr">
        <is>
          <t>Tare Houses Hotel</t>
        </is>
      </c>
      <c r="B135" s="5" t="inlineStr">
        <is>
          <t>X4</t>
        </is>
      </c>
      <c r="C135" s="7" t="n"/>
      <c r="D135" s="6">
        <f>IFERROR(INDEX('Kontrol Adımları'!$D:$D,MATCH(1,INDEX(('Kontrol Adımları'!$A$1:$A$400=B135)*('Kontrol Adımları'!$B$1:$B$400=C135),0),0)),"")</f>
        <v/>
      </c>
      <c r="E135" s="5" t="inlineStr">
        <is>
          <t>wc</t>
        </is>
      </c>
      <c r="F135" s="6">
        <f>IFERROR(INDEX('Kalem Kataloğu'!$C$1:$C$1000,MATCH(1,INDEX(('Kalem Kataloğu'!$A$1:$A$1000=A135)*('Kalem Kataloğu'!$B$1:$B$1000=E135),0),0)),"?")</f>
        <v/>
      </c>
      <c r="G135" s="6">
        <f>IFERROR(INDEX('Kalem Kataloğu'!$D$1:$D$1000,MATCH(1,INDEX(('Kalem Kataloğu'!$A$1:$A$1000=A135)*('Kalem Kataloğu'!$B$1:$B$1000=E135),0),0)),"?")</f>
        <v/>
      </c>
      <c r="H135" s="7" t="n">
        <v>1</v>
      </c>
      <c r="I135" s="7" t="inlineStr">
        <is>
          <t>Hayır</t>
        </is>
      </c>
      <c r="J135" s="5" t="inlineStr">
        <is>
          <t>Drive foto (Tem. 2024)</t>
        </is>
      </c>
      <c r="K135" s="5" t="inlineStr">
        <is>
          <t xml:space="preserve"> [güven: yüksek]</t>
        </is>
      </c>
    </row>
    <row r="136">
      <c r="A136" s="5" t="inlineStr">
        <is>
          <t>Tare Houses Hotel</t>
        </is>
      </c>
      <c r="B136" s="5" t="inlineStr">
        <is>
          <t>X4</t>
        </is>
      </c>
      <c r="C136" s="7" t="n"/>
      <c r="D136" s="6">
        <f>IFERROR(INDEX('Kontrol Adımları'!$D:$D,MATCH(1,INDEX(('Kontrol Adımları'!$A$1:$A$400=B136)*('Kontrol Adımları'!$B$1:$B$400=C136),0),0)),"")</f>
        <v/>
      </c>
      <c r="E136" s="5" t="inlineStr">
        <is>
          <t>hanging_bin</t>
        </is>
      </c>
      <c r="F136" s="6">
        <f>IFERROR(INDEX('Kalem Kataloğu'!$C$1:$C$1000,MATCH(1,INDEX(('Kalem Kataloğu'!$A$1:$A$1000=A136)*('Kalem Kataloğu'!$B$1:$B$1000=E136),0),0)),"?")</f>
        <v/>
      </c>
      <c r="G136" s="6">
        <f>IFERROR(INDEX('Kalem Kataloğu'!$D$1:$D$1000,MATCH(1,INDEX(('Kalem Kataloğu'!$A$1:$A$1000=A136)*('Kalem Kataloğu'!$B$1:$B$1000=E136),0),0)),"?")</f>
        <v/>
      </c>
      <c r="H136" s="7" t="n">
        <v>1</v>
      </c>
      <c r="I136" s="7" t="inlineStr">
        <is>
          <t>Hayır</t>
        </is>
      </c>
      <c r="J136" s="5" t="inlineStr">
        <is>
          <t>Drive foto (Tem. 2024)</t>
        </is>
      </c>
      <c r="K136" s="5" t="inlineStr">
        <is>
          <t xml:space="preserve"> [güven: yüksek]</t>
        </is>
      </c>
    </row>
    <row r="137">
      <c r="A137" s="5" t="inlineStr">
        <is>
          <t>Tare Houses Hotel</t>
        </is>
      </c>
      <c r="B137" s="5" t="inlineStr">
        <is>
          <t>X4</t>
        </is>
      </c>
      <c r="C137" s="7" t="n"/>
      <c r="D137" s="6">
        <f>IFERROR(INDEX('Kontrol Adımları'!$D:$D,MATCH(1,INDEX(('Kontrol Adımları'!$A$1:$A$400=B137)*('Kontrol Adımları'!$B$1:$B$400=C137),0),0)),"")</f>
        <v/>
      </c>
      <c r="E137" s="5" t="inlineStr">
        <is>
          <t>bath_bin</t>
        </is>
      </c>
      <c r="F137" s="6">
        <f>IFERROR(INDEX('Kalem Kataloğu'!$C$1:$C$1000,MATCH(1,INDEX(('Kalem Kataloğu'!$A$1:$A$1000=A137)*('Kalem Kataloğu'!$B$1:$B$1000=E137),0),0)),"?")</f>
        <v/>
      </c>
      <c r="G137" s="6">
        <f>IFERROR(INDEX('Kalem Kataloğu'!$D$1:$D$1000,MATCH(1,INDEX(('Kalem Kataloğu'!$A$1:$A$1000=A137)*('Kalem Kataloğu'!$B$1:$B$1000=E137),0),0)),"?")</f>
        <v/>
      </c>
      <c r="H137" s="7" t="n">
        <v>1</v>
      </c>
      <c r="I137" s="7" t="inlineStr">
        <is>
          <t>Hayır</t>
        </is>
      </c>
      <c r="J137" s="5" t="inlineStr">
        <is>
          <t>Drive foto (Tem. 2024)</t>
        </is>
      </c>
      <c r="K137" s="5" t="inlineStr">
        <is>
          <t>Excel X3: banyo çöp kovası 1. [güven: yüksek]</t>
        </is>
      </c>
    </row>
    <row r="138">
      <c r="A138" s="5" t="inlineStr">
        <is>
          <t>Tare Houses Hotel</t>
        </is>
      </c>
      <c r="B138" s="5" t="inlineStr">
        <is>
          <t>X4</t>
        </is>
      </c>
      <c r="C138" s="7" t="n"/>
      <c r="D138" s="6">
        <f>IFERROR(INDEX('Kontrol Adımları'!$D:$D,MATCH(1,INDEX(('Kontrol Adımları'!$A$1:$A$400=B138)*('Kontrol Adımları'!$B$1:$B$400=C138),0),0)),"")</f>
        <v/>
      </c>
      <c r="E138" s="5" t="inlineStr">
        <is>
          <t>bedside_wall_lamp</t>
        </is>
      </c>
      <c r="F138" s="6">
        <f>IFERROR(INDEX('Kalem Kataloğu'!$C$1:$C$1000,MATCH(1,INDEX(('Kalem Kataloğu'!$A$1:$A$1000=A138)*('Kalem Kataloğu'!$B$1:$B$1000=E138),0),0)),"?")</f>
        <v/>
      </c>
      <c r="G138" s="6">
        <f>IFERROR(INDEX('Kalem Kataloğu'!$D$1:$D$1000,MATCH(1,INDEX(('Kalem Kataloğu'!$A$1:$A$1000=A138)*('Kalem Kataloğu'!$B$1:$B$1000=E138),0),0)),"?")</f>
        <v/>
      </c>
      <c r="H138" s="7" t="n"/>
      <c r="I138" s="7" t="inlineStr">
        <is>
          <t>Hayır</t>
        </is>
      </c>
      <c r="J138" s="5" t="inlineStr">
        <is>
          <t>Drive foto (Tem. 2024)</t>
        </is>
      </c>
      <c r="K138" s="5" t="inlineStr">
        <is>
          <t>Yatağın iki yanında. [güven: orta]</t>
        </is>
      </c>
    </row>
    <row r="139" ht="26.4" customHeight="1">
      <c r="A139" s="5" t="inlineStr">
        <is>
          <t>Tare Houses Hotel</t>
        </is>
      </c>
      <c r="B139" s="5" t="inlineStr">
        <is>
          <t>X4</t>
        </is>
      </c>
      <c r="C139" s="7" t="n"/>
      <c r="D139" s="6">
        <f>IFERROR(INDEX('Kontrol Adımları'!$D:$D,MATCH(1,INDEX(('Kontrol Adımları'!$A$1:$A$400=B139)*('Kontrol Adımları'!$B$1:$B$400=C139),0),0)),"")</f>
        <v/>
      </c>
      <c r="E139" s="5" t="inlineStr">
        <is>
          <t>range_hood</t>
        </is>
      </c>
      <c r="F139" s="6">
        <f>IFERROR(INDEX('Kalem Kataloğu'!$C$1:$C$1000,MATCH(1,INDEX(('Kalem Kataloğu'!$A$1:$A$1000=A139)*('Kalem Kataloğu'!$B$1:$B$1000=E139),0),0)),"?")</f>
        <v/>
      </c>
      <c r="G139" s="6">
        <f>IFERROR(INDEX('Kalem Kataloğu'!$D$1:$D$1000,MATCH(1,INDEX(('Kalem Kataloğu'!$A$1:$A$1000=A139)*('Kalem Kataloğu'!$B$1:$B$1000=E139),0),0)),"?")</f>
        <v/>
      </c>
      <c r="H139" s="7" t="n">
        <v>1</v>
      </c>
      <c r="I139" s="7" t="inlineStr">
        <is>
          <t>Hayır</t>
        </is>
      </c>
      <c r="J139" s="5" t="inlineStr">
        <is>
          <t>Drive foto (Tem. 2024)</t>
        </is>
      </c>
      <c r="K139" s="5" t="inlineStr">
        <is>
          <t xml:space="preserve"> [güven: orta]</t>
        </is>
      </c>
    </row>
    <row r="140">
      <c r="A140" s="5" t="inlineStr">
        <is>
          <t>Tare Houses Hotel</t>
        </is>
      </c>
      <c r="B140" s="5" t="inlineStr">
        <is>
          <t>X4</t>
        </is>
      </c>
      <c r="C140" s="7" t="n"/>
      <c r="D140" s="6">
        <f>IFERROR(INDEX('Kontrol Adımları'!$D:$D,MATCH(1,INDEX(('Kontrol Adımları'!$A$1:$A$400=B140)*('Kontrol Adımları'!$B$1:$B$400=C140),0),0)),"")</f>
        <v/>
      </c>
      <c r="E140" s="5" t="inlineStr">
        <is>
          <t>decor_branches</t>
        </is>
      </c>
      <c r="F140" s="6">
        <f>IFERROR(INDEX('Kalem Kataloğu'!$C$1:$C$1000,MATCH(1,INDEX(('Kalem Kataloğu'!$A$1:$A$1000=A140)*('Kalem Kataloğu'!$B$1:$B$1000=E140),0),0)),"?")</f>
        <v/>
      </c>
      <c r="G140" s="6">
        <f>IFERROR(INDEX('Kalem Kataloğu'!$D$1:$D$1000,MATCH(1,INDEX(('Kalem Kataloğu'!$A$1:$A$1000=A140)*('Kalem Kataloğu'!$B$1:$B$1000=E140),0),0)),"?")</f>
        <v/>
      </c>
      <c r="H140" s="7" t="n">
        <v>1</v>
      </c>
      <c r="I140" s="7" t="inlineStr">
        <is>
          <t>Hayır</t>
        </is>
      </c>
      <c r="J140" s="5" t="inlineStr">
        <is>
          <t>Drive foto (Tem. 2024)</t>
        </is>
      </c>
      <c r="K140" s="5" t="inlineStr">
        <is>
          <t xml:space="preserve"> [güven: orta]</t>
        </is>
      </c>
    </row>
    <row r="141">
      <c r="A141" s="5" t="inlineStr">
        <is>
          <t>Tare Houses Hotel</t>
        </is>
      </c>
      <c r="B141" s="5" t="inlineStr">
        <is>
          <t>X4</t>
        </is>
      </c>
      <c r="C141" s="7" t="n"/>
      <c r="D141" s="6">
        <f>IFERROR(INDEX('Kontrol Adımları'!$D:$D,MATCH(1,INDEX(('Kontrol Adımları'!$A$1:$A$400=B141)*('Kontrol Adımları'!$B$1:$B$400=C141),0),0)),"")</f>
        <v/>
      </c>
      <c r="E141" s="5" t="inlineStr">
        <is>
          <t>smoke_detector</t>
        </is>
      </c>
      <c r="F141" s="6">
        <f>IFERROR(INDEX('Kalem Kataloğu'!$C$1:$C$1000,MATCH(1,INDEX(('Kalem Kataloğu'!$A$1:$A$1000=A141)*('Kalem Kataloğu'!$B$1:$B$1000=E141),0),0)),"?")</f>
        <v/>
      </c>
      <c r="G141" s="6">
        <f>IFERROR(INDEX('Kalem Kataloğu'!$D$1:$D$1000,MATCH(1,INDEX(('Kalem Kataloğu'!$A$1:$A$1000=A141)*('Kalem Kataloğu'!$B$1:$B$1000=E141),0),0)),"?")</f>
        <v/>
      </c>
      <c r="H141" s="7" t="n">
        <v>1</v>
      </c>
      <c r="I141" s="7" t="inlineStr">
        <is>
          <t>Hayır</t>
        </is>
      </c>
      <c r="J141" s="5" t="inlineStr">
        <is>
          <t>Drive foto (Tem. 2024)</t>
        </is>
      </c>
      <c r="K141" s="5" t="inlineStr">
        <is>
          <t xml:space="preserve"> [güven: orta]</t>
        </is>
      </c>
    </row>
    <row r="142" ht="26.4" customHeight="1">
      <c r="A142" s="5" t="inlineStr">
        <is>
          <t>Tare Houses Hotel</t>
        </is>
      </c>
      <c r="B142" s="5" t="inlineStr">
        <is>
          <t>X4</t>
        </is>
      </c>
      <c r="C142" s="7" t="n"/>
      <c r="D142" s="6">
        <f>IFERROR(INDEX('Kontrol Adımları'!$D:$D,MATCH(1,INDEX(('Kontrol Adımları'!$A$1:$A$400=B142)*('Kontrol Adımları'!$B$1:$B$400=C142),0),0)),"")</f>
        <v/>
      </c>
      <c r="E142" s="5" t="inlineStr">
        <is>
          <t>dispenser</t>
        </is>
      </c>
      <c r="F142" s="6">
        <f>IFERROR(INDEX('Kalem Kataloğu'!$C$1:$C$1000,MATCH(1,INDEX(('Kalem Kataloğu'!$A$1:$A$1000=A142)*('Kalem Kataloğu'!$B$1:$B$1000=E142),0),0)),"?")</f>
        <v/>
      </c>
      <c r="G142" s="6">
        <f>IFERROR(INDEX('Kalem Kataloğu'!$D$1:$D$1000,MATCH(1,INDEX(('Kalem Kataloğu'!$A$1:$A$1000=A142)*('Kalem Kataloğu'!$B$1:$B$1000=E142),0),0)),"?")</f>
        <v/>
      </c>
      <c r="H142" s="7" t="n">
        <v>1</v>
      </c>
      <c r="I142" s="7" t="inlineStr">
        <is>
          <t>Hayır</t>
        </is>
      </c>
      <c r="J142" s="5" t="inlineStr">
        <is>
          <t>Drive foto (Tem. 2024)</t>
        </is>
      </c>
      <c r="K142" s="5" t="inlineStr">
        <is>
          <t>Excel X3: 3 hazne. [güven: yüksek]</t>
        </is>
      </c>
    </row>
    <row r="143" ht="26.4" customHeight="1">
      <c r="A143" s="5" t="inlineStr">
        <is>
          <t>Tare Houses Hotel</t>
        </is>
      </c>
      <c r="B143" s="5" t="inlineStr">
        <is>
          <t>X4</t>
        </is>
      </c>
      <c r="C143" s="7" t="n"/>
      <c r="D143" s="6">
        <f>IFERROR(INDEX('Kontrol Adımları'!$D:$D,MATCH(1,INDEX(('Kontrol Adımları'!$A$1:$A$400=B143)*('Kontrol Adımları'!$B$1:$B$400=C143),0),0)),"")</f>
        <v/>
      </c>
      <c r="E143" s="5" t="inlineStr">
        <is>
          <t>wardrobe</t>
        </is>
      </c>
      <c r="F143" s="6">
        <f>IFERROR(INDEX('Kalem Kataloğu'!$C$1:$C$1000,MATCH(1,INDEX(('Kalem Kataloğu'!$A$1:$A$1000=A143)*('Kalem Kataloğu'!$B$1:$B$1000=E143),0),0)),"?")</f>
        <v/>
      </c>
      <c r="G143" s="6">
        <f>IFERROR(INDEX('Kalem Kataloğu'!$D$1:$D$1000,MATCH(1,INDEX(('Kalem Kataloğu'!$A$1:$A$1000=A143)*('Kalem Kataloğu'!$B$1:$B$1000=E143),0),0)),"?")</f>
        <v/>
      </c>
      <c r="H143" s="7" t="n">
        <v>1</v>
      </c>
      <c r="I143" s="7" t="inlineStr">
        <is>
          <t>Hayır</t>
        </is>
      </c>
      <c r="J143" s="5" t="inlineStr">
        <is>
          <t>Drive foto (Tem. 2024)</t>
        </is>
      </c>
      <c r="K143" s="5" t="inlineStr">
        <is>
          <t>İçi (askı, battaniye) fotoğrafta görünmüyor. Excel X3: askı 6, yedek battaniye 1. [güven: yüksek]</t>
        </is>
      </c>
    </row>
    <row r="144" ht="26.4" customHeight="1">
      <c r="A144" s="5" t="inlineStr">
        <is>
          <t>Tare Houses Hotel</t>
        </is>
      </c>
      <c r="B144" s="5" t="inlineStr">
        <is>
          <t>X4</t>
        </is>
      </c>
      <c r="C144" s="7" t="n"/>
      <c r="D144" s="6">
        <f>IFERROR(INDEX('Kontrol Adımları'!$D:$D,MATCH(1,INDEX(('Kontrol Adımları'!$A$1:$A$400=B144)*('Kontrol Adımları'!$B$1:$B$400=C144),0),0)),"")</f>
        <v/>
      </c>
      <c r="E144" s="5" t="inlineStr">
        <is>
          <t>flush_plate</t>
        </is>
      </c>
      <c r="F144" s="6">
        <f>IFERROR(INDEX('Kalem Kataloğu'!$C$1:$C$1000,MATCH(1,INDEX(('Kalem Kataloğu'!$A$1:$A$1000=A144)*('Kalem Kataloğu'!$B$1:$B$1000=E144),0),0)),"?")</f>
        <v/>
      </c>
      <c r="G144" s="6">
        <f>IFERROR(INDEX('Kalem Kataloğu'!$D$1:$D$1000,MATCH(1,INDEX(('Kalem Kataloğu'!$A$1:$A$1000=A144)*('Kalem Kataloğu'!$B$1:$B$1000=E144),0),0)),"?")</f>
        <v/>
      </c>
      <c r="H144" s="7" t="n">
        <v>1</v>
      </c>
      <c r="I144" s="7" t="inlineStr">
        <is>
          <t>Hayır</t>
        </is>
      </c>
      <c r="J144" s="5" t="inlineStr">
        <is>
          <t>Drive foto (Tem. 2024)</t>
        </is>
      </c>
      <c r="K144" s="5" t="inlineStr">
        <is>
          <t xml:space="preserve"> [güven: yüksek]</t>
        </is>
      </c>
    </row>
    <row r="145" ht="26.4" customHeight="1">
      <c r="A145" s="5" t="inlineStr">
        <is>
          <t>Tare Houses Hotel</t>
        </is>
      </c>
      <c r="B145" s="5" t="inlineStr">
        <is>
          <t>X4</t>
        </is>
      </c>
      <c r="C145" s="7" t="n"/>
      <c r="D145" s="6">
        <f>IFERROR(INDEX('Kontrol Adımları'!$D:$D,MATCH(1,INDEX(('Kontrol Adımları'!$A$1:$A$400=B145)*('Kontrol Adımları'!$B$1:$B$400=C145),0),0)),"")</f>
        <v/>
      </c>
      <c r="E145" s="5" t="inlineStr">
        <is>
          <t>rug_striped</t>
        </is>
      </c>
      <c r="F145" s="6">
        <f>IFERROR(INDEX('Kalem Kataloğu'!$C$1:$C$1000,MATCH(1,INDEX(('Kalem Kataloğu'!$A$1:$A$1000=A145)*('Kalem Kataloğu'!$B$1:$B$1000=E145),0),0)),"?")</f>
        <v/>
      </c>
      <c r="G145" s="6">
        <f>IFERROR(INDEX('Kalem Kataloğu'!$D$1:$D$1000,MATCH(1,INDEX(('Kalem Kataloğu'!$A$1:$A$1000=A145)*('Kalem Kataloğu'!$B$1:$B$1000=E145),0),0)),"?")</f>
        <v/>
      </c>
      <c r="H145" s="7" t="n"/>
      <c r="I145" s="7" t="inlineStr">
        <is>
          <t>Hayır</t>
        </is>
      </c>
      <c r="J145" s="5" t="inlineStr">
        <is>
          <t>Drive foto (Tem. 2024)</t>
        </is>
      </c>
      <c r="K145" s="5" t="inlineStr">
        <is>
          <t xml:space="preserve"> [güven: orta]</t>
        </is>
      </c>
    </row>
    <row r="146">
      <c r="A146" s="5" t="inlineStr">
        <is>
          <t>Tare Houses Hotel</t>
        </is>
      </c>
      <c r="B146" s="5" t="inlineStr">
        <is>
          <t>X4</t>
        </is>
      </c>
      <c r="C146" s="7" t="n"/>
      <c r="D146" s="6">
        <f>IFERROR(INDEX('Kontrol Adımları'!$D:$D,MATCH(1,INDEX(('Kontrol Adımları'!$A$1:$A$400=B146)*('Kontrol Adımları'!$B$1:$B$400=C146),0),0)),"")</f>
        <v/>
      </c>
      <c r="E146" s="5" t="inlineStr">
        <is>
          <t>towel_bar</t>
        </is>
      </c>
      <c r="F146" s="6">
        <f>IFERROR(INDEX('Kalem Kataloğu'!$C$1:$C$1000,MATCH(1,INDEX(('Kalem Kataloğu'!$A$1:$A$1000=A146)*('Kalem Kataloğu'!$B$1:$B$1000=E146),0),0)),"?")</f>
        <v/>
      </c>
      <c r="G146" s="6">
        <f>IFERROR(INDEX('Kalem Kataloğu'!$D$1:$D$1000,MATCH(1,INDEX(('Kalem Kataloğu'!$A$1:$A$1000=A146)*('Kalem Kataloğu'!$B$1:$B$1000=E146),0),0)),"?")</f>
        <v/>
      </c>
      <c r="H146" s="7" t="n">
        <v>1</v>
      </c>
      <c r="I146" s="7" t="inlineStr">
        <is>
          <t>Hayır</t>
        </is>
      </c>
      <c r="J146" s="5" t="inlineStr">
        <is>
          <t>Drive foto (Tem. 2024)</t>
        </is>
      </c>
      <c r="K146" s="5" t="inlineStr">
        <is>
          <t xml:space="preserve"> [güven: orta]</t>
        </is>
      </c>
    </row>
    <row r="147">
      <c r="A147" s="5" t="inlineStr">
        <is>
          <t>Tare Houses Hotel</t>
        </is>
      </c>
      <c r="B147" s="5" t="inlineStr">
        <is>
          <t>X4</t>
        </is>
      </c>
      <c r="C147" s="7" t="n"/>
      <c r="D147" s="6">
        <f>IFERROR(INDEX('Kontrol Adımları'!$D:$D,MATCH(1,INDEX(('Kontrol Adımları'!$A$1:$A$400=B147)*('Kontrol Adımları'!$B$1:$B$400=C147),0),0)),"")</f>
        <v/>
      </c>
      <c r="E147" s="5" t="inlineStr">
        <is>
          <t>towel_ring</t>
        </is>
      </c>
      <c r="F147" s="6">
        <f>IFERROR(INDEX('Kalem Kataloğu'!$C$1:$C$1000,MATCH(1,INDEX(('Kalem Kataloğu'!$A$1:$A$1000=A147)*('Kalem Kataloğu'!$B$1:$B$1000=E147),0),0)),"?")</f>
        <v/>
      </c>
      <c r="G147" s="6">
        <f>IFERROR(INDEX('Kalem Kataloğu'!$D$1:$D$1000,MATCH(1,INDEX(('Kalem Kataloğu'!$A$1:$A$1000=A147)*('Kalem Kataloğu'!$B$1:$B$1000=E147),0),0)),"?")</f>
        <v/>
      </c>
      <c r="H147" s="7" t="n">
        <v>2</v>
      </c>
      <c r="I147" s="7" t="inlineStr">
        <is>
          <t>Hayır</t>
        </is>
      </c>
      <c r="J147" s="5" t="inlineStr">
        <is>
          <t>Drive foto (Tem. 2024)</t>
        </is>
      </c>
      <c r="K147" s="5" t="inlineStr">
        <is>
          <t xml:space="preserve"> [güven: orta]</t>
        </is>
      </c>
    </row>
    <row r="148" ht="39.6" customHeight="1">
      <c r="A148" s="5" t="inlineStr">
        <is>
          <t>Tare Houses Hotel</t>
        </is>
      </c>
      <c r="B148" s="5" t="inlineStr">
        <is>
          <t>X4</t>
        </is>
      </c>
      <c r="C148" s="7" t="n"/>
      <c r="D148" s="6">
        <f>IFERROR(INDEX('Kontrol Adımları'!$D:$D,MATCH(1,INDEX(('Kontrol Adımları'!$A$1:$A$400=B148)*('Kontrol Adımları'!$B$1:$B$400=C148),0),0)),"")</f>
        <v/>
      </c>
      <c r="E148" s="5" t="inlineStr">
        <is>
          <t>sofa_gray</t>
        </is>
      </c>
      <c r="F148" s="6">
        <f>IFERROR(INDEX('Kalem Kataloğu'!$C$1:$C$1000,MATCH(1,INDEX(('Kalem Kataloğu'!$A$1:$A$1000=A148)*('Kalem Kataloğu'!$B$1:$B$1000=E148),0),0)),"?")</f>
        <v/>
      </c>
      <c r="G148" s="6">
        <f>IFERROR(INDEX('Kalem Kataloğu'!$D$1:$D$1000,MATCH(1,INDEX(('Kalem Kataloğu'!$A$1:$A$1000=A148)*('Kalem Kataloğu'!$B$1:$B$1000=E148),0),0)),"?")</f>
        <v/>
      </c>
      <c r="H148" s="7" t="n"/>
      <c r="I148" s="7" t="inlineStr">
        <is>
          <t>Hayır</t>
        </is>
      </c>
      <c r="J148" s="5" t="inlineStr">
        <is>
          <t>Drive foto (Tem. 2024)</t>
        </is>
      </c>
      <c r="K148" s="5" t="inlineStr">
        <is>
          <t>X1 Deluxe Suite ve X2 Deluxe Triple oturma alanında. Açılır mı teyit et (Triple için 3. kişi yatağı). [güven: yüksek]</t>
        </is>
      </c>
    </row>
    <row r="149" ht="26.4" customHeight="1">
      <c r="A149" s="5" t="inlineStr">
        <is>
          <t>Tare Houses Hotel</t>
        </is>
      </c>
      <c r="B149" s="5" t="inlineStr">
        <is>
          <t>X4</t>
        </is>
      </c>
      <c r="C149" s="7" t="n"/>
      <c r="D149" s="6">
        <f>IFERROR(INDEX('Kontrol Adımları'!$D:$D,MATCH(1,INDEX(('Kontrol Adımları'!$A$1:$A$400=B149)*('Kontrol Adımları'!$B$1:$B$400=C149),0),0)),"")</f>
        <v/>
      </c>
      <c r="E149" s="5" t="inlineStr">
        <is>
          <t>kettle</t>
        </is>
      </c>
      <c r="F149" s="6">
        <f>IFERROR(INDEX('Kalem Kataloğu'!$C$1:$C$1000,MATCH(1,INDEX(('Kalem Kataloğu'!$A$1:$A$1000=A149)*('Kalem Kataloğu'!$B$1:$B$1000=E149),0),0)),"?")</f>
        <v/>
      </c>
      <c r="G149" s="6">
        <f>IFERROR(INDEX('Kalem Kataloğu'!$D$1:$D$1000,MATCH(1,INDEX(('Kalem Kataloğu'!$A$1:$A$1000=A149)*('Kalem Kataloğu'!$B$1:$B$1000=E149),0),0)),"?")</f>
        <v/>
      </c>
      <c r="H149" s="7" t="n">
        <v>1</v>
      </c>
      <c r="I149" s="7" t="inlineStr">
        <is>
          <t>Hayır</t>
        </is>
      </c>
      <c r="J149" s="5" t="inlineStr">
        <is>
          <t>Drive foto (Tem. 2024)</t>
        </is>
      </c>
      <c r="K149" s="5" t="inlineStr">
        <is>
          <t>Tüm oda fotoğraflarında tezgahta görünüyor. [güven: yüksek]</t>
        </is>
      </c>
    </row>
    <row r="150" ht="26.4" customHeight="1">
      <c r="A150" s="5" t="inlineStr">
        <is>
          <t>Tare Houses Hotel</t>
        </is>
      </c>
      <c r="B150" s="5" t="inlineStr">
        <is>
          <t>X4</t>
        </is>
      </c>
      <c r="C150" s="7" t="n"/>
      <c r="D150" s="6">
        <f>IFERROR(INDEX('Kontrol Adımları'!$D:$D,MATCH(1,INDEX(('Kontrol Adımları'!$A$1:$A$400=B150)*('Kontrol Adımları'!$B$1:$B$400=C150),0),0)),"")</f>
        <v/>
      </c>
      <c r="E150" s="5" t="inlineStr">
        <is>
          <t>air_conditioner</t>
        </is>
      </c>
      <c r="F150" s="6">
        <f>IFERROR(INDEX('Kalem Kataloğu'!$C$1:$C$1000,MATCH(1,INDEX(('Kalem Kataloğu'!$A$1:$A$1000=A150)*('Kalem Kataloğu'!$B$1:$B$1000=E150),0),0)),"?")</f>
        <v/>
      </c>
      <c r="G150" s="6">
        <f>IFERROR(INDEX('Kalem Kataloğu'!$D$1:$D$1000,MATCH(1,INDEX(('Kalem Kataloğu'!$A$1:$A$1000=A150)*('Kalem Kataloğu'!$B$1:$B$1000=E150),0),0)),"?")</f>
        <v/>
      </c>
      <c r="H150" s="7" t="n">
        <v>1</v>
      </c>
      <c r="I150" s="7" t="inlineStr">
        <is>
          <t>Hayır</t>
        </is>
      </c>
      <c r="J150" s="5" t="inlineStr">
        <is>
          <t>Drive foto (Tem. 2024)</t>
        </is>
      </c>
      <c r="K150" s="5" t="inlineStr">
        <is>
          <t>Kumanda Excel X3'te: TV + klima kumandası 2. [güven: yüksek]</t>
        </is>
      </c>
    </row>
    <row r="151" ht="26.4" customHeight="1">
      <c r="A151" s="5" t="inlineStr">
        <is>
          <t>Tare Houses Hotel</t>
        </is>
      </c>
      <c r="B151" s="5" t="inlineStr">
        <is>
          <t>X4</t>
        </is>
      </c>
      <c r="C151" s="7" t="n"/>
      <c r="D151" s="6">
        <f>IFERROR(INDEX('Kontrol Adımları'!$D:$D,MATCH(1,INDEX(('Kontrol Adımları'!$A$1:$A$400=B151)*('Kontrol Adımları'!$B$1:$B$400=C151),0),0)),"")</f>
        <v/>
      </c>
      <c r="E151" s="5" t="inlineStr">
        <is>
          <t>armchair</t>
        </is>
      </c>
      <c r="F151" s="6">
        <f>IFERROR(INDEX('Kalem Kataloğu'!$C$1:$C$1000,MATCH(1,INDEX(('Kalem Kataloğu'!$A$1:$A$1000=A151)*('Kalem Kataloğu'!$B$1:$B$1000=E151),0),0)),"?")</f>
        <v/>
      </c>
      <c r="G151" s="6">
        <f>IFERROR(INDEX('Kalem Kataloğu'!$D$1:$D$1000,MATCH(1,INDEX(('Kalem Kataloğu'!$A$1:$A$1000=A151)*('Kalem Kataloğu'!$B$1:$B$1000=E151),0),0)),"?")</f>
        <v/>
      </c>
      <c r="H151" s="7" t="n">
        <v>2</v>
      </c>
      <c r="I151" s="7" t="inlineStr">
        <is>
          <t>Hayır</t>
        </is>
      </c>
      <c r="J151" s="5" t="inlineStr">
        <is>
          <t>Drive foto (Tem. 2024)</t>
        </is>
      </c>
      <c r="K151" s="5" t="inlineStr">
        <is>
          <t>X1'de çalışma masası önünde 1 adet. [güven: yüksek]</t>
        </is>
      </c>
    </row>
    <row r="152" ht="26.4" customHeight="1">
      <c r="A152" s="5" t="inlineStr">
        <is>
          <t>Tare Houses Hotel</t>
        </is>
      </c>
      <c r="B152" s="5" t="inlineStr">
        <is>
          <t>X4</t>
        </is>
      </c>
      <c r="C152" s="7" t="n"/>
      <c r="D152" s="6">
        <f>IFERROR(INDEX('Kontrol Adımları'!$D:$D,MATCH(1,INDEX(('Kontrol Adımları'!$A$1:$A$400=B152)*('Kontrol Adımları'!$B$1:$B$400=C152),0),0)),"")</f>
        <v/>
      </c>
      <c r="E152" s="5" t="inlineStr">
        <is>
          <t>nightstand</t>
        </is>
      </c>
      <c r="F152" s="6">
        <f>IFERROR(INDEX('Kalem Kataloğu'!$C$1:$C$1000,MATCH(1,INDEX(('Kalem Kataloğu'!$A$1:$A$1000=A152)*('Kalem Kataloğu'!$B$1:$B$1000=E152),0),0)),"?")</f>
        <v/>
      </c>
      <c r="G152" s="6">
        <f>IFERROR(INDEX('Kalem Kataloğu'!$D$1:$D$1000,MATCH(1,INDEX(('Kalem Kataloğu'!$A$1:$A$1000=A152)*('Kalem Kataloğu'!$B$1:$B$1000=E152),0),0)),"?")</f>
        <v/>
      </c>
      <c r="H152" s="7" t="n"/>
      <c r="I152" s="7" t="inlineStr">
        <is>
          <t>Hayır</t>
        </is>
      </c>
      <c r="J152" s="5" t="inlineStr">
        <is>
          <t>Drive foto (Tem. 2024)</t>
        </is>
      </c>
      <c r="K152" s="5" t="inlineStr">
        <is>
          <t>X4'te komodin yerine kavisli başlığa entegre tabla. [güven: yüksek]</t>
        </is>
      </c>
    </row>
    <row r="153" ht="26.4" customHeight="1">
      <c r="A153" s="5" t="inlineStr">
        <is>
          <t>Tare Houses Hotel</t>
        </is>
      </c>
      <c r="B153" s="5" t="inlineStr">
        <is>
          <t>X4</t>
        </is>
      </c>
      <c r="C153" s="7" t="n"/>
      <c r="D153" s="6">
        <f>IFERROR(INDEX('Kontrol Adımları'!$D:$D,MATCH(1,INDEX(('Kontrol Adımları'!$A$1:$A$400=B153)*('Kontrol Adımları'!$B$1:$B$400=C153),0),0)),"")</f>
        <v/>
      </c>
      <c r="E153" s="5" t="inlineStr">
        <is>
          <t>floor_lamp</t>
        </is>
      </c>
      <c r="F153" s="6">
        <f>IFERROR(INDEX('Kalem Kataloğu'!$C$1:$C$1000,MATCH(1,INDEX(('Kalem Kataloğu'!$A$1:$A$1000=A153)*('Kalem Kataloğu'!$B$1:$B$1000=E153),0),0)),"?")</f>
        <v/>
      </c>
      <c r="G153" s="6">
        <f>IFERROR(INDEX('Kalem Kataloğu'!$D$1:$D$1000,MATCH(1,INDEX(('Kalem Kataloğu'!$A$1:$A$1000=A153)*('Kalem Kataloğu'!$B$1:$B$1000=E153),0),0)),"?")</f>
        <v/>
      </c>
      <c r="H153" s="7" t="n"/>
      <c r="I153" s="7" t="inlineStr">
        <is>
          <t>Hayır</t>
        </is>
      </c>
      <c r="J153" s="5" t="inlineStr">
        <is>
          <t>Drive foto (Tem. 2024)</t>
        </is>
      </c>
      <c r="K153" s="5" t="inlineStr">
        <is>
          <t xml:space="preserve"> [güven: yüksek]</t>
        </is>
      </c>
    </row>
    <row r="154" ht="26.4" customHeight="1">
      <c r="A154" s="5" t="inlineStr">
        <is>
          <t>Tare Houses Hotel</t>
        </is>
      </c>
      <c r="B154" s="5" t="inlineStr">
        <is>
          <t>X4</t>
        </is>
      </c>
      <c r="C154" s="7" t="n"/>
      <c r="D154" s="6">
        <f>IFERROR(INDEX('Kontrol Adımları'!$D:$D,MATCH(1,INDEX(('Kontrol Adımları'!$A$1:$A$400=B154)*('Kontrol Adımları'!$B$1:$B$400=C154),0),0)),"")</f>
        <v/>
      </c>
      <c r="E154" s="5" t="inlineStr">
        <is>
          <t>vanity_unit</t>
        </is>
      </c>
      <c r="F154" s="6">
        <f>IFERROR(INDEX('Kalem Kataloğu'!$C$1:$C$1000,MATCH(1,INDEX(('Kalem Kataloğu'!$A$1:$A$1000=A154)*('Kalem Kataloğu'!$B$1:$B$1000=E154),0),0)),"?")</f>
        <v/>
      </c>
      <c r="G154" s="6">
        <f>IFERROR(INDEX('Kalem Kataloğu'!$D$1:$D$1000,MATCH(1,INDEX(('Kalem Kataloğu'!$A$1:$A$1000=A154)*('Kalem Kataloğu'!$B$1:$B$1000=E154),0),0)),"?")</f>
        <v/>
      </c>
      <c r="H154" s="7" t="n">
        <v>1</v>
      </c>
      <c r="I154" s="7" t="inlineStr">
        <is>
          <t>Hayır</t>
        </is>
      </c>
      <c r="J154" s="5" t="inlineStr">
        <is>
          <t>Drive foto (Tem. 2024)</t>
        </is>
      </c>
      <c r="K154" s="5" t="inlineStr">
        <is>
          <t>Excel X3 adım 2: raftaki havlular burada. [güven: yüksek]</t>
        </is>
      </c>
    </row>
    <row r="155" ht="26.4" customHeight="1">
      <c r="A155" s="5" t="inlineStr">
        <is>
          <t>Tare Houses Hotel</t>
        </is>
      </c>
      <c r="B155" s="5" t="inlineStr">
        <is>
          <t>X4</t>
        </is>
      </c>
      <c r="C155" s="7" t="n"/>
      <c r="D155" s="6">
        <f>IFERROR(INDEX('Kontrol Adımları'!$D:$D,MATCH(1,INDEX(('Kontrol Adımları'!$A$1:$A$400=B155)*('Kontrol Adımları'!$B$1:$B$400=C155),0),0)),"")</f>
        <v/>
      </c>
      <c r="E155" s="5" t="inlineStr">
        <is>
          <t>basin_faucet</t>
        </is>
      </c>
      <c r="F155" s="6">
        <f>IFERROR(INDEX('Kalem Kataloğu'!$C$1:$C$1000,MATCH(1,INDEX(('Kalem Kataloğu'!$A$1:$A$1000=A155)*('Kalem Kataloğu'!$B$1:$B$1000=E155),0),0)),"?")</f>
        <v/>
      </c>
      <c r="G155" s="6">
        <f>IFERROR(INDEX('Kalem Kataloğu'!$D$1:$D$1000,MATCH(1,INDEX(('Kalem Kataloğu'!$A$1:$A$1000=A155)*('Kalem Kataloğu'!$B$1:$B$1000=E155),0),0)),"?")</f>
        <v/>
      </c>
      <c r="H155" s="7" t="n">
        <v>1</v>
      </c>
      <c r="I155" s="7" t="inlineStr">
        <is>
          <t>Hayır</t>
        </is>
      </c>
      <c r="J155" s="5" t="inlineStr">
        <is>
          <t>Drive foto (Tem. 2024)</t>
        </is>
      </c>
      <c r="K155" s="5" t="inlineStr">
        <is>
          <t xml:space="preserve"> [güven: yüksek]</t>
        </is>
      </c>
    </row>
    <row r="156" ht="26.4" customHeight="1">
      <c r="A156" s="5" t="inlineStr">
        <is>
          <t>Tare Houses Hotel</t>
        </is>
      </c>
      <c r="B156" s="5" t="inlineStr">
        <is>
          <t>X4</t>
        </is>
      </c>
      <c r="C156" s="7" t="n"/>
      <c r="D156" s="6">
        <f>IFERROR(INDEX('Kontrol Adımları'!$D:$D,MATCH(1,INDEX(('Kontrol Adımları'!$A$1:$A$400=B156)*('Kontrol Adımları'!$B$1:$B$400=C156),0),0)),"")</f>
        <v/>
      </c>
      <c r="E156" s="5" t="inlineStr">
        <is>
          <t>globe_table_lamp</t>
        </is>
      </c>
      <c r="F156" s="6">
        <f>IFERROR(INDEX('Kalem Kataloğu'!$C$1:$C$1000,MATCH(1,INDEX(('Kalem Kataloğu'!$A$1:$A$1000=A156)*('Kalem Kataloğu'!$B$1:$B$1000=E156),0),0)),"?")</f>
        <v/>
      </c>
      <c r="G156" s="6">
        <f>IFERROR(INDEX('Kalem Kataloğu'!$D$1:$D$1000,MATCH(1,INDEX(('Kalem Kataloğu'!$A$1:$A$1000=A156)*('Kalem Kataloğu'!$B$1:$B$1000=E156),0),0)),"?")</f>
        <v/>
      </c>
      <c r="H156" s="7" t="n">
        <v>2</v>
      </c>
      <c r="I156" s="7" t="inlineStr">
        <is>
          <t>Hayır</t>
        </is>
      </c>
      <c r="J156" s="5" t="inlineStr">
        <is>
          <t>Drive foto (Tem. 2024)</t>
        </is>
      </c>
      <c r="K156" s="5" t="inlineStr">
        <is>
          <t>X4 yatak başlığı tablalarında 2 adet. [güven: yüksek]</t>
        </is>
      </c>
    </row>
    <row r="157">
      <c r="A157" s="5" t="inlineStr">
        <is>
          <t>Tare Houses Hotel</t>
        </is>
      </c>
      <c r="B157" s="5" t="inlineStr">
        <is>
          <t>X4</t>
        </is>
      </c>
      <c r="C157" s="7" t="n"/>
      <c r="D157" s="6">
        <f>IFERROR(INDEX('Kontrol Adımları'!$D:$D,MATCH(1,INDEX(('Kontrol Adımları'!$A$1:$A$400=B157)*('Kontrol Adımları'!$B$1:$B$400=C157),0),0)),"")</f>
        <v/>
      </c>
      <c r="E157" s="5" t="inlineStr">
        <is>
          <t>mini_fridge</t>
        </is>
      </c>
      <c r="F157" s="6">
        <f>IFERROR(INDEX('Kalem Kataloğu'!$C$1:$C$1000,MATCH(1,INDEX(('Kalem Kataloğu'!$A$1:$A$1000=A157)*('Kalem Kataloğu'!$B$1:$B$1000=E157),0),0)),"?")</f>
        <v/>
      </c>
      <c r="G157" s="6">
        <f>IFERROR(INDEX('Kalem Kataloğu'!$D$1:$D$1000,MATCH(1,INDEX(('Kalem Kataloğu'!$A$1:$A$1000=A157)*('Kalem Kataloğu'!$B$1:$B$1000=E157),0),0)),"?")</f>
        <v/>
      </c>
      <c r="H157" s="7" t="n">
        <v>1</v>
      </c>
      <c r="I157" s="7" t="inlineStr">
        <is>
          <t>Hayır</t>
        </is>
      </c>
      <c r="J157" s="5" t="inlineStr">
        <is>
          <t>Drive foto (Tem. 2024)</t>
        </is>
      </c>
      <c r="K157" s="5" t="inlineStr">
        <is>
          <t xml:space="preserve"> [güven: yüksek]</t>
        </is>
      </c>
    </row>
    <row r="158" ht="26.4" customHeight="1">
      <c r="A158" s="5" t="inlineStr">
        <is>
          <t>Tare Houses Hotel</t>
        </is>
      </c>
      <c r="B158" s="5" t="inlineStr">
        <is>
          <t>X4</t>
        </is>
      </c>
      <c r="C158" s="7" t="n"/>
      <c r="D158" s="6">
        <f>IFERROR(INDEX('Kontrol Adımları'!$D:$D,MATCH(1,INDEX(('Kontrol Adımları'!$A$1:$A$400=B158)*('Kontrol Adımları'!$B$1:$B$400=C158),0),0)),"")</f>
        <v/>
      </c>
      <c r="E158" s="5" t="inlineStr">
        <is>
          <t>coffee_table_glass</t>
        </is>
      </c>
      <c r="F158" s="6">
        <f>IFERROR(INDEX('Kalem Kataloğu'!$C$1:$C$1000,MATCH(1,INDEX(('Kalem Kataloğu'!$A$1:$A$1000=A158)*('Kalem Kataloğu'!$B$1:$B$1000=E158),0),0)),"?")</f>
        <v/>
      </c>
      <c r="G158" s="6">
        <f>IFERROR(INDEX('Kalem Kataloğu'!$D$1:$D$1000,MATCH(1,INDEX(('Kalem Kataloğu'!$A$1:$A$1000=A158)*('Kalem Kataloğu'!$B$1:$B$1000=E158),0),0)),"?")</f>
        <v/>
      </c>
      <c r="H158" s="7" t="n"/>
      <c r="I158" s="7" t="inlineStr">
        <is>
          <t>Hayır</t>
        </is>
      </c>
      <c r="J158" s="5" t="inlineStr">
        <is>
          <t>Drive foto (Tem. 2024)</t>
        </is>
      </c>
      <c r="K158" s="5" t="inlineStr">
        <is>
          <t xml:space="preserve"> [güven: yüksek]</t>
        </is>
      </c>
    </row>
    <row r="159">
      <c r="A159" s="5" t="inlineStr">
        <is>
          <t>Tare Houses Hotel</t>
        </is>
      </c>
      <c r="B159" s="5" t="inlineStr">
        <is>
          <t>X4</t>
        </is>
      </c>
      <c r="C159" s="7" t="n"/>
      <c r="D159" s="6">
        <f>IFERROR(INDEX('Kontrol Adımları'!$D:$D,MATCH(1,INDEX(('Kontrol Adımları'!$A$1:$A$400=B159)*('Kontrol Adımları'!$B$1:$B$400=C159),0),0)),"")</f>
        <v/>
      </c>
      <c r="E159" s="5" t="inlineStr">
        <is>
          <t>pendant_lamp</t>
        </is>
      </c>
      <c r="F159" s="6">
        <f>IFERROR(INDEX('Kalem Kataloğu'!$C$1:$C$1000,MATCH(1,INDEX(('Kalem Kataloğu'!$A$1:$A$1000=A159)*('Kalem Kataloğu'!$B$1:$B$1000=E159),0),0)),"?")</f>
        <v/>
      </c>
      <c r="G159" s="6">
        <f>IFERROR(INDEX('Kalem Kataloğu'!$D$1:$D$1000,MATCH(1,INDEX(('Kalem Kataloğu'!$A$1:$A$1000=A159)*('Kalem Kataloğu'!$B$1:$B$1000=E159),0),0)),"?")</f>
        <v/>
      </c>
      <c r="H159" s="7" t="n">
        <v>1</v>
      </c>
      <c r="I159" s="7" t="inlineStr">
        <is>
          <t>Hayır</t>
        </is>
      </c>
      <c r="J159" s="5" t="inlineStr">
        <is>
          <t>Drive foto (Tem. 2024)</t>
        </is>
      </c>
      <c r="K159" s="5" t="inlineStr">
        <is>
          <t xml:space="preserve"> [güven: yüksek]</t>
        </is>
      </c>
    </row>
    <row r="160" ht="39.6" customHeight="1">
      <c r="A160" s="5" t="inlineStr">
        <is>
          <t>Tare Houses Hotel</t>
        </is>
      </c>
      <c r="B160" s="5" t="inlineStr">
        <is>
          <t>X4</t>
        </is>
      </c>
      <c r="C160" s="7" t="n"/>
      <c r="D160" s="6">
        <f>IFERROR(INDEX('Kontrol Adımları'!$D:$D,MATCH(1,INDEX(('Kontrol Adımları'!$A$1:$A$400=B160)*('Kontrol Adımları'!$B$1:$B$400=C160),0),0)),"")</f>
        <v/>
      </c>
      <c r="E160" s="5" t="inlineStr">
        <is>
          <t>tv</t>
        </is>
      </c>
      <c r="F160" s="6">
        <f>IFERROR(INDEX('Kalem Kataloğu'!$C$1:$C$1000,MATCH(1,INDEX(('Kalem Kataloğu'!$A$1:$A$1000=A160)*('Kalem Kataloğu'!$B$1:$B$1000=E160),0),0)),"?")</f>
        <v/>
      </c>
      <c r="G160" s="6">
        <f>IFERROR(INDEX('Kalem Kataloğu'!$D$1:$D$1000,MATCH(1,INDEX(('Kalem Kataloğu'!$A$1:$A$1000=A160)*('Kalem Kataloğu'!$B$1:$B$1000=E160),0),0)),"?")</f>
        <v/>
      </c>
      <c r="H160" s="7" t="n">
        <v>1</v>
      </c>
      <c r="I160" s="7" t="inlineStr">
        <is>
          <t>Hayır</t>
        </is>
      </c>
      <c r="J160" s="5" t="inlineStr">
        <is>
          <t>Drive foto (Tem. 2024)</t>
        </is>
      </c>
      <c r="K160" s="5" t="inlineStr">
        <is>
          <t>X1'de yatak odasında 1 + oturma alanı/koridor duvarında 1 görünüyor; teyit et. Excel X3: 1. [güven: orta]</t>
        </is>
      </c>
    </row>
    <row r="161" ht="26.4" customHeight="1">
      <c r="A161" s="5" t="inlineStr">
        <is>
          <t>Tare Houses Hotel</t>
        </is>
      </c>
      <c r="B161" s="5" t="inlineStr">
        <is>
          <t>X4</t>
        </is>
      </c>
      <c r="C161" s="7" t="n"/>
      <c r="D161" s="6">
        <f>IFERROR(INDEX('Kontrol Adımları'!$D:$D,MATCH(1,INDEX(('Kontrol Adımları'!$A$1:$A$400=B161)*('Kontrol Adımları'!$B$1:$B$400=C161),0),0)),"")</f>
        <v/>
      </c>
      <c r="E161" s="5" t="inlineStr">
        <is>
          <t>wall_art</t>
        </is>
      </c>
      <c r="F161" s="6">
        <f>IFERROR(INDEX('Kalem Kataloğu'!$C$1:$C$1000,MATCH(1,INDEX(('Kalem Kataloğu'!$A$1:$A$1000=A161)*('Kalem Kataloğu'!$B$1:$B$1000=E161),0),0)),"?")</f>
        <v/>
      </c>
      <c r="G161" s="6">
        <f>IFERROR(INDEX('Kalem Kataloğu'!$D$1:$D$1000,MATCH(1,INDEX(('Kalem Kataloğu'!$A$1:$A$1000=A161)*('Kalem Kataloğu'!$B$1:$B$1000=E161),0),0)),"?")</f>
        <v/>
      </c>
      <c r="H161" s="7" t="n">
        <v>1</v>
      </c>
      <c r="I161" s="7" t="inlineStr">
        <is>
          <t>Hayır</t>
        </is>
      </c>
      <c r="J161" s="5" t="inlineStr">
        <is>
          <t>Drive foto (Tem. 2024)</t>
        </is>
      </c>
      <c r="K161" s="5" t="inlineStr">
        <is>
          <t>X1: oturma alanı + yatak odası 2 adet. [güven: yüksek]</t>
        </is>
      </c>
    </row>
    <row r="162" ht="26.4" customHeight="1">
      <c r="A162" s="5" t="inlineStr">
        <is>
          <t>Tare Houses Hotel</t>
        </is>
      </c>
      <c r="B162" s="5" t="inlineStr">
        <is>
          <t>X4</t>
        </is>
      </c>
      <c r="C162" s="7" t="n"/>
      <c r="D162" s="6">
        <f>IFERROR(INDEX('Kontrol Adımları'!$D:$D,MATCH(1,INDEX(('Kontrol Adımları'!$A$1:$A$400=B162)*('Kontrol Adımları'!$B$1:$B$400=C162),0),0)),"")</f>
        <v/>
      </c>
      <c r="E162" s="5" t="inlineStr">
        <is>
          <t>shower_set</t>
        </is>
      </c>
      <c r="F162" s="6">
        <f>IFERROR(INDEX('Kalem Kataloğu'!$C$1:$C$1000,MATCH(1,INDEX(('Kalem Kataloğu'!$A$1:$A$1000=A162)*('Kalem Kataloğu'!$B$1:$B$1000=E162),0),0)),"?")</f>
        <v/>
      </c>
      <c r="G162" s="6">
        <f>IFERROR(INDEX('Kalem Kataloğu'!$D$1:$D$1000,MATCH(1,INDEX(('Kalem Kataloğu'!$A$1:$A$1000=A162)*('Kalem Kataloğu'!$B$1:$B$1000=E162),0),0)),"?")</f>
        <v/>
      </c>
      <c r="H162" s="7" t="n">
        <v>1</v>
      </c>
      <c r="I162" s="7" t="inlineStr">
        <is>
          <t>Hayır</t>
        </is>
      </c>
      <c r="J162" s="5" t="inlineStr">
        <is>
          <t>Drive foto (Tem. 2024)</t>
        </is>
      </c>
      <c r="K162" s="5" t="inlineStr">
        <is>
          <t xml:space="preserve"> [güven: yüksek]</t>
        </is>
      </c>
    </row>
    <row r="163" ht="26.4" customHeight="1">
      <c r="A163" s="5" t="inlineStr">
        <is>
          <t>Tare Houses Hotel</t>
        </is>
      </c>
      <c r="B163" s="5" t="inlineStr">
        <is>
          <t>X4</t>
        </is>
      </c>
      <c r="C163" s="7" t="n"/>
      <c r="D163" s="6">
        <f>IFERROR(INDEX('Kontrol Adımları'!$D:$D,MATCH(1,INDEX(('Kontrol Adımları'!$A$1:$A$400=B163)*('Kontrol Adımları'!$B$1:$B$400=C163),0),0)),"")</f>
        <v/>
      </c>
      <c r="E163" s="5" t="inlineStr">
        <is>
          <t>vessel_sink</t>
        </is>
      </c>
      <c r="F163" s="6">
        <f>IFERROR(INDEX('Kalem Kataloğu'!$C$1:$C$1000,MATCH(1,INDEX(('Kalem Kataloğu'!$A$1:$A$1000=A163)*('Kalem Kataloğu'!$B$1:$B$1000=E163),0),0)),"?")</f>
        <v/>
      </c>
      <c r="G163" s="6">
        <f>IFERROR(INDEX('Kalem Kataloğu'!$D$1:$D$1000,MATCH(1,INDEX(('Kalem Kataloğu'!$A$1:$A$1000=A163)*('Kalem Kataloğu'!$B$1:$B$1000=E163),0),0)),"?")</f>
        <v/>
      </c>
      <c r="H163" s="7" t="n">
        <v>1</v>
      </c>
      <c r="I163" s="7" t="inlineStr">
        <is>
          <t>Hayır</t>
        </is>
      </c>
      <c r="J163" s="5" t="inlineStr">
        <is>
          <t>Drive foto (Tem. 2024)</t>
        </is>
      </c>
      <c r="K163" s="5" t="inlineStr">
        <is>
          <t xml:space="preserve"> [güven: yüksek]</t>
        </is>
      </c>
    </row>
    <row r="164">
      <c r="A164" s="5" t="inlineStr">
        <is>
          <t>Tare Houses Hotel</t>
        </is>
      </c>
      <c r="B164" s="5" t="inlineStr">
        <is>
          <t>X4</t>
        </is>
      </c>
      <c r="C164" s="7" t="n"/>
      <c r="D164" s="6">
        <f>IFERROR(INDEX('Kontrol Adımları'!$D:$D,MATCH(1,INDEX(('Kontrol Adımları'!$A$1:$A$400=B164)*('Kontrol Adımları'!$B$1:$B$400=C164),0),0)),"")</f>
        <v/>
      </c>
      <c r="E164" s="5" t="inlineStr">
        <is>
          <t>toilet_paper_holder</t>
        </is>
      </c>
      <c r="F164" s="6">
        <f>IFERROR(INDEX('Kalem Kataloğu'!$C$1:$C$1000,MATCH(1,INDEX(('Kalem Kataloğu'!$A$1:$A$1000=A164)*('Kalem Kataloğu'!$B$1:$B$1000=E164),0),0)),"?")</f>
        <v/>
      </c>
      <c r="G164" s="6">
        <f>IFERROR(INDEX('Kalem Kataloğu'!$D$1:$D$1000,MATCH(1,INDEX(('Kalem Kataloğu'!$A$1:$A$1000=A164)*('Kalem Kataloğu'!$B$1:$B$1000=E164),0),0)),"?")</f>
        <v/>
      </c>
      <c r="H164" s="7" t="n">
        <v>1</v>
      </c>
      <c r="I164" s="7" t="inlineStr">
        <is>
          <t>Hayır</t>
        </is>
      </c>
      <c r="J164" s="5" t="inlineStr">
        <is>
          <t>Drive foto (Tem. 2024)</t>
        </is>
      </c>
      <c r="K164" s="5" t="inlineStr">
        <is>
          <t xml:space="preserve"> [güven: orta]</t>
        </is>
      </c>
    </row>
    <row r="165" ht="26.4" customHeight="1">
      <c r="A165" s="5" t="inlineStr">
        <is>
          <t>Tare Houses Hotel</t>
        </is>
      </c>
      <c r="B165" s="5" t="inlineStr">
        <is>
          <t>X4</t>
        </is>
      </c>
      <c r="C165" s="7" t="n"/>
      <c r="D165" s="6">
        <f>IFERROR(INDEX('Kontrol Adımları'!$D:$D,MATCH(1,INDEX(('Kontrol Adımları'!$A$1:$A$400=B165)*('Kontrol Adımları'!$B$1:$B$400=C165),0),0)),"")</f>
        <v/>
      </c>
      <c r="E165" s="5" t="inlineStr">
        <is>
          <t>toilet_brush</t>
        </is>
      </c>
      <c r="F165" s="6">
        <f>IFERROR(INDEX('Kalem Kataloğu'!$C$1:$C$1000,MATCH(1,INDEX(('Kalem Kataloğu'!$A$1:$A$1000=A165)*('Kalem Kataloğu'!$B$1:$B$1000=E165),0),0)),"?")</f>
        <v/>
      </c>
      <c r="G165" s="6">
        <f>IFERROR(INDEX('Kalem Kataloğu'!$D$1:$D$1000,MATCH(1,INDEX(('Kalem Kataloğu'!$A$1:$A$1000=A165)*('Kalem Kataloğu'!$B$1:$B$1000=E165),0),0)),"?")</f>
        <v/>
      </c>
      <c r="H165" s="7" t="n">
        <v>1</v>
      </c>
      <c r="I165" s="7" t="inlineStr">
        <is>
          <t>Hayır</t>
        </is>
      </c>
      <c r="J165" s="5" t="inlineStr">
        <is>
          <t>Drive foto (Tem. 2024)</t>
        </is>
      </c>
      <c r="K165" s="5" t="inlineStr">
        <is>
          <t>Fotoğrafta küçük görünüyor; kırpılmadı. [güven: orta]</t>
        </is>
      </c>
    </row>
    <row r="166" ht="26.4" customHeight="1">
      <c r="A166" s="5" t="inlineStr">
        <is>
          <t>Tare Houses Hotel</t>
        </is>
      </c>
      <c r="B166" s="5" t="inlineStr">
        <is>
          <t>X4</t>
        </is>
      </c>
      <c r="C166" s="7" t="n"/>
      <c r="D166" s="6">
        <f>IFERROR(INDEX('Kontrol Adımları'!$D:$D,MATCH(1,INDEX(('Kontrol Adımları'!$A$1:$A$400=B166)*('Kontrol Adımları'!$B$1:$B$400=C166),0),0)),"")</f>
        <v/>
      </c>
      <c r="E166" s="5" t="inlineStr">
        <is>
          <t>pillow</t>
        </is>
      </c>
      <c r="F166" s="6">
        <f>IFERROR(INDEX('Kalem Kataloğu'!$C$1:$C$1000,MATCH(1,INDEX(('Kalem Kataloğu'!$A$1:$A$1000=A166)*('Kalem Kataloğu'!$B$1:$B$1000=E166),0),0)),"?")</f>
        <v/>
      </c>
      <c r="G166" s="6">
        <f>IFERROR(INDEX('Kalem Kataloğu'!$D$1:$D$1000,MATCH(1,INDEX(('Kalem Kataloğu'!$A$1:$A$1000=A166)*('Kalem Kataloğu'!$B$1:$B$1000=E166),0),0)),"?")</f>
        <v/>
      </c>
      <c r="H166" s="7" t="n">
        <v>4</v>
      </c>
      <c r="I166" s="7" t="inlineStr">
        <is>
          <t>Hayır</t>
        </is>
      </c>
      <c r="J166" s="5" t="inlineStr">
        <is>
          <t>Drive foto (Tem. 2024)</t>
        </is>
      </c>
      <c r="K166" s="5" t="inlineStr">
        <is>
          <t>Yatakta 2 arka + 2 ön. Excel X3: 4 (doğrulanmadı). [güven: orta]</t>
        </is>
      </c>
    </row>
    <row r="167" ht="26.4" customHeight="1">
      <c r="A167" s="5" t="inlineStr">
        <is>
          <t>Tare Houses Hotel</t>
        </is>
      </c>
      <c r="B167" s="5" t="inlineStr">
        <is>
          <t>X4</t>
        </is>
      </c>
      <c r="C167" s="7" t="n"/>
      <c r="D167" s="6">
        <f>IFERROR(INDEX('Kontrol Adımları'!$D:$D,MATCH(1,INDEX(('Kontrol Adımları'!$A$1:$A$400=B167)*('Kontrol Adımları'!$B$1:$B$400=C167),0),0)),"")</f>
        <v/>
      </c>
      <c r="E167" s="5" t="inlineStr">
        <is>
          <t>led_mirror</t>
        </is>
      </c>
      <c r="F167" s="6">
        <f>IFERROR(INDEX('Kalem Kataloğu'!$C$1:$C$1000,MATCH(1,INDEX(('Kalem Kataloğu'!$A$1:$A$1000=A167)*('Kalem Kataloğu'!$B$1:$B$1000=E167),0),0)),"?")</f>
        <v/>
      </c>
      <c r="G167" s="6">
        <f>IFERROR(INDEX('Kalem Kataloğu'!$D$1:$D$1000,MATCH(1,INDEX(('Kalem Kataloğu'!$A$1:$A$1000=A167)*('Kalem Kataloğu'!$B$1:$B$1000=E167),0),0)),"?")</f>
        <v/>
      </c>
      <c r="H167" s="7" t="n">
        <v>1</v>
      </c>
      <c r="I167" s="7" t="inlineStr">
        <is>
          <t>Hayır</t>
        </is>
      </c>
      <c r="J167" s="5" t="inlineStr">
        <is>
          <t>Drive foto (Tem. 2024)</t>
        </is>
      </c>
      <c r="K167" s="5" t="inlineStr">
        <is>
          <t xml:space="preserve"> [güven: yüksek]</t>
        </is>
      </c>
    </row>
    <row r="168" ht="26.4" customHeight="1">
      <c r="A168" s="5" t="inlineStr">
        <is>
          <t>Tare Houses Hotel</t>
        </is>
      </c>
      <c r="B168" s="5" t="inlineStr">
        <is>
          <t>X4</t>
        </is>
      </c>
      <c r="C168" s="7" t="n"/>
      <c r="D168" s="6">
        <f>IFERROR(INDEX('Kontrol Adımları'!$D:$D,MATCH(1,INDEX(('Kontrol Adımları'!$A$1:$A$400=B168)*('Kontrol Adımları'!$B$1:$B$400=C168),0),0)),"")</f>
        <v/>
      </c>
      <c r="E168" s="5" t="inlineStr">
        <is>
          <t>round_wall_lamp</t>
        </is>
      </c>
      <c r="F168" s="6">
        <f>IFERROR(INDEX('Kalem Kataloğu'!$C$1:$C$1000,MATCH(1,INDEX(('Kalem Kataloğu'!$A$1:$A$1000=A168)*('Kalem Kataloğu'!$B$1:$B$1000=E168),0),0)),"?")</f>
        <v/>
      </c>
      <c r="G168" s="6">
        <f>IFERROR(INDEX('Kalem Kataloğu'!$D$1:$D$1000,MATCH(1,INDEX(('Kalem Kataloğu'!$A$1:$A$1000=A168)*('Kalem Kataloğu'!$B$1:$B$1000=E168),0),0)),"?")</f>
        <v/>
      </c>
      <c r="H168" s="7" t="n"/>
      <c r="I168" s="7" t="inlineStr">
        <is>
          <t>Hayır</t>
        </is>
      </c>
      <c r="J168" s="5" t="inlineStr">
        <is>
          <t>Drive foto (Tem. 2024)</t>
        </is>
      </c>
      <c r="K168" s="5" t="inlineStr">
        <is>
          <t>Odalarda 1-3 adet; tip bazında sayılmalı. [güven: orta]</t>
        </is>
      </c>
    </row>
    <row r="169">
      <c r="A169" s="5" t="inlineStr">
        <is>
          <t>Tare Houses Hotel</t>
        </is>
      </c>
      <c r="B169" s="5" t="inlineStr">
        <is>
          <t>X4</t>
        </is>
      </c>
      <c r="C169" s="7" t="n"/>
      <c r="D169" s="6">
        <f>IFERROR(INDEX('Kontrol Adımları'!$D:$D,MATCH(1,INDEX(('Kontrol Adımları'!$A$1:$A$400=B169)*('Kontrol Adımları'!$B$1:$B$400=C169),0),0)),"")</f>
        <v/>
      </c>
      <c r="E169" s="5" t="inlineStr">
        <is>
          <t>round_rug_woven</t>
        </is>
      </c>
      <c r="F169" s="6">
        <f>IFERROR(INDEX('Kalem Kataloğu'!$C$1:$C$1000,MATCH(1,INDEX(('Kalem Kataloğu'!$A$1:$A$1000=A169)*('Kalem Kataloğu'!$B$1:$B$1000=E169),0),0)),"?")</f>
        <v/>
      </c>
      <c r="G169" s="6">
        <f>IFERROR(INDEX('Kalem Kataloğu'!$D$1:$D$1000,MATCH(1,INDEX(('Kalem Kataloğu'!$A$1:$A$1000=A169)*('Kalem Kataloğu'!$B$1:$B$1000=E169),0),0)),"?")</f>
        <v/>
      </c>
      <c r="H169" s="7" t="n">
        <v>1</v>
      </c>
      <c r="I169" s="7" t="inlineStr">
        <is>
          <t>Hayır</t>
        </is>
      </c>
      <c r="J169" s="5" t="inlineStr">
        <is>
          <t>Drive foto (Tem. 2024)</t>
        </is>
      </c>
      <c r="K169" s="5" t="inlineStr">
        <is>
          <t xml:space="preserve"> [güven: yüksek]</t>
        </is>
      </c>
    </row>
    <row r="170" ht="26.4" customHeight="1">
      <c r="A170" s="5" t="inlineStr">
        <is>
          <t>Tare Houses Hotel</t>
        </is>
      </c>
      <c r="B170" s="5" t="inlineStr">
        <is>
          <t>X4</t>
        </is>
      </c>
      <c r="C170" s="7" t="n"/>
      <c r="D170" s="6">
        <f>IFERROR(INDEX('Kontrol Adımları'!$D:$D,MATCH(1,INDEX(('Kontrol Adımları'!$A$1:$A$400=B170)*('Kontrol Adımları'!$B$1:$B$400=C170),0),0)),"")</f>
        <v/>
      </c>
      <c r="E170" s="5" t="inlineStr">
        <is>
          <t>round_table</t>
        </is>
      </c>
      <c r="F170" s="6">
        <f>IFERROR(INDEX('Kalem Kataloğu'!$C$1:$C$1000,MATCH(1,INDEX(('Kalem Kataloğu'!$A$1:$A$1000=A170)*('Kalem Kataloğu'!$B$1:$B$1000=E170),0),0)),"?")</f>
        <v/>
      </c>
      <c r="G170" s="6">
        <f>IFERROR(INDEX('Kalem Kataloğu'!$D$1:$D$1000,MATCH(1,INDEX(('Kalem Kataloğu'!$A$1:$A$1000=A170)*('Kalem Kataloğu'!$B$1:$B$1000=E170),0),0)),"?")</f>
        <v/>
      </c>
      <c r="H170" s="7" t="n">
        <v>1</v>
      </c>
      <c r="I170" s="7" t="inlineStr">
        <is>
          <t>Hayır</t>
        </is>
      </c>
      <c r="J170" s="5" t="inlineStr">
        <is>
          <t>Drive foto (Tem. 2024)</t>
        </is>
      </c>
      <c r="K170" s="5" t="inlineStr">
        <is>
          <t>X1'de yuvarlak masa yerine çalışma masası var. [güven: yüksek]</t>
        </is>
      </c>
    </row>
    <row r="171" ht="26.4" customHeight="1">
      <c r="A171" s="5" t="inlineStr">
        <is>
          <t>Tare Houses Hotel</t>
        </is>
      </c>
      <c r="B171" s="5" t="inlineStr">
        <is>
          <t>X4</t>
        </is>
      </c>
      <c r="C171" s="7" t="n"/>
      <c r="D171" s="6">
        <f>IFERROR(INDEX('Kontrol Adımları'!$D:$D,MATCH(1,INDEX(('Kontrol Adımları'!$A$1:$A$400=B171)*('Kontrol Adımları'!$B$1:$B$400=C171),0),0)),"")</f>
        <v/>
      </c>
      <c r="E171" s="5" t="inlineStr">
        <is>
          <t>round_bed</t>
        </is>
      </c>
      <c r="F171" s="6">
        <f>IFERROR(INDEX('Kalem Kataloğu'!$C$1:$C$1000,MATCH(1,INDEX(('Kalem Kataloğu'!$A$1:$A$1000=A171)*('Kalem Kataloğu'!$B$1:$B$1000=E171),0),0)),"?")</f>
        <v/>
      </c>
      <c r="G171" s="6">
        <f>IFERROR(INDEX('Kalem Kataloğu'!$D$1:$D$1000,MATCH(1,INDEX(('Kalem Kataloğu'!$A$1:$A$1000=A171)*('Kalem Kataloğu'!$B$1:$B$1000=E171),0),0)),"?")</f>
        <v/>
      </c>
      <c r="H171" s="7" t="n">
        <v>1</v>
      </c>
      <c r="I171" s="7" t="inlineStr">
        <is>
          <t>Hayır</t>
        </is>
      </c>
      <c r="J171" s="5" t="inlineStr">
        <is>
          <t>Drive foto (Tem. 2024)</t>
        </is>
      </c>
      <c r="K171" s="5" t="inlineStr">
        <is>
          <t>Sadece X4 Exclusive Suite. [güven: yüksek]</t>
        </is>
      </c>
    </row>
    <row r="172" ht="26.4" customHeight="1">
      <c r="A172" s="5" t="inlineStr">
        <is>
          <t>Tare Houses Hotel</t>
        </is>
      </c>
      <c r="B172" s="5" t="inlineStr">
        <is>
          <t>X4</t>
        </is>
      </c>
      <c r="C172" s="7" t="n"/>
      <c r="D172" s="6">
        <f>IFERROR(INDEX('Kontrol Adımları'!$D:$D,MATCH(1,INDEX(('Kontrol Adımları'!$A$1:$A$400=B172)*('Kontrol Adımları'!$B$1:$B$400=C172),0),0)),"")</f>
        <v/>
      </c>
      <c r="E172" s="5" t="inlineStr">
        <is>
          <t>desk_with_chair</t>
        </is>
      </c>
      <c r="F172" s="6">
        <f>IFERROR(INDEX('Kalem Kataloğu'!$C$1:$C$1000,MATCH(1,INDEX(('Kalem Kataloğu'!$A$1:$A$1000=A172)*('Kalem Kataloğu'!$B$1:$B$1000=E172),0),0)),"?")</f>
        <v/>
      </c>
      <c r="G172" s="6">
        <f>IFERROR(INDEX('Kalem Kataloğu'!$D$1:$D$1000,MATCH(1,INDEX(('Kalem Kataloğu'!$A$1:$A$1000=A172)*('Kalem Kataloğu'!$B$1:$B$1000=E172),0),0)),"?")</f>
        <v/>
      </c>
      <c r="H172" s="7" t="n"/>
      <c r="I172" s="7" t="inlineStr">
        <is>
          <t>Hayır</t>
        </is>
      </c>
      <c r="J172" s="5" t="inlineStr">
        <is>
          <t>Drive foto (Tem. 2024)</t>
        </is>
      </c>
      <c r="K172" s="5" t="inlineStr">
        <is>
          <t>X1: oturma alanında çalışma masası + berjer. X2: kapı yanında konsol masa. [güven: orta]</t>
        </is>
      </c>
    </row>
    <row r="173" ht="26.4" customHeight="1">
      <c r="A173" s="5" t="inlineStr">
        <is>
          <t>Tare Houses Hotel</t>
        </is>
      </c>
      <c r="B173" s="5" t="inlineStr">
        <is>
          <t>X4</t>
        </is>
      </c>
      <c r="C173" s="7" t="n"/>
      <c r="D173" s="6">
        <f>IFERROR(INDEX('Kontrol Adımları'!$D:$D,MATCH(1,INDEX(('Kontrol Adımları'!$A$1:$A$400=B173)*('Kontrol Adımları'!$B$1:$B$400=C173),0),0)),"")</f>
        <v/>
      </c>
      <c r="E173" s="5" t="inlineStr">
        <is>
          <t>bed</t>
        </is>
      </c>
      <c r="F173" s="6">
        <f>IFERROR(INDEX('Kalem Kataloğu'!$C$1:$C$1000,MATCH(1,INDEX(('Kalem Kataloğu'!$A$1:$A$1000=A173)*('Kalem Kataloğu'!$B$1:$B$1000=E173),0),0)),"?")</f>
        <v/>
      </c>
      <c r="G173" s="6">
        <f>IFERROR(INDEX('Kalem Kataloğu'!$D$1:$D$1000,MATCH(1,INDEX(('Kalem Kataloğu'!$A$1:$A$1000=A173)*('Kalem Kataloğu'!$B$1:$B$1000=E173),0),0)),"?")</f>
        <v/>
      </c>
      <c r="H173" s="7" t="n"/>
      <c r="I173" s="7" t="inlineStr">
        <is>
          <t>Hayır</t>
        </is>
      </c>
      <c r="J173" s="5" t="inlineStr">
        <is>
          <t>Drive foto (Tem. 2024)</t>
        </is>
      </c>
      <c r="K173" s="5" t="inlineStr">
        <is>
          <t>X1 ve X2'de aynı model. X4'te yuvarlak yatak (ayrı kalem). [güven: yüksek]</t>
        </is>
      </c>
    </row>
    <row r="174">
      <c r="A174" s="5" t="inlineStr">
        <is>
          <t>Tare Suites Urla</t>
        </is>
      </c>
      <c r="B174" s="5" t="inlineStr">
        <is>
          <t>DFS</t>
        </is>
      </c>
      <c r="C174" s="7" t="n"/>
      <c r="D174" s="6">
        <f>IFERROR(INDEX('Kontrol Adımları'!$D:$D,MATCH(1,INDEX(('Kontrol Adımları'!$A$1:$A$400=B174)*('Kontrol Adımları'!$B$1:$B$400=C174),0),0)),"")</f>
        <v/>
      </c>
      <c r="E174" s="5" t="inlineStr">
        <is>
          <t>asma_klozet</t>
        </is>
      </c>
      <c r="F174" s="6">
        <f>IFERROR(INDEX('Kalem Kataloğu'!$C$1:$C$1000,MATCH(1,INDEX(('Kalem Kataloğu'!$A$1:$A$1000=A174)*('Kalem Kataloğu'!$B$1:$B$1000=E174),0),0)),"?")</f>
        <v/>
      </c>
      <c r="G174" s="6">
        <f>IFERROR(INDEX('Kalem Kataloğu'!$D$1:$D$1000,MATCH(1,INDEX(('Kalem Kataloğu'!$A$1:$A$1000=A174)*('Kalem Kataloğu'!$B$1:$B$1000=E174),0),0)),"?")</f>
        <v/>
      </c>
      <c r="H174" s="7" t="n">
        <v>1</v>
      </c>
      <c r="I174" s="7" t="inlineStr">
        <is>
          <t>Hayır</t>
        </is>
      </c>
      <c r="J174" s="5" t="inlineStr">
        <is>
          <t>Drive foto</t>
        </is>
      </c>
      <c r="K174" s="5" t="inlineStr">
        <is>
          <t xml:space="preserve"> [güven: high]</t>
        </is>
      </c>
    </row>
    <row r="175">
      <c r="A175" s="5" t="inlineStr">
        <is>
          <t>Tare Suites Urla</t>
        </is>
      </c>
      <c r="B175" s="5" t="inlineStr">
        <is>
          <t>DFS</t>
        </is>
      </c>
      <c r="C175" s="7" t="n"/>
      <c r="D175" s="6">
        <f>IFERROR(INDEX('Kontrol Adımları'!$D:$D,MATCH(1,INDEX(('Kontrol Adımları'!$A$1:$A$400=B175)*('Kontrol Adımları'!$B$1:$B$400=C175),0),0)),"")</f>
        <v/>
      </c>
      <c r="E175" s="5" t="inlineStr">
        <is>
          <t>ikram_tepsisi</t>
        </is>
      </c>
      <c r="F175" s="6">
        <f>IFERROR(INDEX('Kalem Kataloğu'!$C$1:$C$1000,MATCH(1,INDEX(('Kalem Kataloğu'!$A$1:$A$1000=A175)*('Kalem Kataloğu'!$B$1:$B$1000=E175),0),0)),"?")</f>
        <v/>
      </c>
      <c r="G175" s="6">
        <f>IFERROR(INDEX('Kalem Kataloğu'!$D$1:$D$1000,MATCH(1,INDEX(('Kalem Kataloğu'!$A$1:$A$1000=A175)*('Kalem Kataloğu'!$B$1:$B$1000=E175),0),0)),"?")</f>
        <v/>
      </c>
      <c r="H175" s="7" t="n">
        <v>1</v>
      </c>
      <c r="I175" s="7" t="inlineStr">
        <is>
          <t>Hayır</t>
        </is>
      </c>
      <c r="J175" s="5" t="inlineStr">
        <is>
          <t>Drive foto</t>
        </is>
      </c>
      <c r="K175" s="5" t="inlineStr">
        <is>
          <t>İçeriği ikram_tepsisi listesinde [güven: high]</t>
        </is>
      </c>
    </row>
    <row r="176" ht="26.4" customHeight="1">
      <c r="A176" s="5" t="inlineStr">
        <is>
          <t>Tare Suites Urla</t>
        </is>
      </c>
      <c r="B176" s="5" t="inlineStr">
        <is>
          <t>DFS</t>
        </is>
      </c>
      <c r="C176" s="7" t="n"/>
      <c r="D176" s="6">
        <f>IFERROR(INDEX('Kontrol Adımları'!$D:$D,MATCH(1,INDEX(('Kontrol Adımları'!$A$1:$A$400=B176)*('Kontrol Adımları'!$B$1:$B$400=C176),0),0)),"")</f>
        <v/>
      </c>
      <c r="E176" s="5" t="inlineStr">
        <is>
          <t>banyo_aynasi</t>
        </is>
      </c>
      <c r="F176" s="6">
        <f>IFERROR(INDEX('Kalem Kataloğu'!$C$1:$C$1000,MATCH(1,INDEX(('Kalem Kataloğu'!$A$1:$A$1000=A176)*('Kalem Kataloğu'!$B$1:$B$1000=E176),0),0)),"?")</f>
        <v/>
      </c>
      <c r="G176" s="6">
        <f>IFERROR(INDEX('Kalem Kataloğu'!$D$1:$D$1000,MATCH(1,INDEX(('Kalem Kataloğu'!$A$1:$A$1000=A176)*('Kalem Kataloğu'!$B$1:$B$1000=E176),0),0)),"?")</f>
        <v/>
      </c>
      <c r="H176" s="7" t="n">
        <v>1</v>
      </c>
      <c r="I176" s="7" t="inlineStr">
        <is>
          <t>Hayır</t>
        </is>
      </c>
      <c r="J176" s="5" t="inlineStr">
        <is>
          <t>Drive foto</t>
        </is>
      </c>
      <c r="K176" s="5" t="inlineStr">
        <is>
          <t>DSSW yuvarlak hasır çerçeveli; diğerleri ahşap çerçeveli dikdörtgen [güven: high]</t>
        </is>
      </c>
    </row>
    <row r="177" ht="26.4" customHeight="1">
      <c r="A177" s="5" t="inlineStr">
        <is>
          <t>Tare Suites Urla</t>
        </is>
      </c>
      <c r="B177" s="5" t="inlineStr">
        <is>
          <t>DFS</t>
        </is>
      </c>
      <c r="C177" s="7" t="n"/>
      <c r="D177" s="6">
        <f>IFERROR(INDEX('Kontrol Adımları'!$D:$D,MATCH(1,INDEX(('Kontrol Adımları'!$A$1:$A$400=B177)*('Kontrol Adımları'!$B$1:$B$400=C177),0),0)),"")</f>
        <v/>
      </c>
      <c r="E177" s="5" t="inlineStr">
        <is>
          <t>duman_dedektoru</t>
        </is>
      </c>
      <c r="F177" s="6">
        <f>IFERROR(INDEX('Kalem Kataloğu'!$C$1:$C$1000,MATCH(1,INDEX(('Kalem Kataloğu'!$A$1:$A$1000=A177)*('Kalem Kataloğu'!$B$1:$B$1000=E177),0),0)),"?")</f>
        <v/>
      </c>
      <c r="G177" s="6">
        <f>IFERROR(INDEX('Kalem Kataloğu'!$D$1:$D$1000,MATCH(1,INDEX(('Kalem Kataloğu'!$A$1:$A$1000=A177)*('Kalem Kataloğu'!$B$1:$B$1000=E177),0),0)),"?")</f>
        <v/>
      </c>
      <c r="H177" s="7" t="n">
        <v>1</v>
      </c>
      <c r="I177" s="7" t="inlineStr">
        <is>
          <t>Hayır</t>
        </is>
      </c>
      <c r="J177" s="5" t="inlineStr">
        <is>
          <t>Drive foto</t>
        </is>
      </c>
      <c r="K177" s="5" t="inlineStr">
        <is>
          <t>Tavanda; özellik dosyasında tüm tiplerde var [güven: medium]</t>
        </is>
      </c>
    </row>
    <row r="178">
      <c r="A178" s="5" t="inlineStr">
        <is>
          <t>Tare Suites Urla</t>
        </is>
      </c>
      <c r="B178" s="5" t="inlineStr">
        <is>
          <t>DFS</t>
        </is>
      </c>
      <c r="C178" s="7" t="n"/>
      <c r="D178" s="6">
        <f>IFERROR(INDEX('Kontrol Adımları'!$D:$D,MATCH(1,INDEX(('Kontrol Adımları'!$A$1:$A$400=B178)*('Kontrol Adımları'!$B$1:$B$400=C178),0),0)),"")</f>
        <v/>
      </c>
      <c r="E178" s="5" t="inlineStr">
        <is>
          <t>aplik</t>
        </is>
      </c>
      <c r="F178" s="6">
        <f>IFERROR(INDEX('Kalem Kataloğu'!$C$1:$C$1000,MATCH(1,INDEX(('Kalem Kataloğu'!$A$1:$A$1000=A178)*('Kalem Kataloğu'!$B$1:$B$1000=E178),0),0)),"?")</f>
        <v/>
      </c>
      <c r="G178" s="6">
        <f>IFERROR(INDEX('Kalem Kataloğu'!$D$1:$D$1000,MATCH(1,INDEX(('Kalem Kataloğu'!$A$1:$A$1000=A178)*('Kalem Kataloğu'!$B$1:$B$1000=E178),0),0)),"?")</f>
        <v/>
      </c>
      <c r="H178" s="7" t="n">
        <v>2</v>
      </c>
      <c r="I178" s="7" t="inlineStr">
        <is>
          <t>Hayır</t>
        </is>
      </c>
      <c r="J178" s="5" t="inlineStr">
        <is>
          <t>Drive foto</t>
        </is>
      </c>
      <c r="K178" s="5" t="inlineStr">
        <is>
          <t>Yatak başı iki yanda [güven: medium]</t>
        </is>
      </c>
    </row>
    <row r="179">
      <c r="A179" s="5" t="inlineStr">
        <is>
          <t>Tare Suites Urla</t>
        </is>
      </c>
      <c r="B179" s="5" t="inlineStr">
        <is>
          <t>DFS</t>
        </is>
      </c>
      <c r="C179" s="7" t="n"/>
      <c r="D179" s="6">
        <f>IFERROR(INDEX('Kontrol Adımları'!$D:$D,MATCH(1,INDEX(('Kontrol Adımları'!$A$1:$A$400=B179)*('Kontrol Adımları'!$B$1:$B$400=C179),0),0)),"")</f>
        <v/>
      </c>
      <c r="E179" s="5" t="inlineStr">
        <is>
          <t>havlu_rafi</t>
        </is>
      </c>
      <c r="F179" s="6">
        <f>IFERROR(INDEX('Kalem Kataloğu'!$C$1:$C$1000,MATCH(1,INDEX(('Kalem Kataloğu'!$A$1:$A$1000=A179)*('Kalem Kataloğu'!$B$1:$B$1000=E179),0),0)),"?")</f>
        <v/>
      </c>
      <c r="G179" s="6">
        <f>IFERROR(INDEX('Kalem Kataloğu'!$D$1:$D$1000,MATCH(1,INDEX(('Kalem Kataloğu'!$A$1:$A$1000=A179)*('Kalem Kataloğu'!$B$1:$B$1000=E179),0),0)),"?")</f>
        <v/>
      </c>
      <c r="H179" s="7" t="n">
        <v>1</v>
      </c>
      <c r="I179" s="7" t="inlineStr">
        <is>
          <t>Hayır</t>
        </is>
      </c>
      <c r="J179" s="5" t="inlineStr">
        <is>
          <t>Drive foto</t>
        </is>
      </c>
      <c r="K179" s="5" t="inlineStr">
        <is>
          <t xml:space="preserve"> [güven: high]</t>
        </is>
      </c>
    </row>
    <row r="180">
      <c r="A180" s="5" t="inlineStr">
        <is>
          <t>Tare Suites Urla</t>
        </is>
      </c>
      <c r="B180" s="5" t="inlineStr">
        <is>
          <t>DFS</t>
        </is>
      </c>
      <c r="C180" s="7" t="n"/>
      <c r="D180" s="6">
        <f>IFERROR(INDEX('Kontrol Adımları'!$D:$D,MATCH(1,INDEX(('Kontrol Adımları'!$A$1:$A$400=B180)*('Kontrol Adımları'!$B$1:$B$400=C180),0),0)),"")</f>
        <v/>
      </c>
      <c r="E180" s="5" t="inlineStr">
        <is>
          <t>tablo</t>
        </is>
      </c>
      <c r="F180" s="6">
        <f>IFERROR(INDEX('Kalem Kataloğu'!$C$1:$C$1000,MATCH(1,INDEX(('Kalem Kataloğu'!$A$1:$A$1000=A180)*('Kalem Kataloğu'!$B$1:$B$1000=E180),0),0)),"?")</f>
        <v/>
      </c>
      <c r="G180" s="6">
        <f>IFERROR(INDEX('Kalem Kataloğu'!$D$1:$D$1000,MATCH(1,INDEX(('Kalem Kataloğu'!$A$1:$A$1000=A180)*('Kalem Kataloğu'!$B$1:$B$1000=E180),0),0)),"?")</f>
        <v/>
      </c>
      <c r="H180" s="7" t="n">
        <v>1</v>
      </c>
      <c r="I180" s="7" t="inlineStr">
        <is>
          <t>Hayır</t>
        </is>
      </c>
      <c r="J180" s="5" t="inlineStr">
        <is>
          <t>Drive foto</t>
        </is>
      </c>
      <c r="K180" s="5" t="inlineStr">
        <is>
          <t xml:space="preserve"> [güven: high]</t>
        </is>
      </c>
    </row>
    <row r="181">
      <c r="A181" s="5" t="inlineStr">
        <is>
          <t>Tare Suites Urla</t>
        </is>
      </c>
      <c r="B181" s="5" t="inlineStr">
        <is>
          <t>DFS</t>
        </is>
      </c>
      <c r="C181" s="7" t="n"/>
      <c r="D181" s="6">
        <f>IFERROR(INDEX('Kontrol Adımları'!$D:$D,MATCH(1,INDEX(('Kontrol Adımları'!$A$1:$A$400=B181)*('Kontrol Adımları'!$B$1:$B$400=C181),0),0)),"")</f>
        <v/>
      </c>
      <c r="E181" s="5" t="inlineStr">
        <is>
          <t>duvar_tv</t>
        </is>
      </c>
      <c r="F181" s="6">
        <f>IFERROR(INDEX('Kalem Kataloğu'!$C$1:$C$1000,MATCH(1,INDEX(('Kalem Kataloğu'!$A$1:$A$1000=A181)*('Kalem Kataloğu'!$B$1:$B$1000=E181),0),0)),"?")</f>
        <v/>
      </c>
      <c r="G181" s="6">
        <f>IFERROR(INDEX('Kalem Kataloğu'!$D$1:$D$1000,MATCH(1,INDEX(('Kalem Kataloğu'!$A$1:$A$1000=A181)*('Kalem Kataloğu'!$B$1:$B$1000=E181),0),0)),"?")</f>
        <v/>
      </c>
      <c r="H181" s="7" t="n">
        <v>1</v>
      </c>
      <c r="I181" s="7" t="inlineStr">
        <is>
          <t>Hayır</t>
        </is>
      </c>
      <c r="J181" s="5" t="inlineStr">
        <is>
          <t>Drive foto</t>
        </is>
      </c>
      <c r="K181" s="5" t="inlineStr">
        <is>
          <t xml:space="preserve"> [güven: high]</t>
        </is>
      </c>
    </row>
    <row r="182" ht="39.6" customHeight="1">
      <c r="A182" s="5" t="inlineStr">
        <is>
          <t>Tare Suites Urla</t>
        </is>
      </c>
      <c r="B182" s="5" t="inlineStr">
        <is>
          <t>DFS</t>
        </is>
      </c>
      <c r="C182" s="7" t="n"/>
      <c r="D182" s="6">
        <f>IFERROR(INDEX('Kontrol Adımları'!$D:$D,MATCH(1,INDEX(('Kontrol Adımları'!$A$1:$A$400=B182)*('Kontrol Adımları'!$B$1:$B$400=C182),0),0)),"")</f>
        <v/>
      </c>
      <c r="E182" s="5" t="inlineStr">
        <is>
          <t>sivi_sabun_dispenser</t>
        </is>
      </c>
      <c r="F182" s="6">
        <f>IFERROR(INDEX('Kalem Kataloğu'!$C$1:$C$1000,MATCH(1,INDEX(('Kalem Kataloğu'!$A$1:$A$1000=A182)*('Kalem Kataloğu'!$B$1:$B$1000=E182),0),0)),"?")</f>
        <v/>
      </c>
      <c r="G182" s="6">
        <f>IFERROR(INDEX('Kalem Kataloğu'!$D$1:$D$1000,MATCH(1,INDEX(('Kalem Kataloğu'!$A$1:$A$1000=A182)*('Kalem Kataloğu'!$B$1:$B$1000=E182),0),0)),"?")</f>
        <v/>
      </c>
      <c r="H182" s="7" t="n"/>
      <c r="I182" s="7" t="inlineStr">
        <is>
          <t>Hayır</t>
        </is>
      </c>
      <c r="J182" s="5" t="inlineStr">
        <is>
          <t>Drive foto</t>
        </is>
      </c>
      <c r="K182" s="5" t="inlineStr">
        <is>
          <t>DS fotoğraflarında 1 adet görünüyor (sabun); şampuan/duş jeli dispenserleri duş içinde olabilir [güven: medium]</t>
        </is>
      </c>
    </row>
    <row r="183">
      <c r="A183" s="5" t="inlineStr">
        <is>
          <t>Tare Suites Urla</t>
        </is>
      </c>
      <c r="B183" s="5" t="inlineStr">
        <is>
          <t>DFS</t>
        </is>
      </c>
      <c r="C183" s="7" t="n"/>
      <c r="D183" s="6">
        <f>IFERROR(INDEX('Kontrol Adımları'!$D:$D,MATCH(1,INDEX(('Kontrol Adımları'!$A$1:$A$400=B183)*('Kontrol Adımları'!$B$1:$B$400=C183),0),0)),"")</f>
        <v/>
      </c>
      <c r="E183" s="5" t="inlineStr">
        <is>
          <t>dus_rafi</t>
        </is>
      </c>
      <c r="F183" s="6">
        <f>IFERROR(INDEX('Kalem Kataloğu'!$C$1:$C$1000,MATCH(1,INDEX(('Kalem Kataloğu'!$A$1:$A$1000=A183)*('Kalem Kataloğu'!$B$1:$B$1000=E183),0),0)),"?")</f>
        <v/>
      </c>
      <c r="G183" s="6">
        <f>IFERROR(INDEX('Kalem Kataloğu'!$D$1:$D$1000,MATCH(1,INDEX(('Kalem Kataloğu'!$A$1:$A$1000=A183)*('Kalem Kataloğu'!$B$1:$B$1000=E183),0),0)),"?")</f>
        <v/>
      </c>
      <c r="H183" s="7" t="n"/>
      <c r="I183" s="7" t="inlineStr">
        <is>
          <t>Hayır</t>
        </is>
      </c>
      <c r="J183" s="5" t="inlineStr">
        <is>
          <t>Drive foto</t>
        </is>
      </c>
      <c r="K183" s="5" t="inlineStr">
        <is>
          <t xml:space="preserve"> [güven: medium]</t>
        </is>
      </c>
    </row>
    <row r="184">
      <c r="A184" s="5" t="inlineStr">
        <is>
          <t>Tare Suites Urla</t>
        </is>
      </c>
      <c r="B184" s="5" t="inlineStr">
        <is>
          <t>DFS</t>
        </is>
      </c>
      <c r="C184" s="7" t="n"/>
      <c r="D184" s="6">
        <f>IFERROR(INDEX('Kontrol Adımları'!$D:$D,MATCH(1,INDEX(('Kontrol Adımları'!$A$1:$A$400=B184)*('Kontrol Adımları'!$B$1:$B$400=C184),0),0)),"")</f>
        <v/>
      </c>
      <c r="E184" s="5" t="inlineStr">
        <is>
          <t>dus_kabini</t>
        </is>
      </c>
      <c r="F184" s="6">
        <f>IFERROR(INDEX('Kalem Kataloğu'!$C$1:$C$1000,MATCH(1,INDEX(('Kalem Kataloğu'!$A$1:$A$1000=A184)*('Kalem Kataloğu'!$B$1:$B$1000=E184),0),0)),"?")</f>
        <v/>
      </c>
      <c r="G184" s="6">
        <f>IFERROR(INDEX('Kalem Kataloğu'!$D$1:$D$1000,MATCH(1,INDEX(('Kalem Kataloğu'!$A$1:$A$1000=A184)*('Kalem Kataloğu'!$B$1:$B$1000=E184),0),0)),"?")</f>
        <v/>
      </c>
      <c r="H184" s="7" t="n">
        <v>1</v>
      </c>
      <c r="I184" s="7" t="inlineStr">
        <is>
          <t>Hayır</t>
        </is>
      </c>
      <c r="J184" s="5" t="inlineStr">
        <is>
          <t>Drive foto</t>
        </is>
      </c>
      <c r="K184" s="5" t="inlineStr">
        <is>
          <t xml:space="preserve"> [güven: high]</t>
        </is>
      </c>
    </row>
    <row r="185" ht="26.4" customHeight="1">
      <c r="A185" s="5" t="inlineStr">
        <is>
          <t>Tare Suites Urla</t>
        </is>
      </c>
      <c r="B185" s="5" t="inlineStr">
        <is>
          <t>DFS</t>
        </is>
      </c>
      <c r="C185" s="7" t="n"/>
      <c r="D185" s="6">
        <f>IFERROR(INDEX('Kontrol Adımları'!$D:$D,MATCH(1,INDEX(('Kontrol Adımları'!$A$1:$A$400=B185)*('Kontrol Adımları'!$B$1:$B$400=C185),0),0)),"")</f>
        <v/>
      </c>
      <c r="E185" s="5" t="inlineStr">
        <is>
          <t>gardirop</t>
        </is>
      </c>
      <c r="F185" s="6">
        <f>IFERROR(INDEX('Kalem Kataloğu'!$C$1:$C$1000,MATCH(1,INDEX(('Kalem Kataloğu'!$A$1:$A$1000=A185)*('Kalem Kataloğu'!$B$1:$B$1000=E185),0),0)),"?")</f>
        <v/>
      </c>
      <c r="G185" s="6">
        <f>IFERROR(INDEX('Kalem Kataloğu'!$D$1:$D$1000,MATCH(1,INDEX(('Kalem Kataloğu'!$A$1:$A$1000=A185)*('Kalem Kataloğu'!$B$1:$B$1000=E185),0),0)),"?")</f>
        <v/>
      </c>
      <c r="H185" s="7" t="n"/>
      <c r="I185" s="7" t="inlineStr">
        <is>
          <t>Hayır</t>
        </is>
      </c>
      <c r="J185" s="5" t="inlineStr">
        <is>
          <t>Drive foto</t>
        </is>
      </c>
      <c r="K185" s="5" t="inlineStr">
        <is>
          <t>Özellik dosyasında tüm tiplerde var; yalnız EXSB fotoğrafında görünüyor [güven: medium]</t>
        </is>
      </c>
    </row>
    <row r="186" ht="26.4" customHeight="1">
      <c r="A186" s="5" t="inlineStr">
        <is>
          <t>Tare Suites Urla</t>
        </is>
      </c>
      <c r="B186" s="5" t="inlineStr">
        <is>
          <t>DFS</t>
        </is>
      </c>
      <c r="C186" s="7" t="n"/>
      <c r="D186" s="6">
        <f>IFERROR(INDEX('Kontrol Adımları'!$D:$D,MATCH(1,INDEX(('Kontrol Adımları'!$A$1:$A$400=B186)*('Kontrol Adımları'!$B$1:$B$400=C186),0),0)),"")</f>
        <v/>
      </c>
      <c r="E186" s="5" t="inlineStr">
        <is>
          <t>komodin</t>
        </is>
      </c>
      <c r="F186" s="6">
        <f>IFERROR(INDEX('Kalem Kataloğu'!$C$1:$C$1000,MATCH(1,INDEX(('Kalem Kataloğu'!$A$1:$A$1000=A186)*('Kalem Kataloğu'!$B$1:$B$1000=E186),0),0)),"?")</f>
        <v/>
      </c>
      <c r="G186" s="6">
        <f>IFERROR(INDEX('Kalem Kataloğu'!$D$1:$D$1000,MATCH(1,INDEX(('Kalem Kataloğu'!$A$1:$A$1000=A186)*('Kalem Kataloğu'!$B$1:$B$1000=E186),0),0)),"?")</f>
        <v/>
      </c>
      <c r="H186" s="7" t="n">
        <v>2</v>
      </c>
      <c r="I186" s="7" t="inlineStr">
        <is>
          <t>Hayır</t>
        </is>
      </c>
      <c r="J186" s="5" t="inlineStr">
        <is>
          <t>Drive foto</t>
        </is>
      </c>
      <c r="K186" s="5" t="inlineStr">
        <is>
          <t>DSSW fotoğrafında yalnız bir yan görünüyor; muhtemelen 2 [güven: medium]</t>
        </is>
      </c>
    </row>
    <row r="187" ht="26.4" customHeight="1">
      <c r="A187" s="5" t="inlineStr">
        <is>
          <t>Tare Suites Urla</t>
        </is>
      </c>
      <c r="B187" s="5" t="inlineStr">
        <is>
          <t>DFS</t>
        </is>
      </c>
      <c r="C187" s="7" t="n"/>
      <c r="D187" s="6">
        <f>IFERROR(INDEX('Kontrol Adımları'!$D:$D,MATCH(1,INDEX(('Kontrol Adımları'!$A$1:$A$400=B187)*('Kontrol Adımları'!$B$1:$B$400=C187),0),0)),"")</f>
        <v/>
      </c>
      <c r="E187" s="5" t="inlineStr">
        <is>
          <t>calisma_masasi_ayna</t>
        </is>
      </c>
      <c r="F187" s="6">
        <f>IFERROR(INDEX('Kalem Kataloğu'!$C$1:$C$1000,MATCH(1,INDEX(('Kalem Kataloğu'!$A$1:$A$1000=A187)*('Kalem Kataloğu'!$B$1:$B$1000=E187),0),0)),"?")</f>
        <v/>
      </c>
      <c r="G187" s="6">
        <f>IFERROR(INDEX('Kalem Kataloğu'!$D$1:$D$1000,MATCH(1,INDEX(('Kalem Kataloğu'!$A$1:$A$1000=A187)*('Kalem Kataloğu'!$B$1:$B$1000=E187),0),0)),"?")</f>
        <v/>
      </c>
      <c r="H187" s="7" t="n">
        <v>1</v>
      </c>
      <c r="I187" s="7" t="inlineStr">
        <is>
          <t>Hayır</t>
        </is>
      </c>
      <c r="J187" s="5" t="inlineStr">
        <is>
          <t>Drive foto</t>
        </is>
      </c>
      <c r="K187" s="5" t="inlineStr">
        <is>
          <t xml:space="preserve"> [güven: high]</t>
        </is>
      </c>
    </row>
    <row r="188">
      <c r="A188" s="5" t="inlineStr">
        <is>
          <t>Tare Suites Urla</t>
        </is>
      </c>
      <c r="B188" s="5" t="inlineStr">
        <is>
          <t>DFS</t>
        </is>
      </c>
      <c r="C188" s="7" t="n"/>
      <c r="D188" s="6">
        <f>IFERROR(INDEX('Kontrol Adımları'!$D:$D,MATCH(1,INDEX(('Kontrol Adımları'!$A$1:$A$400=B188)*('Kontrol Adımları'!$B$1:$B$400=C188),0),0)),"")</f>
        <v/>
      </c>
      <c r="E188" s="5" t="inlineStr">
        <is>
          <t>lavabo_dolabi</t>
        </is>
      </c>
      <c r="F188" s="6">
        <f>IFERROR(INDEX('Kalem Kataloğu'!$C$1:$C$1000,MATCH(1,INDEX(('Kalem Kataloğu'!$A$1:$A$1000=A188)*('Kalem Kataloğu'!$B$1:$B$1000=E188),0),0)),"?")</f>
        <v/>
      </c>
      <c r="G188" s="6">
        <f>IFERROR(INDEX('Kalem Kataloğu'!$D$1:$D$1000,MATCH(1,INDEX(('Kalem Kataloğu'!$A$1:$A$1000=A188)*('Kalem Kataloğu'!$B$1:$B$1000=E188),0),0)),"?")</f>
        <v/>
      </c>
      <c r="H188" s="7" t="n">
        <v>1</v>
      </c>
      <c r="I188" s="7" t="inlineStr">
        <is>
          <t>Hayır</t>
        </is>
      </c>
      <c r="J188" s="5" t="inlineStr">
        <is>
          <t>Drive foto</t>
        </is>
      </c>
      <c r="K188" s="5" t="inlineStr">
        <is>
          <t xml:space="preserve"> [güven: high]</t>
        </is>
      </c>
    </row>
    <row r="189" ht="39.6" customHeight="1">
      <c r="A189" s="5" t="inlineStr">
        <is>
          <t>Tare Suites Urla</t>
        </is>
      </c>
      <c r="B189" s="5" t="inlineStr">
        <is>
          <t>DFS</t>
        </is>
      </c>
      <c r="C189" s="7" t="n"/>
      <c r="D189" s="6">
        <f>IFERROR(INDEX('Kontrol Adımları'!$D:$D,MATCH(1,INDEX(('Kontrol Adımları'!$A$1:$A$400=B189)*('Kontrol Adımları'!$B$1:$B$400=C189),0),0)),"")</f>
        <v/>
      </c>
      <c r="E189" s="5" t="inlineStr">
        <is>
          <t>mini_buzdolabi</t>
        </is>
      </c>
      <c r="F189" s="6">
        <f>IFERROR(INDEX('Kalem Kataloğu'!$C$1:$C$1000,MATCH(1,INDEX(('Kalem Kataloğu'!$A$1:$A$1000=A189)*('Kalem Kataloğu'!$B$1:$B$1000=E189),0),0)),"?")</f>
        <v/>
      </c>
      <c r="G189" s="6">
        <f>IFERROR(INDEX('Kalem Kataloğu'!$D$1:$D$1000,MATCH(1,INDEX(('Kalem Kataloğu'!$A$1:$A$1000=A189)*('Kalem Kataloğu'!$B$1:$B$1000=E189),0),0)),"?")</f>
        <v/>
      </c>
      <c r="H189" s="7" t="n"/>
      <c r="I189" s="7" t="inlineStr">
        <is>
          <t>Hayır</t>
        </is>
      </c>
      <c r="J189" s="5" t="inlineStr">
        <is>
          <t>Drive foto</t>
        </is>
      </c>
      <c r="K189" s="5" t="inlineStr">
        <is>
          <t>Özellik dosyasında Urla Suites için Buzdolabı "-" ama fotoğraflarda masa altında mini buzdolabı var — teyit [güven: high]</t>
        </is>
      </c>
    </row>
    <row r="190">
      <c r="A190" s="5" t="inlineStr">
        <is>
          <t>Tare Suites Urla</t>
        </is>
      </c>
      <c r="B190" s="5" t="inlineStr">
        <is>
          <t>DFS</t>
        </is>
      </c>
      <c r="C190" s="7" t="n"/>
      <c r="D190" s="6">
        <f>IFERROR(INDEX('Kontrol Adımları'!$D:$D,MATCH(1,INDEX(('Kontrol Adımları'!$A$1:$A$400=B190)*('Kontrol Adımları'!$B$1:$B$400=C190),0),0)),"")</f>
        <v/>
      </c>
      <c r="E190" s="5" t="inlineStr">
        <is>
          <t>banyo_cop_kovasi</t>
        </is>
      </c>
      <c r="F190" s="6">
        <f>IFERROR(INDEX('Kalem Kataloğu'!$C$1:$C$1000,MATCH(1,INDEX(('Kalem Kataloğu'!$A$1:$A$1000=A190)*('Kalem Kataloğu'!$B$1:$B$1000=E190),0),0)),"?")</f>
        <v/>
      </c>
      <c r="G190" s="6">
        <f>IFERROR(INDEX('Kalem Kataloğu'!$D$1:$D$1000,MATCH(1,INDEX(('Kalem Kataloğu'!$A$1:$A$1000=A190)*('Kalem Kataloğu'!$B$1:$B$1000=E190),0),0)),"?")</f>
        <v/>
      </c>
      <c r="H190" s="7" t="n"/>
      <c r="I190" s="7" t="inlineStr">
        <is>
          <t>Hayır</t>
        </is>
      </c>
      <c r="J190" s="5" t="inlineStr">
        <is>
          <t>Drive foto</t>
        </is>
      </c>
      <c r="K190" s="5" t="inlineStr">
        <is>
          <t xml:space="preserve"> [güven: medium]</t>
        </is>
      </c>
    </row>
    <row r="191">
      <c r="A191" s="5" t="inlineStr">
        <is>
          <t>Tare Suites Urla</t>
        </is>
      </c>
      <c r="B191" s="5" t="inlineStr">
        <is>
          <t>DFS</t>
        </is>
      </c>
      <c r="C191" s="7" t="n"/>
      <c r="D191" s="6">
        <f>IFERROR(INDEX('Kontrol Adımları'!$D:$D,MATCH(1,INDEX(('Kontrol Adımları'!$A$1:$A$400=B191)*('Kontrol Adımları'!$B$1:$B$400=C191),0),0)),"")</f>
        <v/>
      </c>
      <c r="E191" s="5" t="inlineStr">
        <is>
          <t>sandalye</t>
        </is>
      </c>
      <c r="F191" s="6">
        <f>IFERROR(INDEX('Kalem Kataloğu'!$C$1:$C$1000,MATCH(1,INDEX(('Kalem Kataloğu'!$A$1:$A$1000=A191)*('Kalem Kataloğu'!$B$1:$B$1000=E191),0),0)),"?")</f>
        <v/>
      </c>
      <c r="G191" s="6">
        <f>IFERROR(INDEX('Kalem Kataloğu'!$D$1:$D$1000,MATCH(1,INDEX(('Kalem Kataloğu'!$A$1:$A$1000=A191)*('Kalem Kataloğu'!$B$1:$B$1000=E191),0),0)),"?")</f>
        <v/>
      </c>
      <c r="H191" s="7" t="n">
        <v>2</v>
      </c>
      <c r="I191" s="7" t="inlineStr">
        <is>
          <t>Hayır</t>
        </is>
      </c>
      <c r="J191" s="5" t="inlineStr">
        <is>
          <t>Drive foto</t>
        </is>
      </c>
      <c r="K191" s="5" t="inlineStr">
        <is>
          <t xml:space="preserve"> [güven: high]</t>
        </is>
      </c>
    </row>
    <row r="192" ht="26.4" customHeight="1">
      <c r="A192" s="5" t="inlineStr">
        <is>
          <t>Tare Suites Urla</t>
        </is>
      </c>
      <c r="B192" s="5" t="inlineStr">
        <is>
          <t>DFS</t>
        </is>
      </c>
      <c r="C192" s="7" t="n"/>
      <c r="D192" s="6">
        <f>IFERROR(INDEX('Kontrol Adımları'!$D:$D,MATCH(1,INDEX(('Kontrol Adımları'!$A$1:$A$400=B192)*('Kontrol Adımları'!$B$1:$B$400=C192),0),0)),"")</f>
        <v/>
      </c>
      <c r="E192" s="5" t="inlineStr">
        <is>
          <t>sac_kurutma</t>
        </is>
      </c>
      <c r="F192" s="6">
        <f>IFERROR(INDEX('Kalem Kataloğu'!$C$1:$C$1000,MATCH(1,INDEX(('Kalem Kataloğu'!$A$1:$A$1000=A192)*('Kalem Kataloğu'!$B$1:$B$1000=E192),0),0)),"?")</f>
        <v/>
      </c>
      <c r="G192" s="6">
        <f>IFERROR(INDEX('Kalem Kataloğu'!$D$1:$D$1000,MATCH(1,INDEX(('Kalem Kataloğu'!$A$1:$A$1000=A192)*('Kalem Kataloğu'!$B$1:$B$1000=E192),0),0)),"?")</f>
        <v/>
      </c>
      <c r="H192" s="7" t="n"/>
      <c r="I192" s="7" t="inlineStr">
        <is>
          <t>Hayır</t>
        </is>
      </c>
      <c r="J192" s="5" t="inlineStr">
        <is>
          <t>Drive foto</t>
        </is>
      </c>
      <c r="K192" s="5" t="inlineStr">
        <is>
          <t>Özellik dosyasında tüm tiplerde var; yalnız EDR fotoğrafında görünüyor [güven: medium]</t>
        </is>
      </c>
    </row>
    <row r="193">
      <c r="A193" s="5" t="inlineStr">
        <is>
          <t>Tare Suites Urla</t>
        </is>
      </c>
      <c r="B193" s="5" t="inlineStr">
        <is>
          <t>DFS</t>
        </is>
      </c>
      <c r="C193" s="7" t="n"/>
      <c r="D193" s="6">
        <f>IFERROR(INDEX('Kontrol Adımları'!$D:$D,MATCH(1,INDEX(('Kontrol Adımları'!$A$1:$A$400=B193)*('Kontrol Adımları'!$B$1:$B$400=C193),0),0)),"")</f>
        <v/>
      </c>
      <c r="E193" s="5" t="inlineStr">
        <is>
          <t>klima</t>
        </is>
      </c>
      <c r="F193" s="6">
        <f>IFERROR(INDEX('Kalem Kataloğu'!$C$1:$C$1000,MATCH(1,INDEX(('Kalem Kataloğu'!$A$1:$A$1000=A193)*('Kalem Kataloğu'!$B$1:$B$1000=E193),0),0)),"?")</f>
        <v/>
      </c>
      <c r="G193" s="6">
        <f>IFERROR(INDEX('Kalem Kataloğu'!$D$1:$D$1000,MATCH(1,INDEX(('Kalem Kataloğu'!$A$1:$A$1000=A193)*('Kalem Kataloğu'!$B$1:$B$1000=E193),0),0)),"?")</f>
        <v/>
      </c>
      <c r="H193" s="7" t="n">
        <v>1</v>
      </c>
      <c r="I193" s="7" t="inlineStr">
        <is>
          <t>Hayır</t>
        </is>
      </c>
      <c r="J193" s="5" t="inlineStr">
        <is>
          <t>Drive foto</t>
        </is>
      </c>
      <c r="K193" s="5" t="inlineStr">
        <is>
          <t xml:space="preserve"> [güven: high]</t>
        </is>
      </c>
    </row>
    <row r="194">
      <c r="A194" s="5" t="inlineStr">
        <is>
          <t>Tare Suites Urla</t>
        </is>
      </c>
      <c r="B194" s="5" t="inlineStr">
        <is>
          <t>DFS</t>
        </is>
      </c>
      <c r="C194" s="7" t="n"/>
      <c r="D194" s="6">
        <f>IFERROR(INDEX('Kontrol Adımları'!$D:$D,MATCH(1,INDEX(('Kontrol Adımları'!$A$1:$A$400=B194)*('Kontrol Adımları'!$B$1:$B$400=C194),0),0)),"")</f>
        <v/>
      </c>
      <c r="E194" s="5" t="inlineStr">
        <is>
          <t>kettle</t>
        </is>
      </c>
      <c r="F194" s="6">
        <f>IFERROR(INDEX('Kalem Kataloğu'!$C$1:$C$1000,MATCH(1,INDEX(('Kalem Kataloğu'!$A$1:$A$1000=A194)*('Kalem Kataloğu'!$B$1:$B$1000=E194),0),0)),"?")</f>
        <v/>
      </c>
      <c r="G194" s="6">
        <f>IFERROR(INDEX('Kalem Kataloğu'!$D$1:$D$1000,MATCH(1,INDEX(('Kalem Kataloğu'!$A$1:$A$1000=A194)*('Kalem Kataloğu'!$B$1:$B$1000=E194),0),0)),"?")</f>
        <v/>
      </c>
      <c r="H194" s="7" t="n">
        <v>1</v>
      </c>
      <c r="I194" s="7" t="inlineStr">
        <is>
          <t>Hayır</t>
        </is>
      </c>
      <c r="J194" s="5" t="inlineStr">
        <is>
          <t>Drive foto</t>
        </is>
      </c>
      <c r="K194" s="5" t="inlineStr">
        <is>
          <t xml:space="preserve"> [güven: high]</t>
        </is>
      </c>
    </row>
    <row r="195">
      <c r="A195" s="5" t="inlineStr">
        <is>
          <t>Tare Suites Urla</t>
        </is>
      </c>
      <c r="B195" s="5" t="inlineStr">
        <is>
          <t>DFS</t>
        </is>
      </c>
      <c r="C195" s="7" t="n"/>
      <c r="D195" s="6">
        <f>IFERROR(INDEX('Kontrol Adımları'!$D:$D,MATCH(1,INDEX(('Kontrol Adımları'!$A$1:$A$400=B195)*('Kontrol Adımları'!$B$1:$B$400=C195),0),0)),"")</f>
        <v/>
      </c>
      <c r="E195" s="5" t="inlineStr">
        <is>
          <t>tuvalet_kagidi_aparati</t>
        </is>
      </c>
      <c r="F195" s="6">
        <f>IFERROR(INDEX('Kalem Kataloğu'!$C$1:$C$1000,MATCH(1,INDEX(('Kalem Kataloğu'!$A$1:$A$1000=A195)*('Kalem Kataloğu'!$B$1:$B$1000=E195),0),0)),"?")</f>
        <v/>
      </c>
      <c r="G195" s="6">
        <f>IFERROR(INDEX('Kalem Kataloğu'!$D$1:$D$1000,MATCH(1,INDEX(('Kalem Kataloğu'!$A$1:$A$1000=A195)*('Kalem Kataloğu'!$B$1:$B$1000=E195),0),0)),"?")</f>
        <v/>
      </c>
      <c r="H195" s="7" t="n">
        <v>1</v>
      </c>
      <c r="I195" s="7" t="inlineStr">
        <is>
          <t>Hayır</t>
        </is>
      </c>
      <c r="J195" s="5" t="inlineStr">
        <is>
          <t>Drive foto</t>
        </is>
      </c>
      <c r="K195" s="5" t="inlineStr">
        <is>
          <t xml:space="preserve"> [güven: high]</t>
        </is>
      </c>
    </row>
    <row r="196">
      <c r="A196" s="5" t="inlineStr">
        <is>
          <t>Tare Suites Urla</t>
        </is>
      </c>
      <c r="B196" s="5" t="inlineStr">
        <is>
          <t>DFS</t>
        </is>
      </c>
      <c r="C196" s="7" t="n"/>
      <c r="D196" s="6">
        <f>IFERROR(INDEX('Kontrol Adımları'!$D:$D,MATCH(1,INDEX(('Kontrol Adımları'!$A$1:$A$400=B196)*('Kontrol Adımları'!$B$1:$B$400=C196),0),0)),"")</f>
        <v/>
      </c>
      <c r="E196" s="5" t="inlineStr">
        <is>
          <t>wc_fircasi</t>
        </is>
      </c>
      <c r="F196" s="6">
        <f>IFERROR(INDEX('Kalem Kataloğu'!$C$1:$C$1000,MATCH(1,INDEX(('Kalem Kataloğu'!$A$1:$A$1000=A196)*('Kalem Kataloğu'!$B$1:$B$1000=E196),0),0)),"?")</f>
        <v/>
      </c>
      <c r="G196" s="6">
        <f>IFERROR(INDEX('Kalem Kataloğu'!$D$1:$D$1000,MATCH(1,INDEX(('Kalem Kataloğu'!$A$1:$A$1000=A196)*('Kalem Kataloğu'!$B$1:$B$1000=E196),0),0)),"?")</f>
        <v/>
      </c>
      <c r="H196" s="7" t="n"/>
      <c r="I196" s="7" t="inlineStr">
        <is>
          <t>Hayır</t>
        </is>
      </c>
      <c r="J196" s="5" t="inlineStr">
        <is>
          <t>Drive foto</t>
        </is>
      </c>
      <c r="K196" s="5" t="inlineStr">
        <is>
          <t xml:space="preserve"> [güven: medium]</t>
        </is>
      </c>
    </row>
    <row r="197" ht="39.6" customHeight="1">
      <c r="A197" s="5" t="inlineStr">
        <is>
          <t>Tare Suites Urla</t>
        </is>
      </c>
      <c r="B197" s="5" t="inlineStr">
        <is>
          <t>DFS</t>
        </is>
      </c>
      <c r="C197" s="7" t="n"/>
      <c r="D197" s="6">
        <f>IFERROR(INDEX('Kontrol Adımları'!$D:$D,MATCH(1,INDEX(('Kontrol Adımları'!$A$1:$A$400=B197)*('Kontrol Adımları'!$B$1:$B$400=C197),0),0)),"")</f>
        <v/>
      </c>
      <c r="E197" s="5" t="inlineStr">
        <is>
          <t>yastik</t>
        </is>
      </c>
      <c r="F197" s="6">
        <f>IFERROR(INDEX('Kalem Kataloğu'!$C$1:$C$1000,MATCH(1,INDEX(('Kalem Kataloğu'!$A$1:$A$1000=A197)*('Kalem Kataloğu'!$B$1:$B$1000=E197),0),0)),"?")</f>
        <v/>
      </c>
      <c r="G197" s="6">
        <f>IFERROR(INDEX('Kalem Kataloğu'!$D$1:$D$1000,MATCH(1,INDEX(('Kalem Kataloğu'!$A$1:$A$1000=A197)*('Kalem Kataloğu'!$B$1:$B$1000=E197),0),0)),"?")</f>
        <v/>
      </c>
      <c r="H197" s="7" t="n">
        <v>4</v>
      </c>
      <c r="I197" s="7" t="inlineStr">
        <is>
          <t>Hayır</t>
        </is>
      </c>
      <c r="J197" s="5" t="inlineStr">
        <is>
          <t>Drive foto</t>
        </is>
      </c>
      <c r="K197" s="5" t="inlineStr">
        <is>
          <t>Yatak başına görünen; EDR/EXSB/DFS 2+2 dizilmiş, DSSW/DS 2. Standart olarak teyit edilmeli [güven: medium]</t>
        </is>
      </c>
    </row>
    <row r="198" ht="26.4" customHeight="1">
      <c r="A198" s="5" t="inlineStr">
        <is>
          <t>Tare Suites Urla</t>
        </is>
      </c>
      <c r="B198" s="5" t="inlineStr">
        <is>
          <t>DFS</t>
        </is>
      </c>
      <c r="C198" s="7" t="n"/>
      <c r="D198" s="6">
        <f>IFERROR(INDEX('Kontrol Adımları'!$D:$D,MATCH(1,INDEX(('Kontrol Adımları'!$A$1:$A$400=B198)*('Kontrol Adımları'!$B$1:$B$400=C198),0),0)),"")</f>
        <v/>
      </c>
      <c r="E198" s="5" t="inlineStr">
        <is>
          <t>masa_sandalye_seti</t>
        </is>
      </c>
      <c r="F198" s="6">
        <f>IFERROR(INDEX('Kalem Kataloğu'!$C$1:$C$1000,MATCH(1,INDEX(('Kalem Kataloğu'!$A$1:$A$1000=A198)*('Kalem Kataloğu'!$B$1:$B$1000=E198),0),0)),"?")</f>
        <v/>
      </c>
      <c r="G198" s="6">
        <f>IFERROR(INDEX('Kalem Kataloğu'!$D$1:$D$1000,MATCH(1,INDEX(('Kalem Kataloğu'!$A$1:$A$1000=A198)*('Kalem Kataloğu'!$B$1:$B$1000=E198),0),0)),"?")</f>
        <v/>
      </c>
      <c r="H198" s="7" t="n">
        <v>1</v>
      </c>
      <c r="I198" s="7" t="inlineStr">
        <is>
          <t>Hayır</t>
        </is>
      </c>
      <c r="J198" s="5" t="inlineStr">
        <is>
          <t>Drive foto</t>
        </is>
      </c>
      <c r="K198" s="5" t="inlineStr">
        <is>
          <t>EDR fotoğraflarında oturma grubu yok (özellik dosyasıyla uyumlu) [güven: high]</t>
        </is>
      </c>
    </row>
    <row r="199" ht="26.4" customHeight="1">
      <c r="A199" s="5" t="inlineStr">
        <is>
          <t>Tare Suites Urla</t>
        </is>
      </c>
      <c r="B199" s="5" t="inlineStr">
        <is>
          <t>DFS</t>
        </is>
      </c>
      <c r="C199" s="7" t="n"/>
      <c r="D199" s="6">
        <f>IFERROR(INDEX('Kontrol Adımları'!$D:$D,MATCH(1,INDEX(('Kontrol Adımları'!$A$1:$A$400=B199)*('Kontrol Adımları'!$B$1:$B$400=C199),0),0)),"")</f>
        <v/>
      </c>
      <c r="E199" s="5" t="inlineStr">
        <is>
          <t>cift_kisilik_yatak</t>
        </is>
      </c>
      <c r="F199" s="6">
        <f>IFERROR(INDEX('Kalem Kataloğu'!$C$1:$C$1000,MATCH(1,INDEX(('Kalem Kataloğu'!$A$1:$A$1000=A199)*('Kalem Kataloğu'!$B$1:$B$1000=E199),0),0)),"?")</f>
        <v/>
      </c>
      <c r="G199" s="6">
        <f>IFERROR(INDEX('Kalem Kataloğu'!$D$1:$D$1000,MATCH(1,INDEX(('Kalem Kataloğu'!$A$1:$A$1000=A199)*('Kalem Kataloğu'!$B$1:$B$1000=E199),0),0)),"?")</f>
        <v/>
      </c>
      <c r="H199" s="7" t="n">
        <v>1</v>
      </c>
      <c r="I199" s="7" t="inlineStr">
        <is>
          <t>Hayır</t>
        </is>
      </c>
      <c r="J199" s="5" t="inlineStr">
        <is>
          <t>Drive foto</t>
        </is>
      </c>
      <c r="K199" s="5" t="inlineStr">
        <is>
          <t>DFS dubleks: üst katta (asma kat) ek yatak alanı olabilir, fotoğrafta net değil [güven: high]</t>
        </is>
      </c>
    </row>
    <row r="200">
      <c r="A200" s="5" t="inlineStr">
        <is>
          <t>Tare Suites Urla</t>
        </is>
      </c>
      <c r="B200" s="5" t="inlineStr">
        <is>
          <t>DS</t>
        </is>
      </c>
      <c r="C200" s="7" t="n"/>
      <c r="D200" s="6">
        <f>IFERROR(INDEX('Kontrol Adımları'!$D:$D,MATCH(1,INDEX(('Kontrol Adımları'!$A$1:$A$400=B200)*('Kontrol Adımları'!$B$1:$B$400=C200),0),0)),"")</f>
        <v/>
      </c>
      <c r="E200" s="5" t="inlineStr">
        <is>
          <t>asma_klozet</t>
        </is>
      </c>
      <c r="F200" s="6">
        <f>IFERROR(INDEX('Kalem Kataloğu'!$C$1:$C$1000,MATCH(1,INDEX(('Kalem Kataloğu'!$A$1:$A$1000=A200)*('Kalem Kataloğu'!$B$1:$B$1000=E200),0),0)),"?")</f>
        <v/>
      </c>
      <c r="G200" s="6">
        <f>IFERROR(INDEX('Kalem Kataloğu'!$D$1:$D$1000,MATCH(1,INDEX(('Kalem Kataloğu'!$A$1:$A$1000=A200)*('Kalem Kataloğu'!$B$1:$B$1000=E200),0),0)),"?")</f>
        <v/>
      </c>
      <c r="H200" s="7" t="n">
        <v>1</v>
      </c>
      <c r="I200" s="7" t="inlineStr">
        <is>
          <t>Hayır</t>
        </is>
      </c>
      <c r="J200" s="5" t="inlineStr">
        <is>
          <t>Drive foto</t>
        </is>
      </c>
      <c r="K200" s="5" t="inlineStr">
        <is>
          <t xml:space="preserve"> [güven: high]</t>
        </is>
      </c>
    </row>
    <row r="201">
      <c r="A201" s="5" t="inlineStr">
        <is>
          <t>Tare Suites Urla</t>
        </is>
      </c>
      <c r="B201" s="5" t="inlineStr">
        <is>
          <t>DS</t>
        </is>
      </c>
      <c r="C201" s="7" t="n"/>
      <c r="D201" s="6">
        <f>IFERROR(INDEX('Kontrol Adımları'!$D:$D,MATCH(1,INDEX(('Kontrol Adımları'!$A$1:$A$400=B201)*('Kontrol Adımları'!$B$1:$B$400=C201),0),0)),"")</f>
        <v/>
      </c>
      <c r="E201" s="5" t="inlineStr">
        <is>
          <t>ikram_tepsisi</t>
        </is>
      </c>
      <c r="F201" s="6">
        <f>IFERROR(INDEX('Kalem Kataloğu'!$C$1:$C$1000,MATCH(1,INDEX(('Kalem Kataloğu'!$A$1:$A$1000=A201)*('Kalem Kataloğu'!$B$1:$B$1000=E201),0),0)),"?")</f>
        <v/>
      </c>
      <c r="G201" s="6">
        <f>IFERROR(INDEX('Kalem Kataloğu'!$D$1:$D$1000,MATCH(1,INDEX(('Kalem Kataloğu'!$A$1:$A$1000=A201)*('Kalem Kataloğu'!$B$1:$B$1000=E201),0),0)),"?")</f>
        <v/>
      </c>
      <c r="H201" s="7" t="n">
        <v>1</v>
      </c>
      <c r="I201" s="7" t="inlineStr">
        <is>
          <t>Hayır</t>
        </is>
      </c>
      <c r="J201" s="5" t="inlineStr">
        <is>
          <t>Drive foto</t>
        </is>
      </c>
      <c r="K201" s="5" t="inlineStr">
        <is>
          <t>İçeriği ikram_tepsisi listesinde [güven: high]</t>
        </is>
      </c>
    </row>
    <row r="202" ht="26.4" customHeight="1">
      <c r="A202" s="5" t="inlineStr">
        <is>
          <t>Tare Suites Urla</t>
        </is>
      </c>
      <c r="B202" s="5" t="inlineStr">
        <is>
          <t>DS</t>
        </is>
      </c>
      <c r="C202" s="7" t="n"/>
      <c r="D202" s="6">
        <f>IFERROR(INDEX('Kontrol Adımları'!$D:$D,MATCH(1,INDEX(('Kontrol Adımları'!$A$1:$A$400=B202)*('Kontrol Adımları'!$B$1:$B$400=C202),0),0)),"")</f>
        <v/>
      </c>
      <c r="E202" s="5" t="inlineStr">
        <is>
          <t>banyo_aynasi</t>
        </is>
      </c>
      <c r="F202" s="6">
        <f>IFERROR(INDEX('Kalem Kataloğu'!$C$1:$C$1000,MATCH(1,INDEX(('Kalem Kataloğu'!$A$1:$A$1000=A202)*('Kalem Kataloğu'!$B$1:$B$1000=E202),0),0)),"?")</f>
        <v/>
      </c>
      <c r="G202" s="6">
        <f>IFERROR(INDEX('Kalem Kataloğu'!$D$1:$D$1000,MATCH(1,INDEX(('Kalem Kataloğu'!$A$1:$A$1000=A202)*('Kalem Kataloğu'!$B$1:$B$1000=E202),0),0)),"?")</f>
        <v/>
      </c>
      <c r="H202" s="7" t="n">
        <v>1</v>
      </c>
      <c r="I202" s="7" t="inlineStr">
        <is>
          <t>Hayır</t>
        </is>
      </c>
      <c r="J202" s="5" t="inlineStr">
        <is>
          <t>Drive foto</t>
        </is>
      </c>
      <c r="K202" s="5" t="inlineStr">
        <is>
          <t>DSSW yuvarlak hasır çerçeveli; diğerleri ahşap çerçeveli dikdörtgen [güven: high]</t>
        </is>
      </c>
    </row>
    <row r="203" ht="26.4" customHeight="1">
      <c r="A203" s="5" t="inlineStr">
        <is>
          <t>Tare Suites Urla</t>
        </is>
      </c>
      <c r="B203" s="5" t="inlineStr">
        <is>
          <t>DS</t>
        </is>
      </c>
      <c r="C203" s="7" t="n"/>
      <c r="D203" s="6">
        <f>IFERROR(INDEX('Kontrol Adımları'!$D:$D,MATCH(1,INDEX(('Kontrol Adımları'!$A$1:$A$400=B203)*('Kontrol Adımları'!$B$1:$B$400=C203),0),0)),"")</f>
        <v/>
      </c>
      <c r="E203" s="5" t="inlineStr">
        <is>
          <t>duman_dedektoru</t>
        </is>
      </c>
      <c r="F203" s="6">
        <f>IFERROR(INDEX('Kalem Kataloğu'!$C$1:$C$1000,MATCH(1,INDEX(('Kalem Kataloğu'!$A$1:$A$1000=A203)*('Kalem Kataloğu'!$B$1:$B$1000=E203),0),0)),"?")</f>
        <v/>
      </c>
      <c r="G203" s="6">
        <f>IFERROR(INDEX('Kalem Kataloğu'!$D$1:$D$1000,MATCH(1,INDEX(('Kalem Kataloğu'!$A$1:$A$1000=A203)*('Kalem Kataloğu'!$B$1:$B$1000=E203),0),0)),"?")</f>
        <v/>
      </c>
      <c r="H203" s="7" t="n">
        <v>1</v>
      </c>
      <c r="I203" s="7" t="inlineStr">
        <is>
          <t>Hayır</t>
        </is>
      </c>
      <c r="J203" s="5" t="inlineStr">
        <is>
          <t>Drive foto</t>
        </is>
      </c>
      <c r="K203" s="5" t="inlineStr">
        <is>
          <t>Tavanda; özellik dosyasında tüm tiplerde var [güven: medium]</t>
        </is>
      </c>
    </row>
    <row r="204">
      <c r="A204" s="5" t="inlineStr">
        <is>
          <t>Tare Suites Urla</t>
        </is>
      </c>
      <c r="B204" s="5" t="inlineStr">
        <is>
          <t>DS</t>
        </is>
      </c>
      <c r="C204" s="7" t="n"/>
      <c r="D204" s="6">
        <f>IFERROR(INDEX('Kontrol Adımları'!$D:$D,MATCH(1,INDEX(('Kontrol Adımları'!$A$1:$A$400=B204)*('Kontrol Adımları'!$B$1:$B$400=C204),0),0)),"")</f>
        <v/>
      </c>
      <c r="E204" s="5" t="inlineStr">
        <is>
          <t>aplik</t>
        </is>
      </c>
      <c r="F204" s="6">
        <f>IFERROR(INDEX('Kalem Kataloğu'!$C$1:$C$1000,MATCH(1,INDEX(('Kalem Kataloğu'!$A$1:$A$1000=A204)*('Kalem Kataloğu'!$B$1:$B$1000=E204),0),0)),"?")</f>
        <v/>
      </c>
      <c r="G204" s="6">
        <f>IFERROR(INDEX('Kalem Kataloğu'!$D$1:$D$1000,MATCH(1,INDEX(('Kalem Kataloğu'!$A$1:$A$1000=A204)*('Kalem Kataloğu'!$B$1:$B$1000=E204),0),0)),"?")</f>
        <v/>
      </c>
      <c r="H204" s="7" t="n">
        <v>2</v>
      </c>
      <c r="I204" s="7" t="inlineStr">
        <is>
          <t>Hayır</t>
        </is>
      </c>
      <c r="J204" s="5" t="inlineStr">
        <is>
          <t>Drive foto</t>
        </is>
      </c>
      <c r="K204" s="5" t="inlineStr">
        <is>
          <t>Yatak başı iki yanda [güven: medium]</t>
        </is>
      </c>
    </row>
    <row r="205">
      <c r="A205" s="5" t="inlineStr">
        <is>
          <t>Tare Suites Urla</t>
        </is>
      </c>
      <c r="B205" s="5" t="inlineStr">
        <is>
          <t>DS</t>
        </is>
      </c>
      <c r="C205" s="7" t="n"/>
      <c r="D205" s="6">
        <f>IFERROR(INDEX('Kontrol Adımları'!$D:$D,MATCH(1,INDEX(('Kontrol Adımları'!$A$1:$A$400=B205)*('Kontrol Adımları'!$B$1:$B$400=C205),0),0)),"")</f>
        <v/>
      </c>
      <c r="E205" s="5" t="inlineStr">
        <is>
          <t>havlu_rafi</t>
        </is>
      </c>
      <c r="F205" s="6">
        <f>IFERROR(INDEX('Kalem Kataloğu'!$C$1:$C$1000,MATCH(1,INDEX(('Kalem Kataloğu'!$A$1:$A$1000=A205)*('Kalem Kataloğu'!$B$1:$B$1000=E205),0),0)),"?")</f>
        <v/>
      </c>
      <c r="G205" s="6">
        <f>IFERROR(INDEX('Kalem Kataloğu'!$D$1:$D$1000,MATCH(1,INDEX(('Kalem Kataloğu'!$A$1:$A$1000=A205)*('Kalem Kataloğu'!$B$1:$B$1000=E205),0),0)),"?")</f>
        <v/>
      </c>
      <c r="H205" s="7" t="n">
        <v>1</v>
      </c>
      <c r="I205" s="7" t="inlineStr">
        <is>
          <t>Hayır</t>
        </is>
      </c>
      <c r="J205" s="5" t="inlineStr">
        <is>
          <t>Drive foto</t>
        </is>
      </c>
      <c r="K205" s="5" t="inlineStr">
        <is>
          <t xml:space="preserve"> [güven: high]</t>
        </is>
      </c>
    </row>
    <row r="206">
      <c r="A206" s="5" t="inlineStr">
        <is>
          <t>Tare Suites Urla</t>
        </is>
      </c>
      <c r="B206" s="5" t="inlineStr">
        <is>
          <t>DS</t>
        </is>
      </c>
      <c r="C206" s="7" t="n"/>
      <c r="D206" s="6">
        <f>IFERROR(INDEX('Kontrol Adımları'!$D:$D,MATCH(1,INDEX(('Kontrol Adımları'!$A$1:$A$400=B206)*('Kontrol Adımları'!$B$1:$B$400=C206),0),0)),"")</f>
        <v/>
      </c>
      <c r="E206" s="5" t="inlineStr">
        <is>
          <t>tablo</t>
        </is>
      </c>
      <c r="F206" s="6">
        <f>IFERROR(INDEX('Kalem Kataloğu'!$C$1:$C$1000,MATCH(1,INDEX(('Kalem Kataloğu'!$A$1:$A$1000=A206)*('Kalem Kataloğu'!$B$1:$B$1000=E206),0),0)),"?")</f>
        <v/>
      </c>
      <c r="G206" s="6">
        <f>IFERROR(INDEX('Kalem Kataloğu'!$D$1:$D$1000,MATCH(1,INDEX(('Kalem Kataloğu'!$A$1:$A$1000=A206)*('Kalem Kataloğu'!$B$1:$B$1000=E206),0),0)),"?")</f>
        <v/>
      </c>
      <c r="H206" s="7" t="n">
        <v>1</v>
      </c>
      <c r="I206" s="7" t="inlineStr">
        <is>
          <t>Hayır</t>
        </is>
      </c>
      <c r="J206" s="5" t="inlineStr">
        <is>
          <t>Drive foto</t>
        </is>
      </c>
      <c r="K206" s="5" t="inlineStr">
        <is>
          <t xml:space="preserve"> [güven: high]</t>
        </is>
      </c>
    </row>
    <row r="207">
      <c r="A207" s="5" t="inlineStr">
        <is>
          <t>Tare Suites Urla</t>
        </is>
      </c>
      <c r="B207" s="5" t="inlineStr">
        <is>
          <t>DS</t>
        </is>
      </c>
      <c r="C207" s="7" t="n"/>
      <c r="D207" s="6">
        <f>IFERROR(INDEX('Kontrol Adımları'!$D:$D,MATCH(1,INDEX(('Kontrol Adımları'!$A$1:$A$400=B207)*('Kontrol Adımları'!$B$1:$B$400=C207),0),0)),"")</f>
        <v/>
      </c>
      <c r="E207" s="5" t="inlineStr">
        <is>
          <t>duvar_tv</t>
        </is>
      </c>
      <c r="F207" s="6">
        <f>IFERROR(INDEX('Kalem Kataloğu'!$C$1:$C$1000,MATCH(1,INDEX(('Kalem Kataloğu'!$A$1:$A$1000=A207)*('Kalem Kataloğu'!$B$1:$B$1000=E207),0),0)),"?")</f>
        <v/>
      </c>
      <c r="G207" s="6">
        <f>IFERROR(INDEX('Kalem Kataloğu'!$D$1:$D$1000,MATCH(1,INDEX(('Kalem Kataloğu'!$A$1:$A$1000=A207)*('Kalem Kataloğu'!$B$1:$B$1000=E207),0),0)),"?")</f>
        <v/>
      </c>
      <c r="H207" s="7" t="n">
        <v>1</v>
      </c>
      <c r="I207" s="7" t="inlineStr">
        <is>
          <t>Hayır</t>
        </is>
      </c>
      <c r="J207" s="5" t="inlineStr">
        <is>
          <t>Drive foto</t>
        </is>
      </c>
      <c r="K207" s="5" t="inlineStr">
        <is>
          <t xml:space="preserve"> [güven: high]</t>
        </is>
      </c>
    </row>
    <row r="208" ht="39.6" customHeight="1">
      <c r="A208" s="5" t="inlineStr">
        <is>
          <t>Tare Suites Urla</t>
        </is>
      </c>
      <c r="B208" s="5" t="inlineStr">
        <is>
          <t>DS</t>
        </is>
      </c>
      <c r="C208" s="7" t="n"/>
      <c r="D208" s="6">
        <f>IFERROR(INDEX('Kontrol Adımları'!$D:$D,MATCH(1,INDEX(('Kontrol Adımları'!$A$1:$A$400=B208)*('Kontrol Adımları'!$B$1:$B$400=C208),0),0)),"")</f>
        <v/>
      </c>
      <c r="E208" s="5" t="inlineStr">
        <is>
          <t>sivi_sabun_dispenser</t>
        </is>
      </c>
      <c r="F208" s="6">
        <f>IFERROR(INDEX('Kalem Kataloğu'!$C$1:$C$1000,MATCH(1,INDEX(('Kalem Kataloğu'!$A$1:$A$1000=A208)*('Kalem Kataloğu'!$B$1:$B$1000=E208),0),0)),"?")</f>
        <v/>
      </c>
      <c r="G208" s="6">
        <f>IFERROR(INDEX('Kalem Kataloğu'!$D$1:$D$1000,MATCH(1,INDEX(('Kalem Kataloğu'!$A$1:$A$1000=A208)*('Kalem Kataloğu'!$B$1:$B$1000=E208),0),0)),"?")</f>
        <v/>
      </c>
      <c r="H208" s="7" t="n">
        <v>1</v>
      </c>
      <c r="I208" s="7" t="inlineStr">
        <is>
          <t>Hayır</t>
        </is>
      </c>
      <c r="J208" s="5" t="inlineStr">
        <is>
          <t>Drive foto</t>
        </is>
      </c>
      <c r="K208" s="5" t="inlineStr">
        <is>
          <t>DS fotoğraflarında 1 adet görünüyor (sabun); şampuan/duş jeli dispenserleri duş içinde olabilir [güven: medium]</t>
        </is>
      </c>
    </row>
    <row r="209">
      <c r="A209" s="5" t="inlineStr">
        <is>
          <t>Tare Suites Urla</t>
        </is>
      </c>
      <c r="B209" s="5" t="inlineStr">
        <is>
          <t>DS</t>
        </is>
      </c>
      <c r="C209" s="7" t="n"/>
      <c r="D209" s="6">
        <f>IFERROR(INDEX('Kontrol Adımları'!$D:$D,MATCH(1,INDEX(('Kontrol Adımları'!$A$1:$A$400=B209)*('Kontrol Adımları'!$B$1:$B$400=C209),0),0)),"")</f>
        <v/>
      </c>
      <c r="E209" s="5" t="inlineStr">
        <is>
          <t>dus_rafi</t>
        </is>
      </c>
      <c r="F209" s="6">
        <f>IFERROR(INDEX('Kalem Kataloğu'!$C$1:$C$1000,MATCH(1,INDEX(('Kalem Kataloğu'!$A$1:$A$1000=A209)*('Kalem Kataloğu'!$B$1:$B$1000=E209),0),0)),"?")</f>
        <v/>
      </c>
      <c r="G209" s="6">
        <f>IFERROR(INDEX('Kalem Kataloğu'!$D$1:$D$1000,MATCH(1,INDEX(('Kalem Kataloğu'!$A$1:$A$1000=A209)*('Kalem Kataloğu'!$B$1:$B$1000=E209),0),0)),"?")</f>
        <v/>
      </c>
      <c r="H209" s="7" t="n"/>
      <c r="I209" s="7" t="inlineStr">
        <is>
          <t>Hayır</t>
        </is>
      </c>
      <c r="J209" s="5" t="inlineStr">
        <is>
          <t>Drive foto</t>
        </is>
      </c>
      <c r="K209" s="5" t="inlineStr">
        <is>
          <t xml:space="preserve"> [güven: medium]</t>
        </is>
      </c>
    </row>
    <row r="210">
      <c r="A210" s="5" t="inlineStr">
        <is>
          <t>Tare Suites Urla</t>
        </is>
      </c>
      <c r="B210" s="5" t="inlineStr">
        <is>
          <t>DS</t>
        </is>
      </c>
      <c r="C210" s="7" t="n"/>
      <c r="D210" s="6">
        <f>IFERROR(INDEX('Kontrol Adımları'!$D:$D,MATCH(1,INDEX(('Kontrol Adımları'!$A$1:$A$400=B210)*('Kontrol Adımları'!$B$1:$B$400=C210),0),0)),"")</f>
        <v/>
      </c>
      <c r="E210" s="5" t="inlineStr">
        <is>
          <t>dus_kabini</t>
        </is>
      </c>
      <c r="F210" s="6">
        <f>IFERROR(INDEX('Kalem Kataloğu'!$C$1:$C$1000,MATCH(1,INDEX(('Kalem Kataloğu'!$A$1:$A$1000=A210)*('Kalem Kataloğu'!$B$1:$B$1000=E210),0),0)),"?")</f>
        <v/>
      </c>
      <c r="G210" s="6">
        <f>IFERROR(INDEX('Kalem Kataloğu'!$D$1:$D$1000,MATCH(1,INDEX(('Kalem Kataloğu'!$A$1:$A$1000=A210)*('Kalem Kataloğu'!$B$1:$B$1000=E210),0),0)),"?")</f>
        <v/>
      </c>
      <c r="H210" s="7" t="n">
        <v>1</v>
      </c>
      <c r="I210" s="7" t="inlineStr">
        <is>
          <t>Hayır</t>
        </is>
      </c>
      <c r="J210" s="5" t="inlineStr">
        <is>
          <t>Drive foto</t>
        </is>
      </c>
      <c r="K210" s="5" t="inlineStr">
        <is>
          <t xml:space="preserve"> [güven: high]</t>
        </is>
      </c>
    </row>
    <row r="211" ht="26.4" customHeight="1">
      <c r="A211" s="5" t="inlineStr">
        <is>
          <t>Tare Suites Urla</t>
        </is>
      </c>
      <c r="B211" s="5" t="inlineStr">
        <is>
          <t>DS</t>
        </is>
      </c>
      <c r="C211" s="7" t="n"/>
      <c r="D211" s="6">
        <f>IFERROR(INDEX('Kontrol Adımları'!$D:$D,MATCH(1,INDEX(('Kontrol Adımları'!$A$1:$A$400=B211)*('Kontrol Adımları'!$B$1:$B$400=C211),0),0)),"")</f>
        <v/>
      </c>
      <c r="E211" s="5" t="inlineStr">
        <is>
          <t>gardirop</t>
        </is>
      </c>
      <c r="F211" s="6">
        <f>IFERROR(INDEX('Kalem Kataloğu'!$C$1:$C$1000,MATCH(1,INDEX(('Kalem Kataloğu'!$A$1:$A$1000=A211)*('Kalem Kataloğu'!$B$1:$B$1000=E211),0),0)),"?")</f>
        <v/>
      </c>
      <c r="G211" s="6">
        <f>IFERROR(INDEX('Kalem Kataloğu'!$D$1:$D$1000,MATCH(1,INDEX(('Kalem Kataloğu'!$A$1:$A$1000=A211)*('Kalem Kataloğu'!$B$1:$B$1000=E211),0),0)),"?")</f>
        <v/>
      </c>
      <c r="H211" s="7" t="n"/>
      <c r="I211" s="7" t="inlineStr">
        <is>
          <t>Hayır</t>
        </is>
      </c>
      <c r="J211" s="5" t="inlineStr">
        <is>
          <t>Drive foto</t>
        </is>
      </c>
      <c r="K211" s="5" t="inlineStr">
        <is>
          <t>Özellik dosyasında tüm tiplerde var; yalnız EXSB fotoğrafında görünüyor [güven: medium]</t>
        </is>
      </c>
    </row>
    <row r="212" ht="26.4" customHeight="1">
      <c r="A212" s="5" t="inlineStr">
        <is>
          <t>Tare Suites Urla</t>
        </is>
      </c>
      <c r="B212" s="5" t="inlineStr">
        <is>
          <t>DS</t>
        </is>
      </c>
      <c r="C212" s="7" t="n"/>
      <c r="D212" s="6">
        <f>IFERROR(INDEX('Kontrol Adımları'!$D:$D,MATCH(1,INDEX(('Kontrol Adımları'!$A$1:$A$400=B212)*('Kontrol Adımları'!$B$1:$B$400=C212),0),0)),"")</f>
        <v/>
      </c>
      <c r="E212" s="5" t="inlineStr">
        <is>
          <t>komodin</t>
        </is>
      </c>
      <c r="F212" s="6">
        <f>IFERROR(INDEX('Kalem Kataloğu'!$C$1:$C$1000,MATCH(1,INDEX(('Kalem Kataloğu'!$A$1:$A$1000=A212)*('Kalem Kataloğu'!$B$1:$B$1000=E212),0),0)),"?")</f>
        <v/>
      </c>
      <c r="G212" s="6">
        <f>IFERROR(INDEX('Kalem Kataloğu'!$D$1:$D$1000,MATCH(1,INDEX(('Kalem Kataloğu'!$A$1:$A$1000=A212)*('Kalem Kataloğu'!$B$1:$B$1000=E212),0),0)),"?")</f>
        <v/>
      </c>
      <c r="H212" s="7" t="n">
        <v>2</v>
      </c>
      <c r="I212" s="7" t="inlineStr">
        <is>
          <t>Hayır</t>
        </is>
      </c>
      <c r="J212" s="5" t="inlineStr">
        <is>
          <t>Drive foto</t>
        </is>
      </c>
      <c r="K212" s="5" t="inlineStr">
        <is>
          <t>DSSW fotoğrafında yalnız bir yan görünüyor; muhtemelen 2 [güven: medium]</t>
        </is>
      </c>
    </row>
    <row r="213" ht="26.4" customHeight="1">
      <c r="A213" s="5" t="inlineStr">
        <is>
          <t>Tare Suites Urla</t>
        </is>
      </c>
      <c r="B213" s="5" t="inlineStr">
        <is>
          <t>DS</t>
        </is>
      </c>
      <c r="C213" s="7" t="n"/>
      <c r="D213" s="6">
        <f>IFERROR(INDEX('Kontrol Adımları'!$D:$D,MATCH(1,INDEX(('Kontrol Adımları'!$A$1:$A$400=B213)*('Kontrol Adımları'!$B$1:$B$400=C213),0),0)),"")</f>
        <v/>
      </c>
      <c r="E213" s="5" t="inlineStr">
        <is>
          <t>calisma_masasi_ayna</t>
        </is>
      </c>
      <c r="F213" s="6">
        <f>IFERROR(INDEX('Kalem Kataloğu'!$C$1:$C$1000,MATCH(1,INDEX(('Kalem Kataloğu'!$A$1:$A$1000=A213)*('Kalem Kataloğu'!$B$1:$B$1000=E213),0),0)),"?")</f>
        <v/>
      </c>
      <c r="G213" s="6">
        <f>IFERROR(INDEX('Kalem Kataloğu'!$D$1:$D$1000,MATCH(1,INDEX(('Kalem Kataloğu'!$A$1:$A$1000=A213)*('Kalem Kataloğu'!$B$1:$B$1000=E213),0),0)),"?")</f>
        <v/>
      </c>
      <c r="H213" s="7" t="n">
        <v>1</v>
      </c>
      <c r="I213" s="7" t="inlineStr">
        <is>
          <t>Hayır</t>
        </is>
      </c>
      <c r="J213" s="5" t="inlineStr">
        <is>
          <t>Drive foto</t>
        </is>
      </c>
      <c r="K213" s="5" t="inlineStr">
        <is>
          <t xml:space="preserve"> [güven: high]</t>
        </is>
      </c>
    </row>
    <row r="214">
      <c r="A214" s="5" t="inlineStr">
        <is>
          <t>Tare Suites Urla</t>
        </is>
      </c>
      <c r="B214" s="5" t="inlineStr">
        <is>
          <t>DS</t>
        </is>
      </c>
      <c r="C214" s="7" t="n"/>
      <c r="D214" s="6">
        <f>IFERROR(INDEX('Kontrol Adımları'!$D:$D,MATCH(1,INDEX(('Kontrol Adımları'!$A$1:$A$400=B214)*('Kontrol Adımları'!$B$1:$B$400=C214),0),0)),"")</f>
        <v/>
      </c>
      <c r="E214" s="5" t="inlineStr">
        <is>
          <t>lavabo_dolabi</t>
        </is>
      </c>
      <c r="F214" s="6">
        <f>IFERROR(INDEX('Kalem Kataloğu'!$C$1:$C$1000,MATCH(1,INDEX(('Kalem Kataloğu'!$A$1:$A$1000=A214)*('Kalem Kataloğu'!$B$1:$B$1000=E214),0),0)),"?")</f>
        <v/>
      </c>
      <c r="G214" s="6">
        <f>IFERROR(INDEX('Kalem Kataloğu'!$D$1:$D$1000,MATCH(1,INDEX(('Kalem Kataloğu'!$A$1:$A$1000=A214)*('Kalem Kataloğu'!$B$1:$B$1000=E214),0),0)),"?")</f>
        <v/>
      </c>
      <c r="H214" s="7" t="n">
        <v>1</v>
      </c>
      <c r="I214" s="7" t="inlineStr">
        <is>
          <t>Hayır</t>
        </is>
      </c>
      <c r="J214" s="5" t="inlineStr">
        <is>
          <t>Drive foto</t>
        </is>
      </c>
      <c r="K214" s="5" t="inlineStr">
        <is>
          <t xml:space="preserve"> [güven: high]</t>
        </is>
      </c>
    </row>
    <row r="215" ht="39.6" customHeight="1">
      <c r="A215" s="5" t="inlineStr">
        <is>
          <t>Tare Suites Urla</t>
        </is>
      </c>
      <c r="B215" s="5" t="inlineStr">
        <is>
          <t>DS</t>
        </is>
      </c>
      <c r="C215" s="7" t="n"/>
      <c r="D215" s="6">
        <f>IFERROR(INDEX('Kontrol Adımları'!$D:$D,MATCH(1,INDEX(('Kontrol Adımları'!$A$1:$A$400=B215)*('Kontrol Adımları'!$B$1:$B$400=C215),0),0)),"")</f>
        <v/>
      </c>
      <c r="E215" s="5" t="inlineStr">
        <is>
          <t>mini_buzdolabi</t>
        </is>
      </c>
      <c r="F215" s="6">
        <f>IFERROR(INDEX('Kalem Kataloğu'!$C$1:$C$1000,MATCH(1,INDEX(('Kalem Kataloğu'!$A$1:$A$1000=A215)*('Kalem Kataloğu'!$B$1:$B$1000=E215),0),0)),"?")</f>
        <v/>
      </c>
      <c r="G215" s="6">
        <f>IFERROR(INDEX('Kalem Kataloğu'!$D$1:$D$1000,MATCH(1,INDEX(('Kalem Kataloğu'!$A$1:$A$1000=A215)*('Kalem Kataloğu'!$B$1:$B$1000=E215),0),0)),"?")</f>
        <v/>
      </c>
      <c r="H215" s="7" t="n">
        <v>1</v>
      </c>
      <c r="I215" s="7" t="inlineStr">
        <is>
          <t>Hayır</t>
        </is>
      </c>
      <c r="J215" s="5" t="inlineStr">
        <is>
          <t>Drive foto</t>
        </is>
      </c>
      <c r="K215" s="5" t="inlineStr">
        <is>
          <t>Özellik dosyasında Urla Suites için Buzdolabı "-" ama fotoğraflarda masa altında mini buzdolabı var — teyit [güven: high]</t>
        </is>
      </c>
    </row>
    <row r="216">
      <c r="A216" s="5" t="inlineStr">
        <is>
          <t>Tare Suites Urla</t>
        </is>
      </c>
      <c r="B216" s="5" t="inlineStr">
        <is>
          <t>DS</t>
        </is>
      </c>
      <c r="C216" s="7" t="n"/>
      <c r="D216" s="6">
        <f>IFERROR(INDEX('Kontrol Adımları'!$D:$D,MATCH(1,INDEX(('Kontrol Adımları'!$A$1:$A$400=B216)*('Kontrol Adımları'!$B$1:$B$400=C216),0),0)),"")</f>
        <v/>
      </c>
      <c r="E216" s="5" t="inlineStr">
        <is>
          <t>banyo_cop_kovasi</t>
        </is>
      </c>
      <c r="F216" s="6">
        <f>IFERROR(INDEX('Kalem Kataloğu'!$C$1:$C$1000,MATCH(1,INDEX(('Kalem Kataloğu'!$A$1:$A$1000=A216)*('Kalem Kataloğu'!$B$1:$B$1000=E216),0),0)),"?")</f>
        <v/>
      </c>
      <c r="G216" s="6">
        <f>IFERROR(INDEX('Kalem Kataloğu'!$D$1:$D$1000,MATCH(1,INDEX(('Kalem Kataloğu'!$A$1:$A$1000=A216)*('Kalem Kataloğu'!$B$1:$B$1000=E216),0),0)),"?")</f>
        <v/>
      </c>
      <c r="H216" s="7" t="n">
        <v>1</v>
      </c>
      <c r="I216" s="7" t="inlineStr">
        <is>
          <t>Hayır</t>
        </is>
      </c>
      <c r="J216" s="5" t="inlineStr">
        <is>
          <t>Drive foto</t>
        </is>
      </c>
      <c r="K216" s="5" t="inlineStr">
        <is>
          <t xml:space="preserve"> [güven: medium]</t>
        </is>
      </c>
    </row>
    <row r="217">
      <c r="A217" s="5" t="inlineStr">
        <is>
          <t>Tare Suites Urla</t>
        </is>
      </c>
      <c r="B217" s="5" t="inlineStr">
        <is>
          <t>DS</t>
        </is>
      </c>
      <c r="C217" s="7" t="n"/>
      <c r="D217" s="6">
        <f>IFERROR(INDEX('Kontrol Adımları'!$D:$D,MATCH(1,INDEX(('Kontrol Adımları'!$A$1:$A$400=B217)*('Kontrol Adımları'!$B$1:$B$400=C217),0),0)),"")</f>
        <v/>
      </c>
      <c r="E217" s="5" t="inlineStr">
        <is>
          <t>sandalye</t>
        </is>
      </c>
      <c r="F217" s="6">
        <f>IFERROR(INDEX('Kalem Kataloğu'!$C$1:$C$1000,MATCH(1,INDEX(('Kalem Kataloğu'!$A$1:$A$1000=A217)*('Kalem Kataloğu'!$B$1:$B$1000=E217),0),0)),"?")</f>
        <v/>
      </c>
      <c r="G217" s="6">
        <f>IFERROR(INDEX('Kalem Kataloğu'!$D$1:$D$1000,MATCH(1,INDEX(('Kalem Kataloğu'!$A$1:$A$1000=A217)*('Kalem Kataloğu'!$B$1:$B$1000=E217),0),0)),"?")</f>
        <v/>
      </c>
      <c r="H217" s="7" t="n">
        <v>2</v>
      </c>
      <c r="I217" s="7" t="inlineStr">
        <is>
          <t>Hayır</t>
        </is>
      </c>
      <c r="J217" s="5" t="inlineStr">
        <is>
          <t>Drive foto</t>
        </is>
      </c>
      <c r="K217" s="5" t="inlineStr">
        <is>
          <t xml:space="preserve"> [güven: high]</t>
        </is>
      </c>
    </row>
    <row r="218" ht="26.4" customHeight="1">
      <c r="A218" s="5" t="inlineStr">
        <is>
          <t>Tare Suites Urla</t>
        </is>
      </c>
      <c r="B218" s="5" t="inlineStr">
        <is>
          <t>DS</t>
        </is>
      </c>
      <c r="C218" s="7" t="n"/>
      <c r="D218" s="6">
        <f>IFERROR(INDEX('Kontrol Adımları'!$D:$D,MATCH(1,INDEX(('Kontrol Adımları'!$A$1:$A$400=B218)*('Kontrol Adımları'!$B$1:$B$400=C218),0),0)),"")</f>
        <v/>
      </c>
      <c r="E218" s="5" t="inlineStr">
        <is>
          <t>sac_kurutma</t>
        </is>
      </c>
      <c r="F218" s="6">
        <f>IFERROR(INDEX('Kalem Kataloğu'!$C$1:$C$1000,MATCH(1,INDEX(('Kalem Kataloğu'!$A$1:$A$1000=A218)*('Kalem Kataloğu'!$B$1:$B$1000=E218),0),0)),"?")</f>
        <v/>
      </c>
      <c r="G218" s="6">
        <f>IFERROR(INDEX('Kalem Kataloğu'!$D$1:$D$1000,MATCH(1,INDEX(('Kalem Kataloğu'!$A$1:$A$1000=A218)*('Kalem Kataloğu'!$B$1:$B$1000=E218),0),0)),"?")</f>
        <v/>
      </c>
      <c r="H218" s="7" t="n"/>
      <c r="I218" s="7" t="inlineStr">
        <is>
          <t>Hayır</t>
        </is>
      </c>
      <c r="J218" s="5" t="inlineStr">
        <is>
          <t>Drive foto</t>
        </is>
      </c>
      <c r="K218" s="5" t="inlineStr">
        <is>
          <t>Özellik dosyasında tüm tiplerde var; yalnız EDR fotoğrafında görünüyor [güven: medium]</t>
        </is>
      </c>
    </row>
    <row r="219">
      <c r="A219" s="5" t="inlineStr">
        <is>
          <t>Tare Suites Urla</t>
        </is>
      </c>
      <c r="B219" s="5" t="inlineStr">
        <is>
          <t>DS</t>
        </is>
      </c>
      <c r="C219" s="7" t="n"/>
      <c r="D219" s="6">
        <f>IFERROR(INDEX('Kontrol Adımları'!$D:$D,MATCH(1,INDEX(('Kontrol Adımları'!$A$1:$A$400=B219)*('Kontrol Adımları'!$B$1:$B$400=C219),0),0)),"")</f>
        <v/>
      </c>
      <c r="E219" s="5" t="inlineStr">
        <is>
          <t>klima</t>
        </is>
      </c>
      <c r="F219" s="6">
        <f>IFERROR(INDEX('Kalem Kataloğu'!$C$1:$C$1000,MATCH(1,INDEX(('Kalem Kataloğu'!$A$1:$A$1000=A219)*('Kalem Kataloğu'!$B$1:$B$1000=E219),0),0)),"?")</f>
        <v/>
      </c>
      <c r="G219" s="6">
        <f>IFERROR(INDEX('Kalem Kataloğu'!$D$1:$D$1000,MATCH(1,INDEX(('Kalem Kataloğu'!$A$1:$A$1000=A219)*('Kalem Kataloğu'!$B$1:$B$1000=E219),0),0)),"?")</f>
        <v/>
      </c>
      <c r="H219" s="7" t="n">
        <v>1</v>
      </c>
      <c r="I219" s="7" t="inlineStr">
        <is>
          <t>Hayır</t>
        </is>
      </c>
      <c r="J219" s="5" t="inlineStr">
        <is>
          <t>Drive foto</t>
        </is>
      </c>
      <c r="K219" s="5" t="inlineStr">
        <is>
          <t xml:space="preserve"> [güven: high]</t>
        </is>
      </c>
    </row>
    <row r="220">
      <c r="A220" s="5" t="inlineStr">
        <is>
          <t>Tare Suites Urla</t>
        </is>
      </c>
      <c r="B220" s="5" t="inlineStr">
        <is>
          <t>DS</t>
        </is>
      </c>
      <c r="C220" s="7" t="n"/>
      <c r="D220" s="6">
        <f>IFERROR(INDEX('Kontrol Adımları'!$D:$D,MATCH(1,INDEX(('Kontrol Adımları'!$A$1:$A$400=B220)*('Kontrol Adımları'!$B$1:$B$400=C220),0),0)),"")</f>
        <v/>
      </c>
      <c r="E220" s="5" t="inlineStr">
        <is>
          <t>kettle</t>
        </is>
      </c>
      <c r="F220" s="6">
        <f>IFERROR(INDEX('Kalem Kataloğu'!$C$1:$C$1000,MATCH(1,INDEX(('Kalem Kataloğu'!$A$1:$A$1000=A220)*('Kalem Kataloğu'!$B$1:$B$1000=E220),0),0)),"?")</f>
        <v/>
      </c>
      <c r="G220" s="6">
        <f>IFERROR(INDEX('Kalem Kataloğu'!$D$1:$D$1000,MATCH(1,INDEX(('Kalem Kataloğu'!$A$1:$A$1000=A220)*('Kalem Kataloğu'!$B$1:$B$1000=E220),0),0)),"?")</f>
        <v/>
      </c>
      <c r="H220" s="7" t="n">
        <v>1</v>
      </c>
      <c r="I220" s="7" t="inlineStr">
        <is>
          <t>Hayır</t>
        </is>
      </c>
      <c r="J220" s="5" t="inlineStr">
        <is>
          <t>Drive foto</t>
        </is>
      </c>
      <c r="K220" s="5" t="inlineStr">
        <is>
          <t xml:space="preserve"> [güven: high]</t>
        </is>
      </c>
    </row>
    <row r="221" ht="26.4" customHeight="1">
      <c r="A221" s="5" t="inlineStr">
        <is>
          <t>Tare Suites Urla</t>
        </is>
      </c>
      <c r="B221" s="5" t="inlineStr">
        <is>
          <t>DS</t>
        </is>
      </c>
      <c r="C221" s="7" t="n"/>
      <c r="D221" s="6">
        <f>IFERROR(INDEX('Kontrol Adımları'!$D:$D,MATCH(1,INDEX(('Kontrol Adımları'!$A$1:$A$400=B221)*('Kontrol Adımları'!$B$1:$B$400=C221),0),0)),"")</f>
        <v/>
      </c>
      <c r="E221" s="5" t="inlineStr">
        <is>
          <t>terlik</t>
        </is>
      </c>
      <c r="F221" s="6">
        <f>IFERROR(INDEX('Kalem Kataloğu'!$C$1:$C$1000,MATCH(1,INDEX(('Kalem Kataloğu'!$A$1:$A$1000=A221)*('Kalem Kataloğu'!$B$1:$B$1000=E221),0),0)),"?")</f>
        <v/>
      </c>
      <c r="G221" s="6">
        <f>IFERROR(INDEX('Kalem Kataloğu'!$D$1:$D$1000,MATCH(1,INDEX(('Kalem Kataloğu'!$A$1:$A$1000=A221)*('Kalem Kataloğu'!$B$1:$B$1000=E221),0),0)),"?")</f>
        <v/>
      </c>
      <c r="H221" s="7" t="n">
        <v>2</v>
      </c>
      <c r="I221" s="7" t="inlineStr">
        <is>
          <t>Hayır</t>
        </is>
      </c>
      <c r="J221" s="5" t="inlineStr">
        <is>
          <t>Drive foto</t>
        </is>
      </c>
      <c r="K221" s="5" t="inlineStr">
        <is>
          <t>DS komodin rafında 1-2 çift görünüyor; standart adet teyit edilmeli [güven: low]</t>
        </is>
      </c>
    </row>
    <row r="222">
      <c r="A222" s="5" t="inlineStr">
        <is>
          <t>Tare Suites Urla</t>
        </is>
      </c>
      <c r="B222" s="5" t="inlineStr">
        <is>
          <t>DS</t>
        </is>
      </c>
      <c r="C222" s="7" t="n"/>
      <c r="D222" s="6">
        <f>IFERROR(INDEX('Kontrol Adımları'!$D:$D,MATCH(1,INDEX(('Kontrol Adımları'!$A$1:$A$400=B222)*('Kontrol Adımları'!$B$1:$B$400=C222),0),0)),"")</f>
        <v/>
      </c>
      <c r="E222" s="5" t="inlineStr">
        <is>
          <t>tuvalet_kagidi_aparati</t>
        </is>
      </c>
      <c r="F222" s="6">
        <f>IFERROR(INDEX('Kalem Kataloğu'!$C$1:$C$1000,MATCH(1,INDEX(('Kalem Kataloğu'!$A$1:$A$1000=A222)*('Kalem Kataloğu'!$B$1:$B$1000=E222),0),0)),"?")</f>
        <v/>
      </c>
      <c r="G222" s="6">
        <f>IFERROR(INDEX('Kalem Kataloğu'!$D$1:$D$1000,MATCH(1,INDEX(('Kalem Kataloğu'!$A$1:$A$1000=A222)*('Kalem Kataloğu'!$B$1:$B$1000=E222),0),0)),"?")</f>
        <v/>
      </c>
      <c r="H222" s="7" t="n">
        <v>1</v>
      </c>
      <c r="I222" s="7" t="inlineStr">
        <is>
          <t>Hayır</t>
        </is>
      </c>
      <c r="J222" s="5" t="inlineStr">
        <is>
          <t>Drive foto</t>
        </is>
      </c>
      <c r="K222" s="5" t="inlineStr">
        <is>
          <t xml:space="preserve"> [güven: high]</t>
        </is>
      </c>
    </row>
    <row r="223">
      <c r="A223" s="5" t="inlineStr">
        <is>
          <t>Tare Suites Urla</t>
        </is>
      </c>
      <c r="B223" s="5" t="inlineStr">
        <is>
          <t>DS</t>
        </is>
      </c>
      <c r="C223" s="7" t="n"/>
      <c r="D223" s="6">
        <f>IFERROR(INDEX('Kontrol Adımları'!$D:$D,MATCH(1,INDEX(('Kontrol Adımları'!$A$1:$A$400=B223)*('Kontrol Adımları'!$B$1:$B$400=C223),0),0)),"")</f>
        <v/>
      </c>
      <c r="E223" s="5" t="inlineStr">
        <is>
          <t>wc_fircasi</t>
        </is>
      </c>
      <c r="F223" s="6">
        <f>IFERROR(INDEX('Kalem Kataloğu'!$C$1:$C$1000,MATCH(1,INDEX(('Kalem Kataloğu'!$A$1:$A$1000=A223)*('Kalem Kataloğu'!$B$1:$B$1000=E223),0),0)),"?")</f>
        <v/>
      </c>
      <c r="G223" s="6">
        <f>IFERROR(INDEX('Kalem Kataloğu'!$D$1:$D$1000,MATCH(1,INDEX(('Kalem Kataloğu'!$A$1:$A$1000=A223)*('Kalem Kataloğu'!$B$1:$B$1000=E223),0),0)),"?")</f>
        <v/>
      </c>
      <c r="H223" s="7" t="n">
        <v>1</v>
      </c>
      <c r="I223" s="7" t="inlineStr">
        <is>
          <t>Hayır</t>
        </is>
      </c>
      <c r="J223" s="5" t="inlineStr">
        <is>
          <t>Drive foto</t>
        </is>
      </c>
      <c r="K223" s="5" t="inlineStr">
        <is>
          <t xml:space="preserve"> [güven: medium]</t>
        </is>
      </c>
    </row>
    <row r="224" ht="39.6" customHeight="1">
      <c r="A224" s="5" t="inlineStr">
        <is>
          <t>Tare Suites Urla</t>
        </is>
      </c>
      <c r="B224" s="5" t="inlineStr">
        <is>
          <t>DS</t>
        </is>
      </c>
      <c r="C224" s="7" t="n"/>
      <c r="D224" s="6">
        <f>IFERROR(INDEX('Kontrol Adımları'!$D:$D,MATCH(1,INDEX(('Kontrol Adımları'!$A$1:$A$400=B224)*('Kontrol Adımları'!$B$1:$B$400=C224),0),0)),"")</f>
        <v/>
      </c>
      <c r="E224" s="5" t="inlineStr">
        <is>
          <t>yastik</t>
        </is>
      </c>
      <c r="F224" s="6">
        <f>IFERROR(INDEX('Kalem Kataloğu'!$C$1:$C$1000,MATCH(1,INDEX(('Kalem Kataloğu'!$A$1:$A$1000=A224)*('Kalem Kataloğu'!$B$1:$B$1000=E224),0),0)),"?")</f>
        <v/>
      </c>
      <c r="G224" s="6">
        <f>IFERROR(INDEX('Kalem Kataloğu'!$D$1:$D$1000,MATCH(1,INDEX(('Kalem Kataloğu'!$A$1:$A$1000=A224)*('Kalem Kataloğu'!$B$1:$B$1000=E224),0),0)),"?")</f>
        <v/>
      </c>
      <c r="H224" s="7" t="n">
        <v>2</v>
      </c>
      <c r="I224" s="7" t="inlineStr">
        <is>
          <t>Hayır</t>
        </is>
      </c>
      <c r="J224" s="5" t="inlineStr">
        <is>
          <t>Drive foto</t>
        </is>
      </c>
      <c r="K224" s="5" t="inlineStr">
        <is>
          <t>Yatak başına görünen; EDR/EXSB/DFS 2+2 dizilmiş, DSSW/DS 2. Standart olarak teyit edilmeli [güven: medium]</t>
        </is>
      </c>
    </row>
    <row r="225" ht="26.4" customHeight="1">
      <c r="A225" s="5" t="inlineStr">
        <is>
          <t>Tare Suites Urla</t>
        </is>
      </c>
      <c r="B225" s="5" t="inlineStr">
        <is>
          <t>DS</t>
        </is>
      </c>
      <c r="C225" s="7" t="n"/>
      <c r="D225" s="6">
        <f>IFERROR(INDEX('Kontrol Adımları'!$D:$D,MATCH(1,INDEX(('Kontrol Adımları'!$A$1:$A$400=B225)*('Kontrol Adımları'!$B$1:$B$400=C225),0),0)),"")</f>
        <v/>
      </c>
      <c r="E225" s="5" t="inlineStr">
        <is>
          <t>masa_sandalye_seti</t>
        </is>
      </c>
      <c r="F225" s="6">
        <f>IFERROR(INDEX('Kalem Kataloğu'!$C$1:$C$1000,MATCH(1,INDEX(('Kalem Kataloğu'!$A$1:$A$1000=A225)*('Kalem Kataloğu'!$B$1:$B$1000=E225),0),0)),"?")</f>
        <v/>
      </c>
      <c r="G225" s="6">
        <f>IFERROR(INDEX('Kalem Kataloğu'!$D$1:$D$1000,MATCH(1,INDEX(('Kalem Kataloğu'!$A$1:$A$1000=A225)*('Kalem Kataloğu'!$B$1:$B$1000=E225),0),0)),"?")</f>
        <v/>
      </c>
      <c r="H225" s="7" t="n">
        <v>1</v>
      </c>
      <c r="I225" s="7" t="inlineStr">
        <is>
          <t>Hayır</t>
        </is>
      </c>
      <c r="J225" s="5" t="inlineStr">
        <is>
          <t>Drive foto</t>
        </is>
      </c>
      <c r="K225" s="5" t="inlineStr">
        <is>
          <t>EDR fotoğraflarında oturma grubu yok (özellik dosyasıyla uyumlu) [güven: high]</t>
        </is>
      </c>
    </row>
    <row r="226" ht="26.4" customHeight="1">
      <c r="A226" s="5" t="inlineStr">
        <is>
          <t>Tare Suites Urla</t>
        </is>
      </c>
      <c r="B226" s="5" t="inlineStr">
        <is>
          <t>DS</t>
        </is>
      </c>
      <c r="C226" s="7" t="n"/>
      <c r="D226" s="6">
        <f>IFERROR(INDEX('Kontrol Adımları'!$D:$D,MATCH(1,INDEX(('Kontrol Adımları'!$A$1:$A$400=B226)*('Kontrol Adımları'!$B$1:$B$400=C226),0),0)),"")</f>
        <v/>
      </c>
      <c r="E226" s="5" t="inlineStr">
        <is>
          <t>cift_kisilik_yatak</t>
        </is>
      </c>
      <c r="F226" s="6">
        <f>IFERROR(INDEX('Kalem Kataloğu'!$C$1:$C$1000,MATCH(1,INDEX(('Kalem Kataloğu'!$A$1:$A$1000=A226)*('Kalem Kataloğu'!$B$1:$B$1000=E226),0),0)),"?")</f>
        <v/>
      </c>
      <c r="G226" s="6">
        <f>IFERROR(INDEX('Kalem Kataloğu'!$D$1:$D$1000,MATCH(1,INDEX(('Kalem Kataloğu'!$A$1:$A$1000=A226)*('Kalem Kataloğu'!$B$1:$B$1000=E226),0),0)),"?")</f>
        <v/>
      </c>
      <c r="H226" s="7" t="n">
        <v>1</v>
      </c>
      <c r="I226" s="7" t="inlineStr">
        <is>
          <t>Hayır</t>
        </is>
      </c>
      <c r="J226" s="5" t="inlineStr">
        <is>
          <t>Drive foto</t>
        </is>
      </c>
      <c r="K226" s="5" t="inlineStr">
        <is>
          <t>DFS dubleks: üst katta (asma kat) ek yatak alanı olabilir, fotoğrafta net değil [güven: high]</t>
        </is>
      </c>
    </row>
    <row r="227">
      <c r="A227" s="5" t="inlineStr">
        <is>
          <t>Tare Suites Urla</t>
        </is>
      </c>
      <c r="B227" s="5" t="inlineStr">
        <is>
          <t>DSSW</t>
        </is>
      </c>
      <c r="C227" s="7" t="n"/>
      <c r="D227" s="6">
        <f>IFERROR(INDEX('Kontrol Adımları'!$D:$D,MATCH(1,INDEX(('Kontrol Adımları'!$A$1:$A$400=B227)*('Kontrol Adımları'!$B$1:$B$400=C227),0),0)),"")</f>
        <v/>
      </c>
      <c r="E227" s="5" t="inlineStr">
        <is>
          <t>asma_klozet</t>
        </is>
      </c>
      <c r="F227" s="6">
        <f>IFERROR(INDEX('Kalem Kataloğu'!$C$1:$C$1000,MATCH(1,INDEX(('Kalem Kataloğu'!$A$1:$A$1000=A227)*('Kalem Kataloğu'!$B$1:$B$1000=E227),0),0)),"?")</f>
        <v/>
      </c>
      <c r="G227" s="6">
        <f>IFERROR(INDEX('Kalem Kataloğu'!$D$1:$D$1000,MATCH(1,INDEX(('Kalem Kataloğu'!$A$1:$A$1000=A227)*('Kalem Kataloğu'!$B$1:$B$1000=E227),0),0)),"?")</f>
        <v/>
      </c>
      <c r="H227" s="7" t="n">
        <v>1</v>
      </c>
      <c r="I227" s="7" t="inlineStr">
        <is>
          <t>Hayır</t>
        </is>
      </c>
      <c r="J227" s="5" t="inlineStr">
        <is>
          <t>Drive foto</t>
        </is>
      </c>
      <c r="K227" s="5" t="inlineStr">
        <is>
          <t xml:space="preserve"> [güven: high]</t>
        </is>
      </c>
    </row>
    <row r="228">
      <c r="A228" s="5" t="inlineStr">
        <is>
          <t>Tare Suites Urla</t>
        </is>
      </c>
      <c r="B228" s="5" t="inlineStr">
        <is>
          <t>DSSW</t>
        </is>
      </c>
      <c r="C228" s="7" t="n"/>
      <c r="D228" s="6">
        <f>IFERROR(INDEX('Kontrol Adımları'!$D:$D,MATCH(1,INDEX(('Kontrol Adımları'!$A$1:$A$400=B228)*('Kontrol Adımları'!$B$1:$B$400=C228),0),0)),"")</f>
        <v/>
      </c>
      <c r="E228" s="5" t="inlineStr">
        <is>
          <t>ikram_tepsisi</t>
        </is>
      </c>
      <c r="F228" s="6">
        <f>IFERROR(INDEX('Kalem Kataloğu'!$C$1:$C$1000,MATCH(1,INDEX(('Kalem Kataloğu'!$A$1:$A$1000=A228)*('Kalem Kataloğu'!$B$1:$B$1000=E228),0),0)),"?")</f>
        <v/>
      </c>
      <c r="G228" s="6">
        <f>IFERROR(INDEX('Kalem Kataloğu'!$D$1:$D$1000,MATCH(1,INDEX(('Kalem Kataloğu'!$A$1:$A$1000=A228)*('Kalem Kataloğu'!$B$1:$B$1000=E228),0),0)),"?")</f>
        <v/>
      </c>
      <c r="H228" s="7" t="n">
        <v>1</v>
      </c>
      <c r="I228" s="7" t="inlineStr">
        <is>
          <t>Hayır</t>
        </is>
      </c>
      <c r="J228" s="5" t="inlineStr">
        <is>
          <t>Drive foto</t>
        </is>
      </c>
      <c r="K228" s="5" t="inlineStr">
        <is>
          <t>İçeriği ikram_tepsisi listesinde [güven: high]</t>
        </is>
      </c>
    </row>
    <row r="229" ht="26.4" customHeight="1">
      <c r="A229" s="5" t="inlineStr">
        <is>
          <t>Tare Suites Urla</t>
        </is>
      </c>
      <c r="B229" s="5" t="inlineStr">
        <is>
          <t>DSSW</t>
        </is>
      </c>
      <c r="C229" s="7" t="n"/>
      <c r="D229" s="6">
        <f>IFERROR(INDEX('Kontrol Adımları'!$D:$D,MATCH(1,INDEX(('Kontrol Adımları'!$A$1:$A$400=B229)*('Kontrol Adımları'!$B$1:$B$400=C229),0),0)),"")</f>
        <v/>
      </c>
      <c r="E229" s="5" t="inlineStr">
        <is>
          <t>banyo_aynasi</t>
        </is>
      </c>
      <c r="F229" s="6">
        <f>IFERROR(INDEX('Kalem Kataloğu'!$C$1:$C$1000,MATCH(1,INDEX(('Kalem Kataloğu'!$A$1:$A$1000=A229)*('Kalem Kataloğu'!$B$1:$B$1000=E229),0),0)),"?")</f>
        <v/>
      </c>
      <c r="G229" s="6">
        <f>IFERROR(INDEX('Kalem Kataloğu'!$D$1:$D$1000,MATCH(1,INDEX(('Kalem Kataloğu'!$A$1:$A$1000=A229)*('Kalem Kataloğu'!$B$1:$B$1000=E229),0),0)),"?")</f>
        <v/>
      </c>
      <c r="H229" s="7" t="n">
        <v>1</v>
      </c>
      <c r="I229" s="7" t="inlineStr">
        <is>
          <t>Hayır</t>
        </is>
      </c>
      <c r="J229" s="5" t="inlineStr">
        <is>
          <t>Drive foto</t>
        </is>
      </c>
      <c r="K229" s="5" t="inlineStr">
        <is>
          <t>DSSW yuvarlak hasır çerçeveli; diğerleri ahşap çerçeveli dikdörtgen [güven: high]</t>
        </is>
      </c>
    </row>
    <row r="230" ht="26.4" customHeight="1">
      <c r="A230" s="5" t="inlineStr">
        <is>
          <t>Tare Suites Urla</t>
        </is>
      </c>
      <c r="B230" s="5" t="inlineStr">
        <is>
          <t>DSSW</t>
        </is>
      </c>
      <c r="C230" s="7" t="n"/>
      <c r="D230" s="6">
        <f>IFERROR(INDEX('Kontrol Adımları'!$D:$D,MATCH(1,INDEX(('Kontrol Adımları'!$A$1:$A$400=B230)*('Kontrol Adımları'!$B$1:$B$400=C230),0),0)),"")</f>
        <v/>
      </c>
      <c r="E230" s="5" t="inlineStr">
        <is>
          <t>duman_dedektoru</t>
        </is>
      </c>
      <c r="F230" s="6">
        <f>IFERROR(INDEX('Kalem Kataloğu'!$C$1:$C$1000,MATCH(1,INDEX(('Kalem Kataloğu'!$A$1:$A$1000=A230)*('Kalem Kataloğu'!$B$1:$B$1000=E230),0),0)),"?")</f>
        <v/>
      </c>
      <c r="G230" s="6">
        <f>IFERROR(INDEX('Kalem Kataloğu'!$D$1:$D$1000,MATCH(1,INDEX(('Kalem Kataloğu'!$A$1:$A$1000=A230)*('Kalem Kataloğu'!$B$1:$B$1000=E230),0),0)),"?")</f>
        <v/>
      </c>
      <c r="H230" s="7" t="n">
        <v>1</v>
      </c>
      <c r="I230" s="7" t="inlineStr">
        <is>
          <t>Hayır</t>
        </is>
      </c>
      <c r="J230" s="5" t="inlineStr">
        <is>
          <t>Drive foto</t>
        </is>
      </c>
      <c r="K230" s="5" t="inlineStr">
        <is>
          <t>Tavanda; özellik dosyasında tüm tiplerde var [güven: medium]</t>
        </is>
      </c>
    </row>
    <row r="231">
      <c r="A231" s="5" t="inlineStr">
        <is>
          <t>Tare Suites Urla</t>
        </is>
      </c>
      <c r="B231" s="5" t="inlineStr">
        <is>
          <t>DSSW</t>
        </is>
      </c>
      <c r="C231" s="7" t="n"/>
      <c r="D231" s="6">
        <f>IFERROR(INDEX('Kontrol Adımları'!$D:$D,MATCH(1,INDEX(('Kontrol Adımları'!$A$1:$A$400=B231)*('Kontrol Adımları'!$B$1:$B$400=C231),0),0)),"")</f>
        <v/>
      </c>
      <c r="E231" s="5" t="inlineStr">
        <is>
          <t>aplik</t>
        </is>
      </c>
      <c r="F231" s="6">
        <f>IFERROR(INDEX('Kalem Kataloğu'!$C$1:$C$1000,MATCH(1,INDEX(('Kalem Kataloğu'!$A$1:$A$1000=A231)*('Kalem Kataloğu'!$B$1:$B$1000=E231),0),0)),"?")</f>
        <v/>
      </c>
      <c r="G231" s="6">
        <f>IFERROR(INDEX('Kalem Kataloğu'!$D$1:$D$1000,MATCH(1,INDEX(('Kalem Kataloğu'!$A$1:$A$1000=A231)*('Kalem Kataloğu'!$B$1:$B$1000=E231),0),0)),"?")</f>
        <v/>
      </c>
      <c r="H231" s="7" t="n">
        <v>2</v>
      </c>
      <c r="I231" s="7" t="inlineStr">
        <is>
          <t>Hayır</t>
        </is>
      </c>
      <c r="J231" s="5" t="inlineStr">
        <is>
          <t>Drive foto</t>
        </is>
      </c>
      <c r="K231" s="5" t="inlineStr">
        <is>
          <t>Yatak başı iki yanda [güven: medium]</t>
        </is>
      </c>
    </row>
    <row r="232">
      <c r="A232" s="5" t="inlineStr">
        <is>
          <t>Tare Suites Urla</t>
        </is>
      </c>
      <c r="B232" s="5" t="inlineStr">
        <is>
          <t>DSSW</t>
        </is>
      </c>
      <c r="C232" s="7" t="n"/>
      <c r="D232" s="6">
        <f>IFERROR(INDEX('Kontrol Adımları'!$D:$D,MATCH(1,INDEX(('Kontrol Adımları'!$A$1:$A$400=B232)*('Kontrol Adımları'!$B$1:$B$400=C232),0),0)),"")</f>
        <v/>
      </c>
      <c r="E232" s="5" t="inlineStr">
        <is>
          <t>havlu_rafi</t>
        </is>
      </c>
      <c r="F232" s="6">
        <f>IFERROR(INDEX('Kalem Kataloğu'!$C$1:$C$1000,MATCH(1,INDEX(('Kalem Kataloğu'!$A$1:$A$1000=A232)*('Kalem Kataloğu'!$B$1:$B$1000=E232),0),0)),"?")</f>
        <v/>
      </c>
      <c r="G232" s="6">
        <f>IFERROR(INDEX('Kalem Kataloğu'!$D$1:$D$1000,MATCH(1,INDEX(('Kalem Kataloğu'!$A$1:$A$1000=A232)*('Kalem Kataloğu'!$B$1:$B$1000=E232),0),0)),"?")</f>
        <v/>
      </c>
      <c r="H232" s="7" t="n">
        <v>1</v>
      </c>
      <c r="I232" s="7" t="inlineStr">
        <is>
          <t>Hayır</t>
        </is>
      </c>
      <c r="J232" s="5" t="inlineStr">
        <is>
          <t>Drive foto</t>
        </is>
      </c>
      <c r="K232" s="5" t="inlineStr">
        <is>
          <t xml:space="preserve"> [güven: high]</t>
        </is>
      </c>
    </row>
    <row r="233">
      <c r="A233" s="5" t="inlineStr">
        <is>
          <t>Tare Suites Urla</t>
        </is>
      </c>
      <c r="B233" s="5" t="inlineStr">
        <is>
          <t>DSSW</t>
        </is>
      </c>
      <c r="C233" s="7" t="n"/>
      <c r="D233" s="6">
        <f>IFERROR(INDEX('Kontrol Adımları'!$D:$D,MATCH(1,INDEX(('Kontrol Adımları'!$A$1:$A$400=B233)*('Kontrol Adımları'!$B$1:$B$400=C233),0),0)),"")</f>
        <v/>
      </c>
      <c r="E233" s="5" t="inlineStr">
        <is>
          <t>tablo</t>
        </is>
      </c>
      <c r="F233" s="6">
        <f>IFERROR(INDEX('Kalem Kataloğu'!$C$1:$C$1000,MATCH(1,INDEX(('Kalem Kataloğu'!$A$1:$A$1000=A233)*('Kalem Kataloğu'!$B$1:$B$1000=E233),0),0)),"?")</f>
        <v/>
      </c>
      <c r="G233" s="6">
        <f>IFERROR(INDEX('Kalem Kataloğu'!$D$1:$D$1000,MATCH(1,INDEX(('Kalem Kataloğu'!$A$1:$A$1000=A233)*('Kalem Kataloğu'!$B$1:$B$1000=E233),0),0)),"?")</f>
        <v/>
      </c>
      <c r="H233" s="7" t="n">
        <v>1</v>
      </c>
      <c r="I233" s="7" t="inlineStr">
        <is>
          <t>Hayır</t>
        </is>
      </c>
      <c r="J233" s="5" t="inlineStr">
        <is>
          <t>Drive foto</t>
        </is>
      </c>
      <c r="K233" s="5" t="inlineStr">
        <is>
          <t xml:space="preserve"> [güven: high]</t>
        </is>
      </c>
    </row>
    <row r="234">
      <c r="A234" s="5" t="inlineStr">
        <is>
          <t>Tare Suites Urla</t>
        </is>
      </c>
      <c r="B234" s="5" t="inlineStr">
        <is>
          <t>DSSW</t>
        </is>
      </c>
      <c r="C234" s="7" t="n"/>
      <c r="D234" s="6">
        <f>IFERROR(INDEX('Kontrol Adımları'!$D:$D,MATCH(1,INDEX(('Kontrol Adımları'!$A$1:$A$400=B234)*('Kontrol Adımları'!$B$1:$B$400=C234),0),0)),"")</f>
        <v/>
      </c>
      <c r="E234" s="5" t="inlineStr">
        <is>
          <t>duvar_tv</t>
        </is>
      </c>
      <c r="F234" s="6">
        <f>IFERROR(INDEX('Kalem Kataloğu'!$C$1:$C$1000,MATCH(1,INDEX(('Kalem Kataloğu'!$A$1:$A$1000=A234)*('Kalem Kataloğu'!$B$1:$B$1000=E234),0),0)),"?")</f>
        <v/>
      </c>
      <c r="G234" s="6">
        <f>IFERROR(INDEX('Kalem Kataloğu'!$D$1:$D$1000,MATCH(1,INDEX(('Kalem Kataloğu'!$A$1:$A$1000=A234)*('Kalem Kataloğu'!$B$1:$B$1000=E234),0),0)),"?")</f>
        <v/>
      </c>
      <c r="H234" s="7" t="n">
        <v>1</v>
      </c>
      <c r="I234" s="7" t="inlineStr">
        <is>
          <t>Hayır</t>
        </is>
      </c>
      <c r="J234" s="5" t="inlineStr">
        <is>
          <t>Drive foto</t>
        </is>
      </c>
      <c r="K234" s="5" t="inlineStr">
        <is>
          <t xml:space="preserve"> [güven: high]</t>
        </is>
      </c>
    </row>
    <row r="235" ht="39.6" customHeight="1">
      <c r="A235" s="5" t="inlineStr">
        <is>
          <t>Tare Suites Urla</t>
        </is>
      </c>
      <c r="B235" s="5" t="inlineStr">
        <is>
          <t>DSSW</t>
        </is>
      </c>
      <c r="C235" s="7" t="n"/>
      <c r="D235" s="6">
        <f>IFERROR(INDEX('Kontrol Adımları'!$D:$D,MATCH(1,INDEX(('Kontrol Adımları'!$A$1:$A$400=B235)*('Kontrol Adımları'!$B$1:$B$400=C235),0),0)),"")</f>
        <v/>
      </c>
      <c r="E235" s="5" t="inlineStr">
        <is>
          <t>sivi_sabun_dispenser</t>
        </is>
      </c>
      <c r="F235" s="6">
        <f>IFERROR(INDEX('Kalem Kataloğu'!$C$1:$C$1000,MATCH(1,INDEX(('Kalem Kataloğu'!$A$1:$A$1000=A235)*('Kalem Kataloğu'!$B$1:$B$1000=E235),0),0)),"?")</f>
        <v/>
      </c>
      <c r="G235" s="6">
        <f>IFERROR(INDEX('Kalem Kataloğu'!$D$1:$D$1000,MATCH(1,INDEX(('Kalem Kataloğu'!$A$1:$A$1000=A235)*('Kalem Kataloğu'!$B$1:$B$1000=E235),0),0)),"?")</f>
        <v/>
      </c>
      <c r="H235" s="7" t="n"/>
      <c r="I235" s="7" t="inlineStr">
        <is>
          <t>Hayır</t>
        </is>
      </c>
      <c r="J235" s="5" t="inlineStr">
        <is>
          <t>Drive foto</t>
        </is>
      </c>
      <c r="K235" s="5" t="inlineStr">
        <is>
          <t>DS fotoğraflarında 1 adet görünüyor (sabun); şampuan/duş jeli dispenserleri duş içinde olabilir [güven: medium]</t>
        </is>
      </c>
    </row>
    <row r="236">
      <c r="A236" s="5" t="inlineStr">
        <is>
          <t>Tare Suites Urla</t>
        </is>
      </c>
      <c r="B236" s="5" t="inlineStr">
        <is>
          <t>DSSW</t>
        </is>
      </c>
      <c r="C236" s="7" t="n"/>
      <c r="D236" s="6">
        <f>IFERROR(INDEX('Kontrol Adımları'!$D:$D,MATCH(1,INDEX(('Kontrol Adımları'!$A$1:$A$400=B236)*('Kontrol Adımları'!$B$1:$B$400=C236),0),0)),"")</f>
        <v/>
      </c>
      <c r="E236" s="5" t="inlineStr">
        <is>
          <t>dus_rafi</t>
        </is>
      </c>
      <c r="F236" s="6">
        <f>IFERROR(INDEX('Kalem Kataloğu'!$C$1:$C$1000,MATCH(1,INDEX(('Kalem Kataloğu'!$A$1:$A$1000=A236)*('Kalem Kataloğu'!$B$1:$B$1000=E236),0),0)),"?")</f>
        <v/>
      </c>
      <c r="G236" s="6">
        <f>IFERROR(INDEX('Kalem Kataloğu'!$D$1:$D$1000,MATCH(1,INDEX(('Kalem Kataloğu'!$A$1:$A$1000=A236)*('Kalem Kataloğu'!$B$1:$B$1000=E236),0),0)),"?")</f>
        <v/>
      </c>
      <c r="H236" s="7" t="n">
        <v>1</v>
      </c>
      <c r="I236" s="7" t="inlineStr">
        <is>
          <t>Hayır</t>
        </is>
      </c>
      <c r="J236" s="5" t="inlineStr">
        <is>
          <t>Drive foto</t>
        </is>
      </c>
      <c r="K236" s="5" t="inlineStr">
        <is>
          <t xml:space="preserve"> [güven: medium]</t>
        </is>
      </c>
    </row>
    <row r="237">
      <c r="A237" s="5" t="inlineStr">
        <is>
          <t>Tare Suites Urla</t>
        </is>
      </c>
      <c r="B237" s="5" t="inlineStr">
        <is>
          <t>DSSW</t>
        </is>
      </c>
      <c r="C237" s="7" t="n"/>
      <c r="D237" s="6">
        <f>IFERROR(INDEX('Kontrol Adımları'!$D:$D,MATCH(1,INDEX(('Kontrol Adımları'!$A$1:$A$400=B237)*('Kontrol Adımları'!$B$1:$B$400=C237),0),0)),"")</f>
        <v/>
      </c>
      <c r="E237" s="5" t="inlineStr">
        <is>
          <t>dus_kabini</t>
        </is>
      </c>
      <c r="F237" s="6">
        <f>IFERROR(INDEX('Kalem Kataloğu'!$C$1:$C$1000,MATCH(1,INDEX(('Kalem Kataloğu'!$A$1:$A$1000=A237)*('Kalem Kataloğu'!$B$1:$B$1000=E237),0),0)),"?")</f>
        <v/>
      </c>
      <c r="G237" s="6">
        <f>IFERROR(INDEX('Kalem Kataloğu'!$D$1:$D$1000,MATCH(1,INDEX(('Kalem Kataloğu'!$A$1:$A$1000=A237)*('Kalem Kataloğu'!$B$1:$B$1000=E237),0),0)),"?")</f>
        <v/>
      </c>
      <c r="H237" s="7" t="n">
        <v>1</v>
      </c>
      <c r="I237" s="7" t="inlineStr">
        <is>
          <t>Hayır</t>
        </is>
      </c>
      <c r="J237" s="5" t="inlineStr">
        <is>
          <t>Drive foto</t>
        </is>
      </c>
      <c r="K237" s="5" t="inlineStr">
        <is>
          <t xml:space="preserve"> [güven: high]</t>
        </is>
      </c>
    </row>
    <row r="238" ht="26.4" customHeight="1">
      <c r="A238" s="5" t="inlineStr">
        <is>
          <t>Tare Suites Urla</t>
        </is>
      </c>
      <c r="B238" s="5" t="inlineStr">
        <is>
          <t>DSSW</t>
        </is>
      </c>
      <c r="C238" s="7" t="n"/>
      <c r="D238" s="6">
        <f>IFERROR(INDEX('Kontrol Adımları'!$D:$D,MATCH(1,INDEX(('Kontrol Adımları'!$A$1:$A$400=B238)*('Kontrol Adımları'!$B$1:$B$400=C238),0),0)),"")</f>
        <v/>
      </c>
      <c r="E238" s="5" t="inlineStr">
        <is>
          <t>gardirop</t>
        </is>
      </c>
      <c r="F238" s="6">
        <f>IFERROR(INDEX('Kalem Kataloğu'!$C$1:$C$1000,MATCH(1,INDEX(('Kalem Kataloğu'!$A$1:$A$1000=A238)*('Kalem Kataloğu'!$B$1:$B$1000=E238),0),0)),"?")</f>
        <v/>
      </c>
      <c r="G238" s="6">
        <f>IFERROR(INDEX('Kalem Kataloğu'!$D$1:$D$1000,MATCH(1,INDEX(('Kalem Kataloğu'!$A$1:$A$1000=A238)*('Kalem Kataloğu'!$B$1:$B$1000=E238),0),0)),"?")</f>
        <v/>
      </c>
      <c r="H238" s="7" t="n"/>
      <c r="I238" s="7" t="inlineStr">
        <is>
          <t>Hayır</t>
        </is>
      </c>
      <c r="J238" s="5" t="inlineStr">
        <is>
          <t>Drive foto</t>
        </is>
      </c>
      <c r="K238" s="5" t="inlineStr">
        <is>
          <t>Özellik dosyasında tüm tiplerde var; yalnız EXSB fotoğrafında görünüyor [güven: medium]</t>
        </is>
      </c>
    </row>
    <row r="239" ht="26.4" customHeight="1">
      <c r="A239" s="5" t="inlineStr">
        <is>
          <t>Tare Suites Urla</t>
        </is>
      </c>
      <c r="B239" s="5" t="inlineStr">
        <is>
          <t>DSSW</t>
        </is>
      </c>
      <c r="C239" s="7" t="n"/>
      <c r="D239" s="6">
        <f>IFERROR(INDEX('Kontrol Adımları'!$D:$D,MATCH(1,INDEX(('Kontrol Adımları'!$A$1:$A$400=B239)*('Kontrol Adımları'!$B$1:$B$400=C239),0),0)),"")</f>
        <v/>
      </c>
      <c r="E239" s="5" t="inlineStr">
        <is>
          <t>komodin</t>
        </is>
      </c>
      <c r="F239" s="6">
        <f>IFERROR(INDEX('Kalem Kataloğu'!$C$1:$C$1000,MATCH(1,INDEX(('Kalem Kataloğu'!$A$1:$A$1000=A239)*('Kalem Kataloğu'!$B$1:$B$1000=E239),0),0)),"?")</f>
        <v/>
      </c>
      <c r="G239" s="6">
        <f>IFERROR(INDEX('Kalem Kataloğu'!$D$1:$D$1000,MATCH(1,INDEX(('Kalem Kataloğu'!$A$1:$A$1000=A239)*('Kalem Kataloğu'!$B$1:$B$1000=E239),0),0)),"?")</f>
        <v/>
      </c>
      <c r="H239" s="7" t="n">
        <v>1</v>
      </c>
      <c r="I239" s="7" t="inlineStr">
        <is>
          <t>Hayır</t>
        </is>
      </c>
      <c r="J239" s="5" t="inlineStr">
        <is>
          <t>Drive foto</t>
        </is>
      </c>
      <c r="K239" s="5" t="inlineStr">
        <is>
          <t>DSSW fotoğrafında yalnız bir yan görünüyor; muhtemelen 2 [güven: medium]</t>
        </is>
      </c>
    </row>
    <row r="240" ht="26.4" customHeight="1">
      <c r="A240" s="5" t="inlineStr">
        <is>
          <t>Tare Suites Urla</t>
        </is>
      </c>
      <c r="B240" s="5" t="inlineStr">
        <is>
          <t>DSSW</t>
        </is>
      </c>
      <c r="C240" s="7" t="n"/>
      <c r="D240" s="6">
        <f>IFERROR(INDEX('Kontrol Adımları'!$D:$D,MATCH(1,INDEX(('Kontrol Adımları'!$A$1:$A$400=B240)*('Kontrol Adımları'!$B$1:$B$400=C240),0),0)),"")</f>
        <v/>
      </c>
      <c r="E240" s="5" t="inlineStr">
        <is>
          <t>calisma_masasi_ayna</t>
        </is>
      </c>
      <c r="F240" s="6">
        <f>IFERROR(INDEX('Kalem Kataloğu'!$C$1:$C$1000,MATCH(1,INDEX(('Kalem Kataloğu'!$A$1:$A$1000=A240)*('Kalem Kataloğu'!$B$1:$B$1000=E240),0),0)),"?")</f>
        <v/>
      </c>
      <c r="G240" s="6">
        <f>IFERROR(INDEX('Kalem Kataloğu'!$D$1:$D$1000,MATCH(1,INDEX(('Kalem Kataloğu'!$A$1:$A$1000=A240)*('Kalem Kataloğu'!$B$1:$B$1000=E240),0),0)),"?")</f>
        <v/>
      </c>
      <c r="H240" s="7" t="n">
        <v>1</v>
      </c>
      <c r="I240" s="7" t="inlineStr">
        <is>
          <t>Hayır</t>
        </is>
      </c>
      <c r="J240" s="5" t="inlineStr">
        <is>
          <t>Drive foto</t>
        </is>
      </c>
      <c r="K240" s="5" t="inlineStr">
        <is>
          <t xml:space="preserve"> [güven: high]</t>
        </is>
      </c>
    </row>
    <row r="241">
      <c r="A241" s="5" t="inlineStr">
        <is>
          <t>Tare Suites Urla</t>
        </is>
      </c>
      <c r="B241" s="5" t="inlineStr">
        <is>
          <t>DSSW</t>
        </is>
      </c>
      <c r="C241" s="7" t="n"/>
      <c r="D241" s="6">
        <f>IFERROR(INDEX('Kontrol Adımları'!$D:$D,MATCH(1,INDEX(('Kontrol Adımları'!$A$1:$A$400=B241)*('Kontrol Adımları'!$B$1:$B$400=C241),0),0)),"")</f>
        <v/>
      </c>
      <c r="E241" s="5" t="inlineStr">
        <is>
          <t>lavabo_dolabi</t>
        </is>
      </c>
      <c r="F241" s="6">
        <f>IFERROR(INDEX('Kalem Kataloğu'!$C$1:$C$1000,MATCH(1,INDEX(('Kalem Kataloğu'!$A$1:$A$1000=A241)*('Kalem Kataloğu'!$B$1:$B$1000=E241),0),0)),"?")</f>
        <v/>
      </c>
      <c r="G241" s="6">
        <f>IFERROR(INDEX('Kalem Kataloğu'!$D$1:$D$1000,MATCH(1,INDEX(('Kalem Kataloğu'!$A$1:$A$1000=A241)*('Kalem Kataloğu'!$B$1:$B$1000=E241),0),0)),"?")</f>
        <v/>
      </c>
      <c r="H241" s="7" t="n">
        <v>1</v>
      </c>
      <c r="I241" s="7" t="inlineStr">
        <is>
          <t>Hayır</t>
        </is>
      </c>
      <c r="J241" s="5" t="inlineStr">
        <is>
          <t>Drive foto</t>
        </is>
      </c>
      <c r="K241" s="5" t="inlineStr">
        <is>
          <t xml:space="preserve"> [güven: high]</t>
        </is>
      </c>
    </row>
    <row r="242" ht="39.6" customHeight="1">
      <c r="A242" s="5" t="inlineStr">
        <is>
          <t>Tare Suites Urla</t>
        </is>
      </c>
      <c r="B242" s="5" t="inlineStr">
        <is>
          <t>DSSW</t>
        </is>
      </c>
      <c r="C242" s="7" t="n"/>
      <c r="D242" s="6">
        <f>IFERROR(INDEX('Kontrol Adımları'!$D:$D,MATCH(1,INDEX(('Kontrol Adımları'!$A$1:$A$400=B242)*('Kontrol Adımları'!$B$1:$B$400=C242),0),0)),"")</f>
        <v/>
      </c>
      <c r="E242" s="5" t="inlineStr">
        <is>
          <t>mini_buzdolabi</t>
        </is>
      </c>
      <c r="F242" s="6">
        <f>IFERROR(INDEX('Kalem Kataloğu'!$C$1:$C$1000,MATCH(1,INDEX(('Kalem Kataloğu'!$A$1:$A$1000=A242)*('Kalem Kataloğu'!$B$1:$B$1000=E242),0),0)),"?")</f>
        <v/>
      </c>
      <c r="G242" s="6">
        <f>IFERROR(INDEX('Kalem Kataloğu'!$D$1:$D$1000,MATCH(1,INDEX(('Kalem Kataloğu'!$A$1:$A$1000=A242)*('Kalem Kataloğu'!$B$1:$B$1000=E242),0),0)),"?")</f>
        <v/>
      </c>
      <c r="H242" s="7" t="n">
        <v>1</v>
      </c>
      <c r="I242" s="7" t="inlineStr">
        <is>
          <t>Hayır</t>
        </is>
      </c>
      <c r="J242" s="5" t="inlineStr">
        <is>
          <t>Drive foto</t>
        </is>
      </c>
      <c r="K242" s="5" t="inlineStr">
        <is>
          <t>Özellik dosyasında Urla Suites için Buzdolabı "-" ama fotoğraflarda masa altında mini buzdolabı var — teyit [güven: high]</t>
        </is>
      </c>
    </row>
    <row r="243">
      <c r="A243" s="5" t="inlineStr">
        <is>
          <t>Tare Suites Urla</t>
        </is>
      </c>
      <c r="B243" s="5" t="inlineStr">
        <is>
          <t>DSSW</t>
        </is>
      </c>
      <c r="C243" s="7" t="n"/>
      <c r="D243" s="6">
        <f>IFERROR(INDEX('Kontrol Adımları'!$D:$D,MATCH(1,INDEX(('Kontrol Adımları'!$A$1:$A$400=B243)*('Kontrol Adımları'!$B$1:$B$400=C243),0),0)),"")</f>
        <v/>
      </c>
      <c r="E243" s="5" t="inlineStr">
        <is>
          <t>banyo_cop_kovasi</t>
        </is>
      </c>
      <c r="F243" s="6">
        <f>IFERROR(INDEX('Kalem Kataloğu'!$C$1:$C$1000,MATCH(1,INDEX(('Kalem Kataloğu'!$A$1:$A$1000=A243)*('Kalem Kataloğu'!$B$1:$B$1000=E243),0),0)),"?")</f>
        <v/>
      </c>
      <c r="G243" s="6">
        <f>IFERROR(INDEX('Kalem Kataloğu'!$D$1:$D$1000,MATCH(1,INDEX(('Kalem Kataloğu'!$A$1:$A$1000=A243)*('Kalem Kataloğu'!$B$1:$B$1000=E243),0),0)),"?")</f>
        <v/>
      </c>
      <c r="H243" s="7" t="n"/>
      <c r="I243" s="7" t="inlineStr">
        <is>
          <t>Hayır</t>
        </is>
      </c>
      <c r="J243" s="5" t="inlineStr">
        <is>
          <t>Drive foto</t>
        </is>
      </c>
      <c r="K243" s="5" t="inlineStr">
        <is>
          <t xml:space="preserve"> [güven: medium]</t>
        </is>
      </c>
    </row>
    <row r="244">
      <c r="A244" s="5" t="inlineStr">
        <is>
          <t>Tare Suites Urla</t>
        </is>
      </c>
      <c r="B244" s="5" t="inlineStr">
        <is>
          <t>DSSW</t>
        </is>
      </c>
      <c r="C244" s="7" t="n"/>
      <c r="D244" s="6">
        <f>IFERROR(INDEX('Kontrol Adımları'!$D:$D,MATCH(1,INDEX(('Kontrol Adımları'!$A$1:$A$400=B244)*('Kontrol Adımları'!$B$1:$B$400=C244),0),0)),"")</f>
        <v/>
      </c>
      <c r="E244" s="5" t="inlineStr">
        <is>
          <t>sandalye</t>
        </is>
      </c>
      <c r="F244" s="6">
        <f>IFERROR(INDEX('Kalem Kataloğu'!$C$1:$C$1000,MATCH(1,INDEX(('Kalem Kataloğu'!$A$1:$A$1000=A244)*('Kalem Kataloğu'!$B$1:$B$1000=E244),0),0)),"?")</f>
        <v/>
      </c>
      <c r="G244" s="6">
        <f>IFERROR(INDEX('Kalem Kataloğu'!$D$1:$D$1000,MATCH(1,INDEX(('Kalem Kataloğu'!$A$1:$A$1000=A244)*('Kalem Kataloğu'!$B$1:$B$1000=E244),0),0)),"?")</f>
        <v/>
      </c>
      <c r="H244" s="7" t="n">
        <v>2</v>
      </c>
      <c r="I244" s="7" t="inlineStr">
        <is>
          <t>Hayır</t>
        </is>
      </c>
      <c r="J244" s="5" t="inlineStr">
        <is>
          <t>Drive foto</t>
        </is>
      </c>
      <c r="K244" s="5" t="inlineStr">
        <is>
          <t xml:space="preserve"> [güven: high]</t>
        </is>
      </c>
    </row>
    <row r="245" ht="26.4" customHeight="1">
      <c r="A245" s="5" t="inlineStr">
        <is>
          <t>Tare Suites Urla</t>
        </is>
      </c>
      <c r="B245" s="5" t="inlineStr">
        <is>
          <t>DSSW</t>
        </is>
      </c>
      <c r="C245" s="7" t="n"/>
      <c r="D245" s="6">
        <f>IFERROR(INDEX('Kontrol Adımları'!$D:$D,MATCH(1,INDEX(('Kontrol Adımları'!$A$1:$A$400=B245)*('Kontrol Adımları'!$B$1:$B$400=C245),0),0)),"")</f>
        <v/>
      </c>
      <c r="E245" s="5" t="inlineStr">
        <is>
          <t>sac_kurutma</t>
        </is>
      </c>
      <c r="F245" s="6">
        <f>IFERROR(INDEX('Kalem Kataloğu'!$C$1:$C$1000,MATCH(1,INDEX(('Kalem Kataloğu'!$A$1:$A$1000=A245)*('Kalem Kataloğu'!$B$1:$B$1000=E245),0),0)),"?")</f>
        <v/>
      </c>
      <c r="G245" s="6">
        <f>IFERROR(INDEX('Kalem Kataloğu'!$D$1:$D$1000,MATCH(1,INDEX(('Kalem Kataloğu'!$A$1:$A$1000=A245)*('Kalem Kataloğu'!$B$1:$B$1000=E245),0),0)),"?")</f>
        <v/>
      </c>
      <c r="H245" s="7" t="n"/>
      <c r="I245" s="7" t="inlineStr">
        <is>
          <t>Hayır</t>
        </is>
      </c>
      <c r="J245" s="5" t="inlineStr">
        <is>
          <t>Drive foto</t>
        </is>
      </c>
      <c r="K245" s="5" t="inlineStr">
        <is>
          <t>Özellik dosyasında tüm tiplerde var; yalnız EDR fotoğrafında görünüyor [güven: medium]</t>
        </is>
      </c>
    </row>
    <row r="246">
      <c r="A246" s="5" t="inlineStr">
        <is>
          <t>Tare Suites Urla</t>
        </is>
      </c>
      <c r="B246" s="5" t="inlineStr">
        <is>
          <t>DSSW</t>
        </is>
      </c>
      <c r="C246" s="7" t="n"/>
      <c r="D246" s="6">
        <f>IFERROR(INDEX('Kontrol Adımları'!$D:$D,MATCH(1,INDEX(('Kontrol Adımları'!$A$1:$A$400=B246)*('Kontrol Adımları'!$B$1:$B$400=C246),0),0)),"")</f>
        <v/>
      </c>
      <c r="E246" s="5" t="inlineStr">
        <is>
          <t>klima</t>
        </is>
      </c>
      <c r="F246" s="6">
        <f>IFERROR(INDEX('Kalem Kataloğu'!$C$1:$C$1000,MATCH(1,INDEX(('Kalem Kataloğu'!$A$1:$A$1000=A246)*('Kalem Kataloğu'!$B$1:$B$1000=E246),0),0)),"?")</f>
        <v/>
      </c>
      <c r="G246" s="6">
        <f>IFERROR(INDEX('Kalem Kataloğu'!$D$1:$D$1000,MATCH(1,INDEX(('Kalem Kataloğu'!$A$1:$A$1000=A246)*('Kalem Kataloğu'!$B$1:$B$1000=E246),0),0)),"?")</f>
        <v/>
      </c>
      <c r="H246" s="7" t="n">
        <v>1</v>
      </c>
      <c r="I246" s="7" t="inlineStr">
        <is>
          <t>Hayır</t>
        </is>
      </c>
      <c r="J246" s="5" t="inlineStr">
        <is>
          <t>Drive foto</t>
        </is>
      </c>
      <c r="K246" s="5" t="inlineStr">
        <is>
          <t xml:space="preserve"> [güven: high]</t>
        </is>
      </c>
    </row>
    <row r="247">
      <c r="A247" s="5" t="inlineStr">
        <is>
          <t>Tare Suites Urla</t>
        </is>
      </c>
      <c r="B247" s="5" t="inlineStr">
        <is>
          <t>DSSW</t>
        </is>
      </c>
      <c r="C247" s="7" t="n"/>
      <c r="D247" s="6">
        <f>IFERROR(INDEX('Kontrol Adımları'!$D:$D,MATCH(1,INDEX(('Kontrol Adımları'!$A$1:$A$400=B247)*('Kontrol Adımları'!$B$1:$B$400=C247),0),0)),"")</f>
        <v/>
      </c>
      <c r="E247" s="5" t="inlineStr">
        <is>
          <t>kettle</t>
        </is>
      </c>
      <c r="F247" s="6">
        <f>IFERROR(INDEX('Kalem Kataloğu'!$C$1:$C$1000,MATCH(1,INDEX(('Kalem Kataloğu'!$A$1:$A$1000=A247)*('Kalem Kataloğu'!$B$1:$B$1000=E247),0),0)),"?")</f>
        <v/>
      </c>
      <c r="G247" s="6">
        <f>IFERROR(INDEX('Kalem Kataloğu'!$D$1:$D$1000,MATCH(1,INDEX(('Kalem Kataloğu'!$A$1:$A$1000=A247)*('Kalem Kataloğu'!$B$1:$B$1000=E247),0),0)),"?")</f>
        <v/>
      </c>
      <c r="H247" s="7" t="n">
        <v>1</v>
      </c>
      <c r="I247" s="7" t="inlineStr">
        <is>
          <t>Hayır</t>
        </is>
      </c>
      <c r="J247" s="5" t="inlineStr">
        <is>
          <t>Drive foto</t>
        </is>
      </c>
      <c r="K247" s="5" t="inlineStr">
        <is>
          <t xml:space="preserve"> [güven: high]</t>
        </is>
      </c>
    </row>
    <row r="248">
      <c r="A248" s="5" t="inlineStr">
        <is>
          <t>Tare Suites Urla</t>
        </is>
      </c>
      <c r="B248" s="5" t="inlineStr">
        <is>
          <t>DSSW</t>
        </is>
      </c>
      <c r="C248" s="7" t="n"/>
      <c r="D248" s="6">
        <f>IFERROR(INDEX('Kontrol Adımları'!$D:$D,MATCH(1,INDEX(('Kontrol Adımları'!$A$1:$A$400=B248)*('Kontrol Adımları'!$B$1:$B$400=C248),0),0)),"")</f>
        <v/>
      </c>
      <c r="E248" s="5" t="inlineStr">
        <is>
          <t>tuvalet_kagidi_aparati</t>
        </is>
      </c>
      <c r="F248" s="6">
        <f>IFERROR(INDEX('Kalem Kataloğu'!$C$1:$C$1000,MATCH(1,INDEX(('Kalem Kataloğu'!$A$1:$A$1000=A248)*('Kalem Kataloğu'!$B$1:$B$1000=E248),0),0)),"?")</f>
        <v/>
      </c>
      <c r="G248" s="6">
        <f>IFERROR(INDEX('Kalem Kataloğu'!$D$1:$D$1000,MATCH(1,INDEX(('Kalem Kataloğu'!$A$1:$A$1000=A248)*('Kalem Kataloğu'!$B$1:$B$1000=E248),0),0)),"?")</f>
        <v/>
      </c>
      <c r="H248" s="7" t="n"/>
      <c r="I248" s="7" t="inlineStr">
        <is>
          <t>Hayır</t>
        </is>
      </c>
      <c r="J248" s="5" t="inlineStr">
        <is>
          <t>Drive foto</t>
        </is>
      </c>
      <c r="K248" s="5" t="inlineStr">
        <is>
          <t xml:space="preserve"> [güven: high]</t>
        </is>
      </c>
    </row>
    <row r="249">
      <c r="A249" s="5" t="inlineStr">
        <is>
          <t>Tare Suites Urla</t>
        </is>
      </c>
      <c r="B249" s="5" t="inlineStr">
        <is>
          <t>DSSW</t>
        </is>
      </c>
      <c r="C249" s="7" t="n"/>
      <c r="D249" s="6">
        <f>IFERROR(INDEX('Kontrol Adımları'!$D:$D,MATCH(1,INDEX(('Kontrol Adımları'!$A$1:$A$400=B249)*('Kontrol Adımları'!$B$1:$B$400=C249),0),0)),"")</f>
        <v/>
      </c>
      <c r="E249" s="5" t="inlineStr">
        <is>
          <t>wc_fircasi</t>
        </is>
      </c>
      <c r="F249" s="6">
        <f>IFERROR(INDEX('Kalem Kataloğu'!$C$1:$C$1000,MATCH(1,INDEX(('Kalem Kataloğu'!$A$1:$A$1000=A249)*('Kalem Kataloğu'!$B$1:$B$1000=E249),0),0)),"?")</f>
        <v/>
      </c>
      <c r="G249" s="6">
        <f>IFERROR(INDEX('Kalem Kataloğu'!$D$1:$D$1000,MATCH(1,INDEX(('Kalem Kataloğu'!$A$1:$A$1000=A249)*('Kalem Kataloğu'!$B$1:$B$1000=E249),0),0)),"?")</f>
        <v/>
      </c>
      <c r="H249" s="7" t="n">
        <v>1</v>
      </c>
      <c r="I249" s="7" t="inlineStr">
        <is>
          <t>Hayır</t>
        </is>
      </c>
      <c r="J249" s="5" t="inlineStr">
        <is>
          <t>Drive foto</t>
        </is>
      </c>
      <c r="K249" s="5" t="inlineStr">
        <is>
          <t xml:space="preserve"> [güven: medium]</t>
        </is>
      </c>
    </row>
    <row r="250" ht="39.6" customHeight="1">
      <c r="A250" s="5" t="inlineStr">
        <is>
          <t>Tare Suites Urla</t>
        </is>
      </c>
      <c r="B250" s="5" t="inlineStr">
        <is>
          <t>DSSW</t>
        </is>
      </c>
      <c r="C250" s="7" t="n"/>
      <c r="D250" s="6">
        <f>IFERROR(INDEX('Kontrol Adımları'!$D:$D,MATCH(1,INDEX(('Kontrol Adımları'!$A$1:$A$400=B250)*('Kontrol Adımları'!$B$1:$B$400=C250),0),0)),"")</f>
        <v/>
      </c>
      <c r="E250" s="5" t="inlineStr">
        <is>
          <t>yastik</t>
        </is>
      </c>
      <c r="F250" s="6">
        <f>IFERROR(INDEX('Kalem Kataloğu'!$C$1:$C$1000,MATCH(1,INDEX(('Kalem Kataloğu'!$A$1:$A$1000=A250)*('Kalem Kataloğu'!$B$1:$B$1000=E250),0),0)),"?")</f>
        <v/>
      </c>
      <c r="G250" s="6">
        <f>IFERROR(INDEX('Kalem Kataloğu'!$D$1:$D$1000,MATCH(1,INDEX(('Kalem Kataloğu'!$A$1:$A$1000=A250)*('Kalem Kataloğu'!$B$1:$B$1000=E250),0),0)),"?")</f>
        <v/>
      </c>
      <c r="H250" s="7" t="n">
        <v>2</v>
      </c>
      <c r="I250" s="7" t="inlineStr">
        <is>
          <t>Hayır</t>
        </is>
      </c>
      <c r="J250" s="5" t="inlineStr">
        <is>
          <t>Drive foto</t>
        </is>
      </c>
      <c r="K250" s="5" t="inlineStr">
        <is>
          <t>Yatak başına görünen; EDR/EXSB/DFS 2+2 dizilmiş, DSSW/DS 2. Standart olarak teyit edilmeli [güven: medium]</t>
        </is>
      </c>
    </row>
    <row r="251" ht="26.4" customHeight="1">
      <c r="A251" s="5" t="inlineStr">
        <is>
          <t>Tare Suites Urla</t>
        </is>
      </c>
      <c r="B251" s="5" t="inlineStr">
        <is>
          <t>DSSW</t>
        </is>
      </c>
      <c r="C251" s="7" t="n"/>
      <c r="D251" s="6">
        <f>IFERROR(INDEX('Kontrol Adımları'!$D:$D,MATCH(1,INDEX(('Kontrol Adımları'!$A$1:$A$400=B251)*('Kontrol Adımları'!$B$1:$B$400=C251),0),0)),"")</f>
        <v/>
      </c>
      <c r="E251" s="5" t="inlineStr">
        <is>
          <t>masa_sandalye_seti</t>
        </is>
      </c>
      <c r="F251" s="6">
        <f>IFERROR(INDEX('Kalem Kataloğu'!$C$1:$C$1000,MATCH(1,INDEX(('Kalem Kataloğu'!$A$1:$A$1000=A251)*('Kalem Kataloğu'!$B$1:$B$1000=E251),0),0)),"?")</f>
        <v/>
      </c>
      <c r="G251" s="6">
        <f>IFERROR(INDEX('Kalem Kataloğu'!$D$1:$D$1000,MATCH(1,INDEX(('Kalem Kataloğu'!$A$1:$A$1000=A251)*('Kalem Kataloğu'!$B$1:$B$1000=E251),0),0)),"?")</f>
        <v/>
      </c>
      <c r="H251" s="7" t="n">
        <v>1</v>
      </c>
      <c r="I251" s="7" t="inlineStr">
        <is>
          <t>Hayır</t>
        </is>
      </c>
      <c r="J251" s="5" t="inlineStr">
        <is>
          <t>Drive foto</t>
        </is>
      </c>
      <c r="K251" s="5" t="inlineStr">
        <is>
          <t>EDR fotoğraflarında oturma grubu yok (özellik dosyasıyla uyumlu) [güven: high]</t>
        </is>
      </c>
    </row>
    <row r="252" ht="26.4" customHeight="1">
      <c r="A252" s="5" t="inlineStr">
        <is>
          <t>Tare Suites Urla</t>
        </is>
      </c>
      <c r="B252" s="5" t="inlineStr">
        <is>
          <t>DSSW</t>
        </is>
      </c>
      <c r="C252" s="7" t="n"/>
      <c r="D252" s="6">
        <f>IFERROR(INDEX('Kontrol Adımları'!$D:$D,MATCH(1,INDEX(('Kontrol Adımları'!$A$1:$A$400=B252)*('Kontrol Adımları'!$B$1:$B$400=C252),0),0)),"")</f>
        <v/>
      </c>
      <c r="E252" s="5" t="inlineStr">
        <is>
          <t>cift_kisilik_yatak</t>
        </is>
      </c>
      <c r="F252" s="6">
        <f>IFERROR(INDEX('Kalem Kataloğu'!$C$1:$C$1000,MATCH(1,INDEX(('Kalem Kataloğu'!$A$1:$A$1000=A252)*('Kalem Kataloğu'!$B$1:$B$1000=E252),0),0)),"?")</f>
        <v/>
      </c>
      <c r="G252" s="6">
        <f>IFERROR(INDEX('Kalem Kataloğu'!$D$1:$D$1000,MATCH(1,INDEX(('Kalem Kataloğu'!$A$1:$A$1000=A252)*('Kalem Kataloğu'!$B$1:$B$1000=E252),0),0)),"?")</f>
        <v/>
      </c>
      <c r="H252" s="7" t="n">
        <v>1</v>
      </c>
      <c r="I252" s="7" t="inlineStr">
        <is>
          <t>Hayır</t>
        </is>
      </c>
      <c r="J252" s="5" t="inlineStr">
        <is>
          <t>Drive foto</t>
        </is>
      </c>
      <c r="K252" s="5" t="inlineStr">
        <is>
          <t>DFS dubleks: üst katta (asma kat) ek yatak alanı olabilir, fotoğrafta net değil [güven: high]</t>
        </is>
      </c>
    </row>
    <row r="253">
      <c r="A253" s="5" t="inlineStr">
        <is>
          <t>Tare Suites Urla</t>
        </is>
      </c>
      <c r="B253" s="5" t="inlineStr">
        <is>
          <t>EDR</t>
        </is>
      </c>
      <c r="C253" s="7" t="n"/>
      <c r="D253" s="6">
        <f>IFERROR(INDEX('Kontrol Adımları'!$D:$D,MATCH(1,INDEX(('Kontrol Adımları'!$A$1:$A$400=B253)*('Kontrol Adımları'!$B$1:$B$400=C253),0),0)),"")</f>
        <v/>
      </c>
      <c r="E253" s="5" t="inlineStr">
        <is>
          <t>asma_klozet</t>
        </is>
      </c>
      <c r="F253" s="6">
        <f>IFERROR(INDEX('Kalem Kataloğu'!$C$1:$C$1000,MATCH(1,INDEX(('Kalem Kataloğu'!$A$1:$A$1000=A253)*('Kalem Kataloğu'!$B$1:$B$1000=E253),0),0)),"?")</f>
        <v/>
      </c>
      <c r="G253" s="6">
        <f>IFERROR(INDEX('Kalem Kataloğu'!$D$1:$D$1000,MATCH(1,INDEX(('Kalem Kataloğu'!$A$1:$A$1000=A253)*('Kalem Kataloğu'!$B$1:$B$1000=E253),0),0)),"?")</f>
        <v/>
      </c>
      <c r="H253" s="7" t="n">
        <v>1</v>
      </c>
      <c r="I253" s="7" t="inlineStr">
        <is>
          <t>Hayır</t>
        </is>
      </c>
      <c r="J253" s="5" t="inlineStr">
        <is>
          <t>Drive foto</t>
        </is>
      </c>
      <c r="K253" s="5" t="inlineStr">
        <is>
          <t xml:space="preserve"> [güven: high]</t>
        </is>
      </c>
    </row>
    <row r="254">
      <c r="A254" s="5" t="inlineStr">
        <is>
          <t>Tare Suites Urla</t>
        </is>
      </c>
      <c r="B254" s="5" t="inlineStr">
        <is>
          <t>EDR</t>
        </is>
      </c>
      <c r="C254" s="7" t="n"/>
      <c r="D254" s="6">
        <f>IFERROR(INDEX('Kontrol Adımları'!$D:$D,MATCH(1,INDEX(('Kontrol Adımları'!$A$1:$A$400=B254)*('Kontrol Adımları'!$B$1:$B$400=C254),0),0)),"")</f>
        <v/>
      </c>
      <c r="E254" s="5" t="inlineStr">
        <is>
          <t>ikram_tepsisi</t>
        </is>
      </c>
      <c r="F254" s="6">
        <f>IFERROR(INDEX('Kalem Kataloğu'!$C$1:$C$1000,MATCH(1,INDEX(('Kalem Kataloğu'!$A$1:$A$1000=A254)*('Kalem Kataloğu'!$B$1:$B$1000=E254),0),0)),"?")</f>
        <v/>
      </c>
      <c r="G254" s="6">
        <f>IFERROR(INDEX('Kalem Kataloğu'!$D$1:$D$1000,MATCH(1,INDEX(('Kalem Kataloğu'!$A$1:$A$1000=A254)*('Kalem Kataloğu'!$B$1:$B$1000=E254),0),0)),"?")</f>
        <v/>
      </c>
      <c r="H254" s="7" t="n">
        <v>1</v>
      </c>
      <c r="I254" s="7" t="inlineStr">
        <is>
          <t>Hayır</t>
        </is>
      </c>
      <c r="J254" s="5" t="inlineStr">
        <is>
          <t>Drive foto</t>
        </is>
      </c>
      <c r="K254" s="5" t="inlineStr">
        <is>
          <t>İçeriği ikram_tepsisi listesinde [güven: high]</t>
        </is>
      </c>
    </row>
    <row r="255" ht="26.4" customHeight="1">
      <c r="A255" s="5" t="inlineStr">
        <is>
          <t>Tare Suites Urla</t>
        </is>
      </c>
      <c r="B255" s="5" t="inlineStr">
        <is>
          <t>EDR</t>
        </is>
      </c>
      <c r="C255" s="7" t="n"/>
      <c r="D255" s="6">
        <f>IFERROR(INDEX('Kontrol Adımları'!$D:$D,MATCH(1,INDEX(('Kontrol Adımları'!$A$1:$A$400=B255)*('Kontrol Adımları'!$B$1:$B$400=C255),0),0)),"")</f>
        <v/>
      </c>
      <c r="E255" s="5" t="inlineStr">
        <is>
          <t>banyo_aynasi</t>
        </is>
      </c>
      <c r="F255" s="6">
        <f>IFERROR(INDEX('Kalem Kataloğu'!$C$1:$C$1000,MATCH(1,INDEX(('Kalem Kataloğu'!$A$1:$A$1000=A255)*('Kalem Kataloğu'!$B$1:$B$1000=E255),0),0)),"?")</f>
        <v/>
      </c>
      <c r="G255" s="6">
        <f>IFERROR(INDEX('Kalem Kataloğu'!$D$1:$D$1000,MATCH(1,INDEX(('Kalem Kataloğu'!$A$1:$A$1000=A255)*('Kalem Kataloğu'!$B$1:$B$1000=E255),0),0)),"?")</f>
        <v/>
      </c>
      <c r="H255" s="7" t="n">
        <v>1</v>
      </c>
      <c r="I255" s="7" t="inlineStr">
        <is>
          <t>Hayır</t>
        </is>
      </c>
      <c r="J255" s="5" t="inlineStr">
        <is>
          <t>Drive foto</t>
        </is>
      </c>
      <c r="K255" s="5" t="inlineStr">
        <is>
          <t>DSSW yuvarlak hasır çerçeveli; diğerleri ahşap çerçeveli dikdörtgen [güven: high]</t>
        </is>
      </c>
    </row>
    <row r="256" ht="26.4" customHeight="1">
      <c r="A256" s="5" t="inlineStr">
        <is>
          <t>Tare Suites Urla</t>
        </is>
      </c>
      <c r="B256" s="5" t="inlineStr">
        <is>
          <t>EDR</t>
        </is>
      </c>
      <c r="C256" s="7" t="n"/>
      <c r="D256" s="6">
        <f>IFERROR(INDEX('Kontrol Adımları'!$D:$D,MATCH(1,INDEX(('Kontrol Adımları'!$A$1:$A$400=B256)*('Kontrol Adımları'!$B$1:$B$400=C256),0),0)),"")</f>
        <v/>
      </c>
      <c r="E256" s="5" t="inlineStr">
        <is>
          <t>duman_dedektoru</t>
        </is>
      </c>
      <c r="F256" s="6">
        <f>IFERROR(INDEX('Kalem Kataloğu'!$C$1:$C$1000,MATCH(1,INDEX(('Kalem Kataloğu'!$A$1:$A$1000=A256)*('Kalem Kataloğu'!$B$1:$B$1000=E256),0),0)),"?")</f>
        <v/>
      </c>
      <c r="G256" s="6">
        <f>IFERROR(INDEX('Kalem Kataloğu'!$D$1:$D$1000,MATCH(1,INDEX(('Kalem Kataloğu'!$A$1:$A$1000=A256)*('Kalem Kataloğu'!$B$1:$B$1000=E256),0),0)),"?")</f>
        <v/>
      </c>
      <c r="H256" s="7" t="n">
        <v>1</v>
      </c>
      <c r="I256" s="7" t="inlineStr">
        <is>
          <t>Hayır</t>
        </is>
      </c>
      <c r="J256" s="5" t="inlineStr">
        <is>
          <t>Drive foto</t>
        </is>
      </c>
      <c r="K256" s="5" t="inlineStr">
        <is>
          <t>Tavanda; özellik dosyasında tüm tiplerde var [güven: medium]</t>
        </is>
      </c>
    </row>
    <row r="257">
      <c r="A257" s="5" t="inlineStr">
        <is>
          <t>Tare Suites Urla</t>
        </is>
      </c>
      <c r="B257" s="5" t="inlineStr">
        <is>
          <t>EDR</t>
        </is>
      </c>
      <c r="C257" s="7" t="n"/>
      <c r="D257" s="6">
        <f>IFERROR(INDEX('Kontrol Adımları'!$D:$D,MATCH(1,INDEX(('Kontrol Adımları'!$A$1:$A$400=B257)*('Kontrol Adımları'!$B$1:$B$400=C257),0),0)),"")</f>
        <v/>
      </c>
      <c r="E257" s="5" t="inlineStr">
        <is>
          <t>aplik</t>
        </is>
      </c>
      <c r="F257" s="6">
        <f>IFERROR(INDEX('Kalem Kataloğu'!$C$1:$C$1000,MATCH(1,INDEX(('Kalem Kataloğu'!$A$1:$A$1000=A257)*('Kalem Kataloğu'!$B$1:$B$1000=E257),0),0)),"?")</f>
        <v/>
      </c>
      <c r="G257" s="6">
        <f>IFERROR(INDEX('Kalem Kataloğu'!$D$1:$D$1000,MATCH(1,INDEX(('Kalem Kataloğu'!$A$1:$A$1000=A257)*('Kalem Kataloğu'!$B$1:$B$1000=E257),0),0)),"?")</f>
        <v/>
      </c>
      <c r="H257" s="7" t="n">
        <v>2</v>
      </c>
      <c r="I257" s="7" t="inlineStr">
        <is>
          <t>Hayır</t>
        </is>
      </c>
      <c r="J257" s="5" t="inlineStr">
        <is>
          <t>Drive foto</t>
        </is>
      </c>
      <c r="K257" s="5" t="inlineStr">
        <is>
          <t>Yatak başı iki yanda [güven: medium]</t>
        </is>
      </c>
    </row>
    <row r="258">
      <c r="A258" s="5" t="inlineStr">
        <is>
          <t>Tare Suites Urla</t>
        </is>
      </c>
      <c r="B258" s="5" t="inlineStr">
        <is>
          <t>EDR</t>
        </is>
      </c>
      <c r="C258" s="7" t="n"/>
      <c r="D258" s="6">
        <f>IFERROR(INDEX('Kontrol Adımları'!$D:$D,MATCH(1,INDEX(('Kontrol Adımları'!$A$1:$A$400=B258)*('Kontrol Adımları'!$B$1:$B$400=C258),0),0)),"")</f>
        <v/>
      </c>
      <c r="E258" s="5" t="inlineStr">
        <is>
          <t>havlu_rafi</t>
        </is>
      </c>
      <c r="F258" s="6">
        <f>IFERROR(INDEX('Kalem Kataloğu'!$C$1:$C$1000,MATCH(1,INDEX(('Kalem Kataloğu'!$A$1:$A$1000=A258)*('Kalem Kataloğu'!$B$1:$B$1000=E258),0),0)),"?")</f>
        <v/>
      </c>
      <c r="G258" s="6">
        <f>IFERROR(INDEX('Kalem Kataloğu'!$D$1:$D$1000,MATCH(1,INDEX(('Kalem Kataloğu'!$A$1:$A$1000=A258)*('Kalem Kataloğu'!$B$1:$B$1000=E258),0),0)),"?")</f>
        <v/>
      </c>
      <c r="H258" s="7" t="n">
        <v>1</v>
      </c>
      <c r="I258" s="7" t="inlineStr">
        <is>
          <t>Hayır</t>
        </is>
      </c>
      <c r="J258" s="5" t="inlineStr">
        <is>
          <t>Drive foto</t>
        </is>
      </c>
      <c r="K258" s="5" t="inlineStr">
        <is>
          <t xml:space="preserve"> [güven: high]</t>
        </is>
      </c>
    </row>
    <row r="259">
      <c r="A259" s="5" t="inlineStr">
        <is>
          <t>Tare Suites Urla</t>
        </is>
      </c>
      <c r="B259" s="5" t="inlineStr">
        <is>
          <t>EDR</t>
        </is>
      </c>
      <c r="C259" s="7" t="n"/>
      <c r="D259" s="6">
        <f>IFERROR(INDEX('Kontrol Adımları'!$D:$D,MATCH(1,INDEX(('Kontrol Adımları'!$A$1:$A$400=B259)*('Kontrol Adımları'!$B$1:$B$400=C259),0),0)),"")</f>
        <v/>
      </c>
      <c r="E259" s="5" t="inlineStr">
        <is>
          <t>tablo</t>
        </is>
      </c>
      <c r="F259" s="6">
        <f>IFERROR(INDEX('Kalem Kataloğu'!$C$1:$C$1000,MATCH(1,INDEX(('Kalem Kataloğu'!$A$1:$A$1000=A259)*('Kalem Kataloğu'!$B$1:$B$1000=E259),0),0)),"?")</f>
        <v/>
      </c>
      <c r="G259" s="6">
        <f>IFERROR(INDEX('Kalem Kataloğu'!$D$1:$D$1000,MATCH(1,INDEX(('Kalem Kataloğu'!$A$1:$A$1000=A259)*('Kalem Kataloğu'!$B$1:$B$1000=E259),0),0)),"?")</f>
        <v/>
      </c>
      <c r="H259" s="7" t="n">
        <v>1</v>
      </c>
      <c r="I259" s="7" t="inlineStr">
        <is>
          <t>Hayır</t>
        </is>
      </c>
      <c r="J259" s="5" t="inlineStr">
        <is>
          <t>Drive foto</t>
        </is>
      </c>
      <c r="K259" s="5" t="inlineStr">
        <is>
          <t xml:space="preserve"> [güven: high]</t>
        </is>
      </c>
    </row>
    <row r="260">
      <c r="A260" s="5" t="inlineStr">
        <is>
          <t>Tare Suites Urla</t>
        </is>
      </c>
      <c r="B260" s="5" t="inlineStr">
        <is>
          <t>EDR</t>
        </is>
      </c>
      <c r="C260" s="7" t="n"/>
      <c r="D260" s="6">
        <f>IFERROR(INDEX('Kontrol Adımları'!$D:$D,MATCH(1,INDEX(('Kontrol Adımları'!$A$1:$A$400=B260)*('Kontrol Adımları'!$B$1:$B$400=C260),0),0)),"")</f>
        <v/>
      </c>
      <c r="E260" s="5" t="inlineStr">
        <is>
          <t>duvar_tv</t>
        </is>
      </c>
      <c r="F260" s="6">
        <f>IFERROR(INDEX('Kalem Kataloğu'!$C$1:$C$1000,MATCH(1,INDEX(('Kalem Kataloğu'!$A$1:$A$1000=A260)*('Kalem Kataloğu'!$B$1:$B$1000=E260),0),0)),"?")</f>
        <v/>
      </c>
      <c r="G260" s="6">
        <f>IFERROR(INDEX('Kalem Kataloğu'!$D$1:$D$1000,MATCH(1,INDEX(('Kalem Kataloğu'!$A$1:$A$1000=A260)*('Kalem Kataloğu'!$B$1:$B$1000=E260),0),0)),"?")</f>
        <v/>
      </c>
      <c r="H260" s="7" t="n">
        <v>1</v>
      </c>
      <c r="I260" s="7" t="inlineStr">
        <is>
          <t>Hayır</t>
        </is>
      </c>
      <c r="J260" s="5" t="inlineStr">
        <is>
          <t>Drive foto</t>
        </is>
      </c>
      <c r="K260" s="5" t="inlineStr">
        <is>
          <t xml:space="preserve"> [güven: high]</t>
        </is>
      </c>
    </row>
    <row r="261" ht="39.6" customHeight="1">
      <c r="A261" s="5" t="inlineStr">
        <is>
          <t>Tare Suites Urla</t>
        </is>
      </c>
      <c r="B261" s="5" t="inlineStr">
        <is>
          <t>EDR</t>
        </is>
      </c>
      <c r="C261" s="7" t="n"/>
      <c r="D261" s="6">
        <f>IFERROR(INDEX('Kontrol Adımları'!$D:$D,MATCH(1,INDEX(('Kontrol Adımları'!$A$1:$A$400=B261)*('Kontrol Adımları'!$B$1:$B$400=C261),0),0)),"")</f>
        <v/>
      </c>
      <c r="E261" s="5" t="inlineStr">
        <is>
          <t>sivi_sabun_dispenser</t>
        </is>
      </c>
      <c r="F261" s="6">
        <f>IFERROR(INDEX('Kalem Kataloğu'!$C$1:$C$1000,MATCH(1,INDEX(('Kalem Kataloğu'!$A$1:$A$1000=A261)*('Kalem Kataloğu'!$B$1:$B$1000=E261),0),0)),"?")</f>
        <v/>
      </c>
      <c r="G261" s="6">
        <f>IFERROR(INDEX('Kalem Kataloğu'!$D$1:$D$1000,MATCH(1,INDEX(('Kalem Kataloğu'!$A$1:$A$1000=A261)*('Kalem Kataloğu'!$B$1:$B$1000=E261),0),0)),"?")</f>
        <v/>
      </c>
      <c r="H261" s="7" t="n"/>
      <c r="I261" s="7" t="inlineStr">
        <is>
          <t>Hayır</t>
        </is>
      </c>
      <c r="J261" s="5" t="inlineStr">
        <is>
          <t>Drive foto</t>
        </is>
      </c>
      <c r="K261" s="5" t="inlineStr">
        <is>
          <t>DS fotoğraflarında 1 adet görünüyor (sabun); şampuan/duş jeli dispenserleri duş içinde olabilir [güven: medium]</t>
        </is>
      </c>
    </row>
    <row r="262">
      <c r="A262" s="5" t="inlineStr">
        <is>
          <t>Tare Suites Urla</t>
        </is>
      </c>
      <c r="B262" s="5" t="inlineStr">
        <is>
          <t>EDR</t>
        </is>
      </c>
      <c r="C262" s="7" t="n"/>
      <c r="D262" s="6">
        <f>IFERROR(INDEX('Kontrol Adımları'!$D:$D,MATCH(1,INDEX(('Kontrol Adımları'!$A$1:$A$400=B262)*('Kontrol Adımları'!$B$1:$B$400=C262),0),0)),"")</f>
        <v/>
      </c>
      <c r="E262" s="5" t="inlineStr">
        <is>
          <t>dus_rafi</t>
        </is>
      </c>
      <c r="F262" s="6">
        <f>IFERROR(INDEX('Kalem Kataloğu'!$C$1:$C$1000,MATCH(1,INDEX(('Kalem Kataloğu'!$A$1:$A$1000=A262)*('Kalem Kataloğu'!$B$1:$B$1000=E262),0),0)),"?")</f>
        <v/>
      </c>
      <c r="G262" s="6">
        <f>IFERROR(INDEX('Kalem Kataloğu'!$D$1:$D$1000,MATCH(1,INDEX(('Kalem Kataloğu'!$A$1:$A$1000=A262)*('Kalem Kataloğu'!$B$1:$B$1000=E262),0),0)),"?")</f>
        <v/>
      </c>
      <c r="H262" s="7" t="n">
        <v>1</v>
      </c>
      <c r="I262" s="7" t="inlineStr">
        <is>
          <t>Hayır</t>
        </is>
      </c>
      <c r="J262" s="5" t="inlineStr">
        <is>
          <t>Drive foto</t>
        </is>
      </c>
      <c r="K262" s="5" t="inlineStr">
        <is>
          <t xml:space="preserve"> [güven: medium]</t>
        </is>
      </c>
    </row>
    <row r="263">
      <c r="A263" s="5" t="inlineStr">
        <is>
          <t>Tare Suites Urla</t>
        </is>
      </c>
      <c r="B263" s="5" t="inlineStr">
        <is>
          <t>EDR</t>
        </is>
      </c>
      <c r="C263" s="7" t="n"/>
      <c r="D263" s="6">
        <f>IFERROR(INDEX('Kontrol Adımları'!$D:$D,MATCH(1,INDEX(('Kontrol Adımları'!$A$1:$A$400=B263)*('Kontrol Adımları'!$B$1:$B$400=C263),0),0)),"")</f>
        <v/>
      </c>
      <c r="E263" s="5" t="inlineStr">
        <is>
          <t>dus_kabini</t>
        </is>
      </c>
      <c r="F263" s="6">
        <f>IFERROR(INDEX('Kalem Kataloğu'!$C$1:$C$1000,MATCH(1,INDEX(('Kalem Kataloğu'!$A$1:$A$1000=A263)*('Kalem Kataloğu'!$B$1:$B$1000=E263),0),0)),"?")</f>
        <v/>
      </c>
      <c r="G263" s="6">
        <f>IFERROR(INDEX('Kalem Kataloğu'!$D$1:$D$1000,MATCH(1,INDEX(('Kalem Kataloğu'!$A$1:$A$1000=A263)*('Kalem Kataloğu'!$B$1:$B$1000=E263),0),0)),"?")</f>
        <v/>
      </c>
      <c r="H263" s="7" t="n">
        <v>1</v>
      </c>
      <c r="I263" s="7" t="inlineStr">
        <is>
          <t>Hayır</t>
        </is>
      </c>
      <c r="J263" s="5" t="inlineStr">
        <is>
          <t>Drive foto</t>
        </is>
      </c>
      <c r="K263" s="5" t="inlineStr">
        <is>
          <t xml:space="preserve"> [güven: high]</t>
        </is>
      </c>
    </row>
    <row r="264" ht="26.4" customHeight="1">
      <c r="A264" s="5" t="inlineStr">
        <is>
          <t>Tare Suites Urla</t>
        </is>
      </c>
      <c r="B264" s="5" t="inlineStr">
        <is>
          <t>EDR</t>
        </is>
      </c>
      <c r="C264" s="7" t="n"/>
      <c r="D264" s="6">
        <f>IFERROR(INDEX('Kontrol Adımları'!$D:$D,MATCH(1,INDEX(('Kontrol Adımları'!$A$1:$A$400=B264)*('Kontrol Adımları'!$B$1:$B$400=C264),0),0)),"")</f>
        <v/>
      </c>
      <c r="E264" s="5" t="inlineStr">
        <is>
          <t>gardirop</t>
        </is>
      </c>
      <c r="F264" s="6">
        <f>IFERROR(INDEX('Kalem Kataloğu'!$C$1:$C$1000,MATCH(1,INDEX(('Kalem Kataloğu'!$A$1:$A$1000=A264)*('Kalem Kataloğu'!$B$1:$B$1000=E264),0),0)),"?")</f>
        <v/>
      </c>
      <c r="G264" s="6">
        <f>IFERROR(INDEX('Kalem Kataloğu'!$D$1:$D$1000,MATCH(1,INDEX(('Kalem Kataloğu'!$A$1:$A$1000=A264)*('Kalem Kataloğu'!$B$1:$B$1000=E264),0),0)),"?")</f>
        <v/>
      </c>
      <c r="H264" s="7" t="n"/>
      <c r="I264" s="7" t="inlineStr">
        <is>
          <t>Hayır</t>
        </is>
      </c>
      <c r="J264" s="5" t="inlineStr">
        <is>
          <t>Drive foto</t>
        </is>
      </c>
      <c r="K264" s="5" t="inlineStr">
        <is>
          <t>Özellik dosyasında tüm tiplerde var; yalnız EXSB fotoğrafında görünüyor [güven: medium]</t>
        </is>
      </c>
    </row>
    <row r="265" ht="26.4" customHeight="1">
      <c r="A265" s="5" t="inlineStr">
        <is>
          <t>Tare Suites Urla</t>
        </is>
      </c>
      <c r="B265" s="5" t="inlineStr">
        <is>
          <t>EDR</t>
        </is>
      </c>
      <c r="C265" s="7" t="n"/>
      <c r="D265" s="6">
        <f>IFERROR(INDEX('Kontrol Adımları'!$D:$D,MATCH(1,INDEX(('Kontrol Adımları'!$A$1:$A$400=B265)*('Kontrol Adımları'!$B$1:$B$400=C265),0),0)),"")</f>
        <v/>
      </c>
      <c r="E265" s="5" t="inlineStr">
        <is>
          <t>komodin</t>
        </is>
      </c>
      <c r="F265" s="6">
        <f>IFERROR(INDEX('Kalem Kataloğu'!$C$1:$C$1000,MATCH(1,INDEX(('Kalem Kataloğu'!$A$1:$A$1000=A265)*('Kalem Kataloğu'!$B$1:$B$1000=E265),0),0)),"?")</f>
        <v/>
      </c>
      <c r="G265" s="6">
        <f>IFERROR(INDEX('Kalem Kataloğu'!$D$1:$D$1000,MATCH(1,INDEX(('Kalem Kataloğu'!$A$1:$A$1000=A265)*('Kalem Kataloğu'!$B$1:$B$1000=E265),0),0)),"?")</f>
        <v/>
      </c>
      <c r="H265" s="7" t="n">
        <v>2</v>
      </c>
      <c r="I265" s="7" t="inlineStr">
        <is>
          <t>Hayır</t>
        </is>
      </c>
      <c r="J265" s="5" t="inlineStr">
        <is>
          <t>Drive foto</t>
        </is>
      </c>
      <c r="K265" s="5" t="inlineStr">
        <is>
          <t>DSSW fotoğrafında yalnız bir yan görünüyor; muhtemelen 2 [güven: medium]</t>
        </is>
      </c>
    </row>
    <row r="266" ht="26.4" customHeight="1">
      <c r="A266" s="5" t="inlineStr">
        <is>
          <t>Tare Suites Urla</t>
        </is>
      </c>
      <c r="B266" s="5" t="inlineStr">
        <is>
          <t>EDR</t>
        </is>
      </c>
      <c r="C266" s="7" t="n"/>
      <c r="D266" s="6">
        <f>IFERROR(INDEX('Kontrol Adımları'!$D:$D,MATCH(1,INDEX(('Kontrol Adımları'!$A$1:$A$400=B266)*('Kontrol Adımları'!$B$1:$B$400=C266),0),0)),"")</f>
        <v/>
      </c>
      <c r="E266" s="5" t="inlineStr">
        <is>
          <t>calisma_masasi_ayna</t>
        </is>
      </c>
      <c r="F266" s="6">
        <f>IFERROR(INDEX('Kalem Kataloğu'!$C$1:$C$1000,MATCH(1,INDEX(('Kalem Kataloğu'!$A$1:$A$1000=A266)*('Kalem Kataloğu'!$B$1:$B$1000=E266),0),0)),"?")</f>
        <v/>
      </c>
      <c r="G266" s="6">
        <f>IFERROR(INDEX('Kalem Kataloğu'!$D$1:$D$1000,MATCH(1,INDEX(('Kalem Kataloğu'!$A$1:$A$1000=A266)*('Kalem Kataloğu'!$B$1:$B$1000=E266),0),0)),"?")</f>
        <v/>
      </c>
      <c r="H266" s="7" t="n">
        <v>1</v>
      </c>
      <c r="I266" s="7" t="inlineStr">
        <is>
          <t>Hayır</t>
        </is>
      </c>
      <c r="J266" s="5" t="inlineStr">
        <is>
          <t>Drive foto</t>
        </is>
      </c>
      <c r="K266" s="5" t="inlineStr">
        <is>
          <t xml:space="preserve"> [güven: high]</t>
        </is>
      </c>
    </row>
    <row r="267">
      <c r="A267" s="5" t="inlineStr">
        <is>
          <t>Tare Suites Urla</t>
        </is>
      </c>
      <c r="B267" s="5" t="inlineStr">
        <is>
          <t>EDR</t>
        </is>
      </c>
      <c r="C267" s="7" t="n"/>
      <c r="D267" s="6">
        <f>IFERROR(INDEX('Kontrol Adımları'!$D:$D,MATCH(1,INDEX(('Kontrol Adımları'!$A$1:$A$400=B267)*('Kontrol Adımları'!$B$1:$B$400=C267),0),0)),"")</f>
        <v/>
      </c>
      <c r="E267" s="5" t="inlineStr">
        <is>
          <t>lavabo_dolabi</t>
        </is>
      </c>
      <c r="F267" s="6">
        <f>IFERROR(INDEX('Kalem Kataloğu'!$C$1:$C$1000,MATCH(1,INDEX(('Kalem Kataloğu'!$A$1:$A$1000=A267)*('Kalem Kataloğu'!$B$1:$B$1000=E267),0),0)),"?")</f>
        <v/>
      </c>
      <c r="G267" s="6">
        <f>IFERROR(INDEX('Kalem Kataloğu'!$D$1:$D$1000,MATCH(1,INDEX(('Kalem Kataloğu'!$A$1:$A$1000=A267)*('Kalem Kataloğu'!$B$1:$B$1000=E267),0),0)),"?")</f>
        <v/>
      </c>
      <c r="H267" s="7" t="n">
        <v>1</v>
      </c>
      <c r="I267" s="7" t="inlineStr">
        <is>
          <t>Hayır</t>
        </is>
      </c>
      <c r="J267" s="5" t="inlineStr">
        <is>
          <t>Drive foto</t>
        </is>
      </c>
      <c r="K267" s="5" t="inlineStr">
        <is>
          <t xml:space="preserve"> [güven: high]</t>
        </is>
      </c>
    </row>
    <row r="268" ht="39.6" customHeight="1">
      <c r="A268" s="5" t="inlineStr">
        <is>
          <t>Tare Suites Urla</t>
        </is>
      </c>
      <c r="B268" s="5" t="inlineStr">
        <is>
          <t>EDR</t>
        </is>
      </c>
      <c r="C268" s="7" t="n"/>
      <c r="D268" s="6">
        <f>IFERROR(INDEX('Kontrol Adımları'!$D:$D,MATCH(1,INDEX(('Kontrol Adımları'!$A$1:$A$400=B268)*('Kontrol Adımları'!$B$1:$B$400=C268),0),0)),"")</f>
        <v/>
      </c>
      <c r="E268" s="5" t="inlineStr">
        <is>
          <t>mini_buzdolabi</t>
        </is>
      </c>
      <c r="F268" s="6">
        <f>IFERROR(INDEX('Kalem Kataloğu'!$C$1:$C$1000,MATCH(1,INDEX(('Kalem Kataloğu'!$A$1:$A$1000=A268)*('Kalem Kataloğu'!$B$1:$B$1000=E268),0),0)),"?")</f>
        <v/>
      </c>
      <c r="G268" s="6">
        <f>IFERROR(INDEX('Kalem Kataloğu'!$D$1:$D$1000,MATCH(1,INDEX(('Kalem Kataloğu'!$A$1:$A$1000=A268)*('Kalem Kataloğu'!$B$1:$B$1000=E268),0),0)),"?")</f>
        <v/>
      </c>
      <c r="H268" s="7" t="n">
        <v>1</v>
      </c>
      <c r="I268" s="7" t="inlineStr">
        <is>
          <t>Hayır</t>
        </is>
      </c>
      <c r="J268" s="5" t="inlineStr">
        <is>
          <t>Drive foto</t>
        </is>
      </c>
      <c r="K268" s="5" t="inlineStr">
        <is>
          <t>Özellik dosyasında Urla Suites için Buzdolabı "-" ama fotoğraflarda masa altında mini buzdolabı var — teyit [güven: high]</t>
        </is>
      </c>
    </row>
    <row r="269">
      <c r="A269" s="5" t="inlineStr">
        <is>
          <t>Tare Suites Urla</t>
        </is>
      </c>
      <c r="B269" s="5" t="inlineStr">
        <is>
          <t>EDR</t>
        </is>
      </c>
      <c r="C269" s="7" t="n"/>
      <c r="D269" s="6">
        <f>IFERROR(INDEX('Kontrol Adımları'!$D:$D,MATCH(1,INDEX(('Kontrol Adımları'!$A$1:$A$400=B269)*('Kontrol Adımları'!$B$1:$B$400=C269),0),0)),"")</f>
        <v/>
      </c>
      <c r="E269" s="5" t="inlineStr">
        <is>
          <t>banyo_cop_kovasi</t>
        </is>
      </c>
      <c r="F269" s="6">
        <f>IFERROR(INDEX('Kalem Kataloğu'!$C$1:$C$1000,MATCH(1,INDEX(('Kalem Kataloğu'!$A$1:$A$1000=A269)*('Kalem Kataloğu'!$B$1:$B$1000=E269),0),0)),"?")</f>
        <v/>
      </c>
      <c r="G269" s="6">
        <f>IFERROR(INDEX('Kalem Kataloğu'!$D$1:$D$1000,MATCH(1,INDEX(('Kalem Kataloğu'!$A$1:$A$1000=A269)*('Kalem Kataloğu'!$B$1:$B$1000=E269),0),0)),"?")</f>
        <v/>
      </c>
      <c r="H269" s="7" t="n">
        <v>1</v>
      </c>
      <c r="I269" s="7" t="inlineStr">
        <is>
          <t>Hayır</t>
        </is>
      </c>
      <c r="J269" s="5" t="inlineStr">
        <is>
          <t>Drive foto</t>
        </is>
      </c>
      <c r="K269" s="5" t="inlineStr">
        <is>
          <t xml:space="preserve"> [güven: medium]</t>
        </is>
      </c>
    </row>
    <row r="270">
      <c r="A270" s="5" t="inlineStr">
        <is>
          <t>Tare Suites Urla</t>
        </is>
      </c>
      <c r="B270" s="5" t="inlineStr">
        <is>
          <t>EDR</t>
        </is>
      </c>
      <c r="C270" s="7" t="n"/>
      <c r="D270" s="6">
        <f>IFERROR(INDEX('Kontrol Adımları'!$D:$D,MATCH(1,INDEX(('Kontrol Adımları'!$A$1:$A$400=B270)*('Kontrol Adımları'!$B$1:$B$400=C270),0),0)),"")</f>
        <v/>
      </c>
      <c r="E270" s="5" t="inlineStr">
        <is>
          <t>sandalye</t>
        </is>
      </c>
      <c r="F270" s="6">
        <f>IFERROR(INDEX('Kalem Kataloğu'!$C$1:$C$1000,MATCH(1,INDEX(('Kalem Kataloğu'!$A$1:$A$1000=A270)*('Kalem Kataloğu'!$B$1:$B$1000=E270),0),0)),"?")</f>
        <v/>
      </c>
      <c r="G270" s="6">
        <f>IFERROR(INDEX('Kalem Kataloğu'!$D$1:$D$1000,MATCH(1,INDEX(('Kalem Kataloğu'!$A$1:$A$1000=A270)*('Kalem Kataloğu'!$B$1:$B$1000=E270),0),0)),"?")</f>
        <v/>
      </c>
      <c r="H270" s="7" t="n">
        <v>0</v>
      </c>
      <c r="I270" s="7" t="inlineStr">
        <is>
          <t>Hayır</t>
        </is>
      </c>
      <c r="J270" s="5" t="inlineStr">
        <is>
          <t>Drive foto</t>
        </is>
      </c>
      <c r="K270" s="5" t="inlineStr">
        <is>
          <t xml:space="preserve"> [güven: high]</t>
        </is>
      </c>
    </row>
    <row r="271" ht="26.4" customHeight="1">
      <c r="A271" s="5" t="inlineStr">
        <is>
          <t>Tare Suites Urla</t>
        </is>
      </c>
      <c r="B271" s="5" t="inlineStr">
        <is>
          <t>EDR</t>
        </is>
      </c>
      <c r="C271" s="7" t="n"/>
      <c r="D271" s="6">
        <f>IFERROR(INDEX('Kontrol Adımları'!$D:$D,MATCH(1,INDEX(('Kontrol Adımları'!$A$1:$A$400=B271)*('Kontrol Adımları'!$B$1:$B$400=C271),0),0)),"")</f>
        <v/>
      </c>
      <c r="E271" s="5" t="inlineStr">
        <is>
          <t>sac_kurutma</t>
        </is>
      </c>
      <c r="F271" s="6">
        <f>IFERROR(INDEX('Kalem Kataloğu'!$C$1:$C$1000,MATCH(1,INDEX(('Kalem Kataloğu'!$A$1:$A$1000=A271)*('Kalem Kataloğu'!$B$1:$B$1000=E271),0),0)),"?")</f>
        <v/>
      </c>
      <c r="G271" s="6">
        <f>IFERROR(INDEX('Kalem Kataloğu'!$D$1:$D$1000,MATCH(1,INDEX(('Kalem Kataloğu'!$A$1:$A$1000=A271)*('Kalem Kataloğu'!$B$1:$B$1000=E271),0),0)),"?")</f>
        <v/>
      </c>
      <c r="H271" s="7" t="n">
        <v>1</v>
      </c>
      <c r="I271" s="7" t="inlineStr">
        <is>
          <t>Hayır</t>
        </is>
      </c>
      <c r="J271" s="5" t="inlineStr">
        <is>
          <t>Drive foto</t>
        </is>
      </c>
      <c r="K271" s="5" t="inlineStr">
        <is>
          <t>Özellik dosyasında tüm tiplerde var; yalnız EDR fotoğrafında görünüyor [güven: medium]</t>
        </is>
      </c>
    </row>
    <row r="272">
      <c r="A272" s="5" t="inlineStr">
        <is>
          <t>Tare Suites Urla</t>
        </is>
      </c>
      <c r="B272" s="5" t="inlineStr">
        <is>
          <t>EDR</t>
        </is>
      </c>
      <c r="C272" s="7" t="n"/>
      <c r="D272" s="6">
        <f>IFERROR(INDEX('Kontrol Adımları'!$D:$D,MATCH(1,INDEX(('Kontrol Adımları'!$A$1:$A$400=B272)*('Kontrol Adımları'!$B$1:$B$400=C272),0),0)),"")</f>
        <v/>
      </c>
      <c r="E272" s="5" t="inlineStr">
        <is>
          <t>klima</t>
        </is>
      </c>
      <c r="F272" s="6">
        <f>IFERROR(INDEX('Kalem Kataloğu'!$C$1:$C$1000,MATCH(1,INDEX(('Kalem Kataloğu'!$A$1:$A$1000=A272)*('Kalem Kataloğu'!$B$1:$B$1000=E272),0),0)),"?")</f>
        <v/>
      </c>
      <c r="G272" s="6">
        <f>IFERROR(INDEX('Kalem Kataloğu'!$D$1:$D$1000,MATCH(1,INDEX(('Kalem Kataloğu'!$A$1:$A$1000=A272)*('Kalem Kataloğu'!$B$1:$B$1000=E272),0),0)),"?")</f>
        <v/>
      </c>
      <c r="H272" s="7" t="n">
        <v>1</v>
      </c>
      <c r="I272" s="7" t="inlineStr">
        <is>
          <t>Hayır</t>
        </is>
      </c>
      <c r="J272" s="5" t="inlineStr">
        <is>
          <t>Drive foto</t>
        </is>
      </c>
      <c r="K272" s="5" t="inlineStr">
        <is>
          <t xml:space="preserve"> [güven: high]</t>
        </is>
      </c>
    </row>
    <row r="273">
      <c r="A273" s="5" t="inlineStr">
        <is>
          <t>Tare Suites Urla</t>
        </is>
      </c>
      <c r="B273" s="5" t="inlineStr">
        <is>
          <t>EDR</t>
        </is>
      </c>
      <c r="C273" s="7" t="n"/>
      <c r="D273" s="6">
        <f>IFERROR(INDEX('Kontrol Adımları'!$D:$D,MATCH(1,INDEX(('Kontrol Adımları'!$A$1:$A$400=B273)*('Kontrol Adımları'!$B$1:$B$400=C273),0),0)),"")</f>
        <v/>
      </c>
      <c r="E273" s="5" t="inlineStr">
        <is>
          <t>kettle</t>
        </is>
      </c>
      <c r="F273" s="6">
        <f>IFERROR(INDEX('Kalem Kataloğu'!$C$1:$C$1000,MATCH(1,INDEX(('Kalem Kataloğu'!$A$1:$A$1000=A273)*('Kalem Kataloğu'!$B$1:$B$1000=E273),0),0)),"?")</f>
        <v/>
      </c>
      <c r="G273" s="6">
        <f>IFERROR(INDEX('Kalem Kataloğu'!$D$1:$D$1000,MATCH(1,INDEX(('Kalem Kataloğu'!$A$1:$A$1000=A273)*('Kalem Kataloğu'!$B$1:$B$1000=E273),0),0)),"?")</f>
        <v/>
      </c>
      <c r="H273" s="7" t="n">
        <v>1</v>
      </c>
      <c r="I273" s="7" t="inlineStr">
        <is>
          <t>Hayır</t>
        </is>
      </c>
      <c r="J273" s="5" t="inlineStr">
        <is>
          <t>Drive foto</t>
        </is>
      </c>
      <c r="K273" s="5" t="inlineStr">
        <is>
          <t xml:space="preserve"> [güven: high]</t>
        </is>
      </c>
    </row>
    <row r="274">
      <c r="A274" s="5" t="inlineStr">
        <is>
          <t>Tare Suites Urla</t>
        </is>
      </c>
      <c r="B274" s="5" t="inlineStr">
        <is>
          <t>EDR</t>
        </is>
      </c>
      <c r="C274" s="7" t="n"/>
      <c r="D274" s="6">
        <f>IFERROR(INDEX('Kontrol Adımları'!$D:$D,MATCH(1,INDEX(('Kontrol Adımları'!$A$1:$A$400=B274)*('Kontrol Adımları'!$B$1:$B$400=C274),0),0)),"")</f>
        <v/>
      </c>
      <c r="E274" s="5" t="inlineStr">
        <is>
          <t>tuvalet_kagidi_aparati</t>
        </is>
      </c>
      <c r="F274" s="6">
        <f>IFERROR(INDEX('Kalem Kataloğu'!$C$1:$C$1000,MATCH(1,INDEX(('Kalem Kataloğu'!$A$1:$A$1000=A274)*('Kalem Kataloğu'!$B$1:$B$1000=E274),0),0)),"?")</f>
        <v/>
      </c>
      <c r="G274" s="6">
        <f>IFERROR(INDEX('Kalem Kataloğu'!$D$1:$D$1000,MATCH(1,INDEX(('Kalem Kataloğu'!$A$1:$A$1000=A274)*('Kalem Kataloğu'!$B$1:$B$1000=E274),0),0)),"?")</f>
        <v/>
      </c>
      <c r="H274" s="7" t="n">
        <v>1</v>
      </c>
      <c r="I274" s="7" t="inlineStr">
        <is>
          <t>Hayır</t>
        </is>
      </c>
      <c r="J274" s="5" t="inlineStr">
        <is>
          <t>Drive foto</t>
        </is>
      </c>
      <c r="K274" s="5" t="inlineStr">
        <is>
          <t xml:space="preserve"> [güven: high]</t>
        </is>
      </c>
    </row>
    <row r="275">
      <c r="A275" s="5" t="inlineStr">
        <is>
          <t>Tare Suites Urla</t>
        </is>
      </c>
      <c r="B275" s="5" t="inlineStr">
        <is>
          <t>EDR</t>
        </is>
      </c>
      <c r="C275" s="7" t="n"/>
      <c r="D275" s="6">
        <f>IFERROR(INDEX('Kontrol Adımları'!$D:$D,MATCH(1,INDEX(('Kontrol Adımları'!$A$1:$A$400=B275)*('Kontrol Adımları'!$B$1:$B$400=C275),0),0)),"")</f>
        <v/>
      </c>
      <c r="E275" s="5" t="inlineStr">
        <is>
          <t>wc_fircasi</t>
        </is>
      </c>
      <c r="F275" s="6">
        <f>IFERROR(INDEX('Kalem Kataloğu'!$C$1:$C$1000,MATCH(1,INDEX(('Kalem Kataloğu'!$A$1:$A$1000=A275)*('Kalem Kataloğu'!$B$1:$B$1000=E275),0),0)),"?")</f>
        <v/>
      </c>
      <c r="G275" s="6">
        <f>IFERROR(INDEX('Kalem Kataloğu'!$D$1:$D$1000,MATCH(1,INDEX(('Kalem Kataloğu'!$A$1:$A$1000=A275)*('Kalem Kataloğu'!$B$1:$B$1000=E275),0),0)),"?")</f>
        <v/>
      </c>
      <c r="H275" s="7" t="n">
        <v>1</v>
      </c>
      <c r="I275" s="7" t="inlineStr">
        <is>
          <t>Hayır</t>
        </is>
      </c>
      <c r="J275" s="5" t="inlineStr">
        <is>
          <t>Drive foto</t>
        </is>
      </c>
      <c r="K275" s="5" t="inlineStr">
        <is>
          <t xml:space="preserve"> [güven: medium]</t>
        </is>
      </c>
    </row>
    <row r="276" ht="39.6" customHeight="1">
      <c r="A276" s="5" t="inlineStr">
        <is>
          <t>Tare Suites Urla</t>
        </is>
      </c>
      <c r="B276" s="5" t="inlineStr">
        <is>
          <t>EDR</t>
        </is>
      </c>
      <c r="C276" s="7" t="n"/>
      <c r="D276" s="6">
        <f>IFERROR(INDEX('Kontrol Adımları'!$D:$D,MATCH(1,INDEX(('Kontrol Adımları'!$A$1:$A$400=B276)*('Kontrol Adımları'!$B$1:$B$400=C276),0),0)),"")</f>
        <v/>
      </c>
      <c r="E276" s="5" t="inlineStr">
        <is>
          <t>yastik</t>
        </is>
      </c>
      <c r="F276" s="6">
        <f>IFERROR(INDEX('Kalem Kataloğu'!$C$1:$C$1000,MATCH(1,INDEX(('Kalem Kataloğu'!$A$1:$A$1000=A276)*('Kalem Kataloğu'!$B$1:$B$1000=E276),0),0)),"?")</f>
        <v/>
      </c>
      <c r="G276" s="6">
        <f>IFERROR(INDEX('Kalem Kataloğu'!$D$1:$D$1000,MATCH(1,INDEX(('Kalem Kataloğu'!$A$1:$A$1000=A276)*('Kalem Kataloğu'!$B$1:$B$1000=E276),0),0)),"?")</f>
        <v/>
      </c>
      <c r="H276" s="7" t="n">
        <v>4</v>
      </c>
      <c r="I276" s="7" t="inlineStr">
        <is>
          <t>Hayır</t>
        </is>
      </c>
      <c r="J276" s="5" t="inlineStr">
        <is>
          <t>Drive foto</t>
        </is>
      </c>
      <c r="K276" s="5" t="inlineStr">
        <is>
          <t>Yatak başına görünen; EDR/EXSB/DFS 2+2 dizilmiş, DSSW/DS 2. Standart olarak teyit edilmeli [güven: medium]</t>
        </is>
      </c>
    </row>
    <row r="277" ht="26.4" customHeight="1">
      <c r="A277" s="5" t="inlineStr">
        <is>
          <t>Tare Suites Urla</t>
        </is>
      </c>
      <c r="B277" s="5" t="inlineStr">
        <is>
          <t>EDR</t>
        </is>
      </c>
      <c r="C277" s="7" t="n"/>
      <c r="D277" s="6">
        <f>IFERROR(INDEX('Kontrol Adımları'!$D:$D,MATCH(1,INDEX(('Kontrol Adımları'!$A$1:$A$400=B277)*('Kontrol Adımları'!$B$1:$B$400=C277),0),0)),"")</f>
        <v/>
      </c>
      <c r="E277" s="5" t="inlineStr">
        <is>
          <t>masa_sandalye_seti</t>
        </is>
      </c>
      <c r="F277" s="6">
        <f>IFERROR(INDEX('Kalem Kataloğu'!$C$1:$C$1000,MATCH(1,INDEX(('Kalem Kataloğu'!$A$1:$A$1000=A277)*('Kalem Kataloğu'!$B$1:$B$1000=E277),0),0)),"?")</f>
        <v/>
      </c>
      <c r="G277" s="6">
        <f>IFERROR(INDEX('Kalem Kataloğu'!$D$1:$D$1000,MATCH(1,INDEX(('Kalem Kataloğu'!$A$1:$A$1000=A277)*('Kalem Kataloğu'!$B$1:$B$1000=E277),0),0)),"?")</f>
        <v/>
      </c>
      <c r="H277" s="7" t="n">
        <v>0</v>
      </c>
      <c r="I277" s="7" t="inlineStr">
        <is>
          <t>Hayır</t>
        </is>
      </c>
      <c r="J277" s="5" t="inlineStr">
        <is>
          <t>Drive foto</t>
        </is>
      </c>
      <c r="K277" s="5" t="inlineStr">
        <is>
          <t>EDR fotoğraflarında oturma grubu yok (özellik dosyasıyla uyumlu) [güven: high]</t>
        </is>
      </c>
    </row>
    <row r="278" ht="26.4" customHeight="1">
      <c r="A278" s="5" t="inlineStr">
        <is>
          <t>Tare Suites Urla</t>
        </is>
      </c>
      <c r="B278" s="5" t="inlineStr">
        <is>
          <t>EDR</t>
        </is>
      </c>
      <c r="C278" s="7" t="n"/>
      <c r="D278" s="6">
        <f>IFERROR(INDEX('Kontrol Adımları'!$D:$D,MATCH(1,INDEX(('Kontrol Adımları'!$A$1:$A$400=B278)*('Kontrol Adımları'!$B$1:$B$400=C278),0),0)),"")</f>
        <v/>
      </c>
      <c r="E278" s="5" t="inlineStr">
        <is>
          <t>cift_kisilik_yatak</t>
        </is>
      </c>
      <c r="F278" s="6">
        <f>IFERROR(INDEX('Kalem Kataloğu'!$C$1:$C$1000,MATCH(1,INDEX(('Kalem Kataloğu'!$A$1:$A$1000=A278)*('Kalem Kataloğu'!$B$1:$B$1000=E278),0),0)),"?")</f>
        <v/>
      </c>
      <c r="G278" s="6">
        <f>IFERROR(INDEX('Kalem Kataloğu'!$D$1:$D$1000,MATCH(1,INDEX(('Kalem Kataloğu'!$A$1:$A$1000=A278)*('Kalem Kataloğu'!$B$1:$B$1000=E278),0),0)),"?")</f>
        <v/>
      </c>
      <c r="H278" s="7" t="n">
        <v>1</v>
      </c>
      <c r="I278" s="7" t="inlineStr">
        <is>
          <t>Hayır</t>
        </is>
      </c>
      <c r="J278" s="5" t="inlineStr">
        <is>
          <t>Drive foto</t>
        </is>
      </c>
      <c r="K278" s="5" t="inlineStr">
        <is>
          <t>DFS dubleks: üst katta (asma kat) ek yatak alanı olabilir, fotoğrafta net değil [güven: high]</t>
        </is>
      </c>
    </row>
    <row r="279">
      <c r="A279" s="5" t="inlineStr">
        <is>
          <t>Tare Suites Urla</t>
        </is>
      </c>
      <c r="B279" s="5" t="inlineStr">
        <is>
          <t>EXSB</t>
        </is>
      </c>
      <c r="C279" s="7" t="n"/>
      <c r="D279" s="6">
        <f>IFERROR(INDEX('Kontrol Adımları'!$D:$D,MATCH(1,INDEX(('Kontrol Adımları'!$A$1:$A$400=B279)*('Kontrol Adımları'!$B$1:$B$400=C279),0),0)),"")</f>
        <v/>
      </c>
      <c r="E279" s="5" t="inlineStr">
        <is>
          <t>asma_klozet</t>
        </is>
      </c>
      <c r="F279" s="6">
        <f>IFERROR(INDEX('Kalem Kataloğu'!$C$1:$C$1000,MATCH(1,INDEX(('Kalem Kataloğu'!$A$1:$A$1000=A279)*('Kalem Kataloğu'!$B$1:$B$1000=E279),0),0)),"?")</f>
        <v/>
      </c>
      <c r="G279" s="6">
        <f>IFERROR(INDEX('Kalem Kataloğu'!$D$1:$D$1000,MATCH(1,INDEX(('Kalem Kataloğu'!$A$1:$A$1000=A279)*('Kalem Kataloğu'!$B$1:$B$1000=E279),0),0)),"?")</f>
        <v/>
      </c>
      <c r="H279" s="7" t="n">
        <v>1</v>
      </c>
      <c r="I279" s="7" t="inlineStr">
        <is>
          <t>Hayır</t>
        </is>
      </c>
      <c r="J279" s="5" t="inlineStr">
        <is>
          <t>Drive foto</t>
        </is>
      </c>
      <c r="K279" s="5" t="inlineStr">
        <is>
          <t xml:space="preserve"> [güven: high]</t>
        </is>
      </c>
    </row>
    <row r="280">
      <c r="A280" s="5" t="inlineStr">
        <is>
          <t>Tare Suites Urla</t>
        </is>
      </c>
      <c r="B280" s="5" t="inlineStr">
        <is>
          <t>EXSB</t>
        </is>
      </c>
      <c r="C280" s="7" t="n"/>
      <c r="D280" s="6">
        <f>IFERROR(INDEX('Kontrol Adımları'!$D:$D,MATCH(1,INDEX(('Kontrol Adımları'!$A$1:$A$400=B280)*('Kontrol Adımları'!$B$1:$B$400=C280),0),0)),"")</f>
        <v/>
      </c>
      <c r="E280" s="5" t="inlineStr">
        <is>
          <t>ikram_tepsisi</t>
        </is>
      </c>
      <c r="F280" s="6">
        <f>IFERROR(INDEX('Kalem Kataloğu'!$C$1:$C$1000,MATCH(1,INDEX(('Kalem Kataloğu'!$A$1:$A$1000=A280)*('Kalem Kataloğu'!$B$1:$B$1000=E280),0),0)),"?")</f>
        <v/>
      </c>
      <c r="G280" s="6">
        <f>IFERROR(INDEX('Kalem Kataloğu'!$D$1:$D$1000,MATCH(1,INDEX(('Kalem Kataloğu'!$A$1:$A$1000=A280)*('Kalem Kataloğu'!$B$1:$B$1000=E280),0),0)),"?")</f>
        <v/>
      </c>
      <c r="H280" s="7" t="n">
        <v>1</v>
      </c>
      <c r="I280" s="7" t="inlineStr">
        <is>
          <t>Hayır</t>
        </is>
      </c>
      <c r="J280" s="5" t="inlineStr">
        <is>
          <t>Drive foto</t>
        </is>
      </c>
      <c r="K280" s="5" t="inlineStr">
        <is>
          <t>İçeriği ikram_tepsisi listesinde [güven: high]</t>
        </is>
      </c>
    </row>
    <row r="281" ht="26.4" customHeight="1">
      <c r="A281" s="5" t="inlineStr">
        <is>
          <t>Tare Suites Urla</t>
        </is>
      </c>
      <c r="B281" s="5" t="inlineStr">
        <is>
          <t>EXSB</t>
        </is>
      </c>
      <c r="C281" s="7" t="n"/>
      <c r="D281" s="6">
        <f>IFERROR(INDEX('Kontrol Adımları'!$D:$D,MATCH(1,INDEX(('Kontrol Adımları'!$A$1:$A$400=B281)*('Kontrol Adımları'!$B$1:$B$400=C281),0),0)),"")</f>
        <v/>
      </c>
      <c r="E281" s="5" t="inlineStr">
        <is>
          <t>banyo_aynasi</t>
        </is>
      </c>
      <c r="F281" s="6">
        <f>IFERROR(INDEX('Kalem Kataloğu'!$C$1:$C$1000,MATCH(1,INDEX(('Kalem Kataloğu'!$A$1:$A$1000=A281)*('Kalem Kataloğu'!$B$1:$B$1000=E281),0),0)),"?")</f>
        <v/>
      </c>
      <c r="G281" s="6">
        <f>IFERROR(INDEX('Kalem Kataloğu'!$D$1:$D$1000,MATCH(1,INDEX(('Kalem Kataloğu'!$A$1:$A$1000=A281)*('Kalem Kataloğu'!$B$1:$B$1000=E281),0),0)),"?")</f>
        <v/>
      </c>
      <c r="H281" s="7" t="n">
        <v>1</v>
      </c>
      <c r="I281" s="7" t="inlineStr">
        <is>
          <t>Hayır</t>
        </is>
      </c>
      <c r="J281" s="5" t="inlineStr">
        <is>
          <t>Drive foto</t>
        </is>
      </c>
      <c r="K281" s="5" t="inlineStr">
        <is>
          <t>DSSW yuvarlak hasır çerçeveli; diğerleri ahşap çerçeveli dikdörtgen [güven: high]</t>
        </is>
      </c>
    </row>
    <row r="282" ht="26.4" customHeight="1">
      <c r="A282" s="5" t="inlineStr">
        <is>
          <t>Tare Suites Urla</t>
        </is>
      </c>
      <c r="B282" s="5" t="inlineStr">
        <is>
          <t>EXSB</t>
        </is>
      </c>
      <c r="C282" s="7" t="n"/>
      <c r="D282" s="6">
        <f>IFERROR(INDEX('Kontrol Adımları'!$D:$D,MATCH(1,INDEX(('Kontrol Adımları'!$A$1:$A$400=B282)*('Kontrol Adımları'!$B$1:$B$400=C282),0),0)),"")</f>
        <v/>
      </c>
      <c r="E282" s="5" t="inlineStr">
        <is>
          <t>duman_dedektoru</t>
        </is>
      </c>
      <c r="F282" s="6">
        <f>IFERROR(INDEX('Kalem Kataloğu'!$C$1:$C$1000,MATCH(1,INDEX(('Kalem Kataloğu'!$A$1:$A$1000=A282)*('Kalem Kataloğu'!$B$1:$B$1000=E282),0),0)),"?")</f>
        <v/>
      </c>
      <c r="G282" s="6">
        <f>IFERROR(INDEX('Kalem Kataloğu'!$D$1:$D$1000,MATCH(1,INDEX(('Kalem Kataloğu'!$A$1:$A$1000=A282)*('Kalem Kataloğu'!$B$1:$B$1000=E282),0),0)),"?")</f>
        <v/>
      </c>
      <c r="H282" s="7" t="n">
        <v>1</v>
      </c>
      <c r="I282" s="7" t="inlineStr">
        <is>
          <t>Hayır</t>
        </is>
      </c>
      <c r="J282" s="5" t="inlineStr">
        <is>
          <t>Drive foto</t>
        </is>
      </c>
      <c r="K282" s="5" t="inlineStr">
        <is>
          <t>Tavanda; özellik dosyasında tüm tiplerde var [güven: medium]</t>
        </is>
      </c>
    </row>
    <row r="283">
      <c r="A283" s="5" t="inlineStr">
        <is>
          <t>Tare Suites Urla</t>
        </is>
      </c>
      <c r="B283" s="5" t="inlineStr">
        <is>
          <t>EXSB</t>
        </is>
      </c>
      <c r="C283" s="7" t="n"/>
      <c r="D283" s="6">
        <f>IFERROR(INDEX('Kontrol Adımları'!$D:$D,MATCH(1,INDEX(('Kontrol Adımları'!$A$1:$A$400=B283)*('Kontrol Adımları'!$B$1:$B$400=C283),0),0)),"")</f>
        <v/>
      </c>
      <c r="E283" s="5" t="inlineStr">
        <is>
          <t>aplik</t>
        </is>
      </c>
      <c r="F283" s="6">
        <f>IFERROR(INDEX('Kalem Kataloğu'!$C$1:$C$1000,MATCH(1,INDEX(('Kalem Kataloğu'!$A$1:$A$1000=A283)*('Kalem Kataloğu'!$B$1:$B$1000=E283),0),0)),"?")</f>
        <v/>
      </c>
      <c r="G283" s="6">
        <f>IFERROR(INDEX('Kalem Kataloğu'!$D$1:$D$1000,MATCH(1,INDEX(('Kalem Kataloğu'!$A$1:$A$1000=A283)*('Kalem Kataloğu'!$B$1:$B$1000=E283),0),0)),"?")</f>
        <v/>
      </c>
      <c r="H283" s="7" t="n">
        <v>2</v>
      </c>
      <c r="I283" s="7" t="inlineStr">
        <is>
          <t>Hayır</t>
        </is>
      </c>
      <c r="J283" s="5" t="inlineStr">
        <is>
          <t>Drive foto</t>
        </is>
      </c>
      <c r="K283" s="5" t="inlineStr">
        <is>
          <t>Yatak başı iki yanda [güven: medium]</t>
        </is>
      </c>
    </row>
    <row r="284">
      <c r="A284" s="5" t="inlineStr">
        <is>
          <t>Tare Suites Urla</t>
        </is>
      </c>
      <c r="B284" s="5" t="inlineStr">
        <is>
          <t>EXSB</t>
        </is>
      </c>
      <c r="C284" s="7" t="n"/>
      <c r="D284" s="6">
        <f>IFERROR(INDEX('Kontrol Adımları'!$D:$D,MATCH(1,INDEX(('Kontrol Adımları'!$A$1:$A$400=B284)*('Kontrol Adımları'!$B$1:$B$400=C284),0),0)),"")</f>
        <v/>
      </c>
      <c r="E284" s="5" t="inlineStr">
        <is>
          <t>havlu_rafi</t>
        </is>
      </c>
      <c r="F284" s="6">
        <f>IFERROR(INDEX('Kalem Kataloğu'!$C$1:$C$1000,MATCH(1,INDEX(('Kalem Kataloğu'!$A$1:$A$1000=A284)*('Kalem Kataloğu'!$B$1:$B$1000=E284),0),0)),"?")</f>
        <v/>
      </c>
      <c r="G284" s="6">
        <f>IFERROR(INDEX('Kalem Kataloğu'!$D$1:$D$1000,MATCH(1,INDEX(('Kalem Kataloğu'!$A$1:$A$1000=A284)*('Kalem Kataloğu'!$B$1:$B$1000=E284),0),0)),"?")</f>
        <v/>
      </c>
      <c r="H284" s="7" t="n">
        <v>1</v>
      </c>
      <c r="I284" s="7" t="inlineStr">
        <is>
          <t>Hayır</t>
        </is>
      </c>
      <c r="J284" s="5" t="inlineStr">
        <is>
          <t>Drive foto</t>
        </is>
      </c>
      <c r="K284" s="5" t="inlineStr">
        <is>
          <t xml:space="preserve"> [güven: high]</t>
        </is>
      </c>
    </row>
    <row r="285">
      <c r="A285" s="5" t="inlineStr">
        <is>
          <t>Tare Suites Urla</t>
        </is>
      </c>
      <c r="B285" s="5" t="inlineStr">
        <is>
          <t>EXSB</t>
        </is>
      </c>
      <c r="C285" s="7" t="n"/>
      <c r="D285" s="6">
        <f>IFERROR(INDEX('Kontrol Adımları'!$D:$D,MATCH(1,INDEX(('Kontrol Adımları'!$A$1:$A$400=B285)*('Kontrol Adımları'!$B$1:$B$400=C285),0),0)),"")</f>
        <v/>
      </c>
      <c r="E285" s="5" t="inlineStr">
        <is>
          <t>tablo</t>
        </is>
      </c>
      <c r="F285" s="6">
        <f>IFERROR(INDEX('Kalem Kataloğu'!$C$1:$C$1000,MATCH(1,INDEX(('Kalem Kataloğu'!$A$1:$A$1000=A285)*('Kalem Kataloğu'!$B$1:$B$1000=E285),0),0)),"?")</f>
        <v/>
      </c>
      <c r="G285" s="6">
        <f>IFERROR(INDEX('Kalem Kataloğu'!$D$1:$D$1000,MATCH(1,INDEX(('Kalem Kataloğu'!$A$1:$A$1000=A285)*('Kalem Kataloğu'!$B$1:$B$1000=E285),0),0)),"?")</f>
        <v/>
      </c>
      <c r="H285" s="7" t="n">
        <v>1</v>
      </c>
      <c r="I285" s="7" t="inlineStr">
        <is>
          <t>Hayır</t>
        </is>
      </c>
      <c r="J285" s="5" t="inlineStr">
        <is>
          <t>Drive foto</t>
        </is>
      </c>
      <c r="K285" s="5" t="inlineStr">
        <is>
          <t xml:space="preserve"> [güven: high]</t>
        </is>
      </c>
    </row>
    <row r="286">
      <c r="A286" s="5" t="inlineStr">
        <is>
          <t>Tare Suites Urla</t>
        </is>
      </c>
      <c r="B286" s="5" t="inlineStr">
        <is>
          <t>EXSB</t>
        </is>
      </c>
      <c r="C286" s="7" t="n"/>
      <c r="D286" s="6">
        <f>IFERROR(INDEX('Kontrol Adımları'!$D:$D,MATCH(1,INDEX(('Kontrol Adımları'!$A$1:$A$400=B286)*('Kontrol Adımları'!$B$1:$B$400=C286),0),0)),"")</f>
        <v/>
      </c>
      <c r="E286" s="5" t="inlineStr">
        <is>
          <t>duvar_tv</t>
        </is>
      </c>
      <c r="F286" s="6">
        <f>IFERROR(INDEX('Kalem Kataloğu'!$C$1:$C$1000,MATCH(1,INDEX(('Kalem Kataloğu'!$A$1:$A$1000=A286)*('Kalem Kataloğu'!$B$1:$B$1000=E286),0),0)),"?")</f>
        <v/>
      </c>
      <c r="G286" s="6">
        <f>IFERROR(INDEX('Kalem Kataloğu'!$D$1:$D$1000,MATCH(1,INDEX(('Kalem Kataloğu'!$A$1:$A$1000=A286)*('Kalem Kataloğu'!$B$1:$B$1000=E286),0),0)),"?")</f>
        <v/>
      </c>
      <c r="H286" s="7" t="n">
        <v>1</v>
      </c>
      <c r="I286" s="7" t="inlineStr">
        <is>
          <t>Hayır</t>
        </is>
      </c>
      <c r="J286" s="5" t="inlineStr">
        <is>
          <t>Drive foto</t>
        </is>
      </c>
      <c r="K286" s="5" t="inlineStr">
        <is>
          <t xml:space="preserve"> [güven: high]</t>
        </is>
      </c>
    </row>
    <row r="287" ht="39.6" customHeight="1">
      <c r="A287" s="5" t="inlineStr">
        <is>
          <t>Tare Suites Urla</t>
        </is>
      </c>
      <c r="B287" s="5" t="inlineStr">
        <is>
          <t>EXSB</t>
        </is>
      </c>
      <c r="C287" s="7" t="n"/>
      <c r="D287" s="6">
        <f>IFERROR(INDEX('Kontrol Adımları'!$D:$D,MATCH(1,INDEX(('Kontrol Adımları'!$A$1:$A$400=B287)*('Kontrol Adımları'!$B$1:$B$400=C287),0),0)),"")</f>
        <v/>
      </c>
      <c r="E287" s="5" t="inlineStr">
        <is>
          <t>sivi_sabun_dispenser</t>
        </is>
      </c>
      <c r="F287" s="6">
        <f>IFERROR(INDEX('Kalem Kataloğu'!$C$1:$C$1000,MATCH(1,INDEX(('Kalem Kataloğu'!$A$1:$A$1000=A287)*('Kalem Kataloğu'!$B$1:$B$1000=E287),0),0)),"?")</f>
        <v/>
      </c>
      <c r="G287" s="6">
        <f>IFERROR(INDEX('Kalem Kataloğu'!$D$1:$D$1000,MATCH(1,INDEX(('Kalem Kataloğu'!$A$1:$A$1000=A287)*('Kalem Kataloğu'!$B$1:$B$1000=E287),0),0)),"?")</f>
        <v/>
      </c>
      <c r="H287" s="7" t="n"/>
      <c r="I287" s="7" t="inlineStr">
        <is>
          <t>Hayır</t>
        </is>
      </c>
      <c r="J287" s="5" t="inlineStr">
        <is>
          <t>Drive foto</t>
        </is>
      </c>
      <c r="K287" s="5" t="inlineStr">
        <is>
          <t>DS fotoğraflarında 1 adet görünüyor (sabun); şampuan/duş jeli dispenserleri duş içinde olabilir [güven: medium]</t>
        </is>
      </c>
    </row>
    <row r="288">
      <c r="A288" s="5" t="inlineStr">
        <is>
          <t>Tare Suites Urla</t>
        </is>
      </c>
      <c r="B288" s="5" t="inlineStr">
        <is>
          <t>EXSB</t>
        </is>
      </c>
      <c r="C288" s="7" t="n"/>
      <c r="D288" s="6">
        <f>IFERROR(INDEX('Kontrol Adımları'!$D:$D,MATCH(1,INDEX(('Kontrol Adımları'!$A$1:$A$400=B288)*('Kontrol Adımları'!$B$1:$B$400=C288),0),0)),"")</f>
        <v/>
      </c>
      <c r="E288" s="5" t="inlineStr">
        <is>
          <t>dus_rafi</t>
        </is>
      </c>
      <c r="F288" s="6">
        <f>IFERROR(INDEX('Kalem Kataloğu'!$C$1:$C$1000,MATCH(1,INDEX(('Kalem Kataloğu'!$A$1:$A$1000=A288)*('Kalem Kataloğu'!$B$1:$B$1000=E288),0),0)),"?")</f>
        <v/>
      </c>
      <c r="G288" s="6">
        <f>IFERROR(INDEX('Kalem Kataloğu'!$D$1:$D$1000,MATCH(1,INDEX(('Kalem Kataloğu'!$A$1:$A$1000=A288)*('Kalem Kataloğu'!$B$1:$B$1000=E288),0),0)),"?")</f>
        <v/>
      </c>
      <c r="H288" s="7" t="n"/>
      <c r="I288" s="7" t="inlineStr">
        <is>
          <t>Hayır</t>
        </is>
      </c>
      <c r="J288" s="5" t="inlineStr">
        <is>
          <t>Drive foto</t>
        </is>
      </c>
      <c r="K288" s="5" t="inlineStr">
        <is>
          <t xml:space="preserve"> [güven: medium]</t>
        </is>
      </c>
    </row>
    <row r="289">
      <c r="A289" s="5" t="inlineStr">
        <is>
          <t>Tare Suites Urla</t>
        </is>
      </c>
      <c r="B289" s="5" t="inlineStr">
        <is>
          <t>EXSB</t>
        </is>
      </c>
      <c r="C289" s="7" t="n"/>
      <c r="D289" s="6">
        <f>IFERROR(INDEX('Kontrol Adımları'!$D:$D,MATCH(1,INDEX(('Kontrol Adımları'!$A$1:$A$400=B289)*('Kontrol Adımları'!$B$1:$B$400=C289),0),0)),"")</f>
        <v/>
      </c>
      <c r="E289" s="5" t="inlineStr">
        <is>
          <t>dus_kabini</t>
        </is>
      </c>
      <c r="F289" s="6">
        <f>IFERROR(INDEX('Kalem Kataloğu'!$C$1:$C$1000,MATCH(1,INDEX(('Kalem Kataloğu'!$A$1:$A$1000=A289)*('Kalem Kataloğu'!$B$1:$B$1000=E289),0),0)),"?")</f>
        <v/>
      </c>
      <c r="G289" s="6">
        <f>IFERROR(INDEX('Kalem Kataloğu'!$D$1:$D$1000,MATCH(1,INDEX(('Kalem Kataloğu'!$A$1:$A$1000=A289)*('Kalem Kataloğu'!$B$1:$B$1000=E289),0),0)),"?")</f>
        <v/>
      </c>
      <c r="H289" s="7" t="n">
        <v>1</v>
      </c>
      <c r="I289" s="7" t="inlineStr">
        <is>
          <t>Hayır</t>
        </is>
      </c>
      <c r="J289" s="5" t="inlineStr">
        <is>
          <t>Drive foto</t>
        </is>
      </c>
      <c r="K289" s="5" t="inlineStr">
        <is>
          <t xml:space="preserve"> [güven: high]</t>
        </is>
      </c>
    </row>
    <row r="290" ht="26.4" customHeight="1">
      <c r="A290" s="5" t="inlineStr">
        <is>
          <t>Tare Suites Urla</t>
        </is>
      </c>
      <c r="B290" s="5" t="inlineStr">
        <is>
          <t>EXSB</t>
        </is>
      </c>
      <c r="C290" s="7" t="n"/>
      <c r="D290" s="6">
        <f>IFERROR(INDEX('Kontrol Adımları'!$D:$D,MATCH(1,INDEX(('Kontrol Adımları'!$A$1:$A$400=B290)*('Kontrol Adımları'!$B$1:$B$400=C290),0),0)),"")</f>
        <v/>
      </c>
      <c r="E290" s="5" t="inlineStr">
        <is>
          <t>gardirop</t>
        </is>
      </c>
      <c r="F290" s="6">
        <f>IFERROR(INDEX('Kalem Kataloğu'!$C$1:$C$1000,MATCH(1,INDEX(('Kalem Kataloğu'!$A$1:$A$1000=A290)*('Kalem Kataloğu'!$B$1:$B$1000=E290),0),0)),"?")</f>
        <v/>
      </c>
      <c r="G290" s="6">
        <f>IFERROR(INDEX('Kalem Kataloğu'!$D$1:$D$1000,MATCH(1,INDEX(('Kalem Kataloğu'!$A$1:$A$1000=A290)*('Kalem Kataloğu'!$B$1:$B$1000=E290),0),0)),"?")</f>
        <v/>
      </c>
      <c r="H290" s="7" t="n">
        <v>1</v>
      </c>
      <c r="I290" s="7" t="inlineStr">
        <is>
          <t>Hayır</t>
        </is>
      </c>
      <c r="J290" s="5" t="inlineStr">
        <is>
          <t>Drive foto</t>
        </is>
      </c>
      <c r="K290" s="5" t="inlineStr">
        <is>
          <t>Özellik dosyasında tüm tiplerde var; yalnız EXSB fotoğrafında görünüyor [güven: medium]</t>
        </is>
      </c>
    </row>
    <row r="291" ht="26.4" customHeight="1">
      <c r="A291" s="5" t="inlineStr">
        <is>
          <t>Tare Suites Urla</t>
        </is>
      </c>
      <c r="B291" s="5" t="inlineStr">
        <is>
          <t>EXSB</t>
        </is>
      </c>
      <c r="C291" s="7" t="n"/>
      <c r="D291" s="6">
        <f>IFERROR(INDEX('Kontrol Adımları'!$D:$D,MATCH(1,INDEX(('Kontrol Adımları'!$A$1:$A$400=B291)*('Kontrol Adımları'!$B$1:$B$400=C291),0),0)),"")</f>
        <v/>
      </c>
      <c r="E291" s="5" t="inlineStr">
        <is>
          <t>komodin</t>
        </is>
      </c>
      <c r="F291" s="6">
        <f>IFERROR(INDEX('Kalem Kataloğu'!$C$1:$C$1000,MATCH(1,INDEX(('Kalem Kataloğu'!$A$1:$A$1000=A291)*('Kalem Kataloğu'!$B$1:$B$1000=E291),0),0)),"?")</f>
        <v/>
      </c>
      <c r="G291" s="6">
        <f>IFERROR(INDEX('Kalem Kataloğu'!$D$1:$D$1000,MATCH(1,INDEX(('Kalem Kataloğu'!$A$1:$A$1000=A291)*('Kalem Kataloğu'!$B$1:$B$1000=E291),0),0)),"?")</f>
        <v/>
      </c>
      <c r="H291" s="7" t="n">
        <v>2</v>
      </c>
      <c r="I291" s="7" t="inlineStr">
        <is>
          <t>Hayır</t>
        </is>
      </c>
      <c r="J291" s="5" t="inlineStr">
        <is>
          <t>Drive foto</t>
        </is>
      </c>
      <c r="K291" s="5" t="inlineStr">
        <is>
          <t>DSSW fotoğrafında yalnız bir yan görünüyor; muhtemelen 2 [güven: medium]</t>
        </is>
      </c>
    </row>
    <row r="292" ht="26.4" customHeight="1">
      <c r="A292" s="5" t="inlineStr">
        <is>
          <t>Tare Suites Urla</t>
        </is>
      </c>
      <c r="B292" s="5" t="inlineStr">
        <is>
          <t>EXSB</t>
        </is>
      </c>
      <c r="C292" s="7" t="n"/>
      <c r="D292" s="6">
        <f>IFERROR(INDEX('Kontrol Adımları'!$D:$D,MATCH(1,INDEX(('Kontrol Adımları'!$A$1:$A$400=B292)*('Kontrol Adımları'!$B$1:$B$400=C292),0),0)),"")</f>
        <v/>
      </c>
      <c r="E292" s="5" t="inlineStr">
        <is>
          <t>calisma_masasi_ayna</t>
        </is>
      </c>
      <c r="F292" s="6">
        <f>IFERROR(INDEX('Kalem Kataloğu'!$C$1:$C$1000,MATCH(1,INDEX(('Kalem Kataloğu'!$A$1:$A$1000=A292)*('Kalem Kataloğu'!$B$1:$B$1000=E292),0),0)),"?")</f>
        <v/>
      </c>
      <c r="G292" s="6">
        <f>IFERROR(INDEX('Kalem Kataloğu'!$D$1:$D$1000,MATCH(1,INDEX(('Kalem Kataloğu'!$A$1:$A$1000=A292)*('Kalem Kataloğu'!$B$1:$B$1000=E292),0),0)),"?")</f>
        <v/>
      </c>
      <c r="H292" s="7" t="n">
        <v>1</v>
      </c>
      <c r="I292" s="7" t="inlineStr">
        <is>
          <t>Hayır</t>
        </is>
      </c>
      <c r="J292" s="5" t="inlineStr">
        <is>
          <t>Drive foto</t>
        </is>
      </c>
      <c r="K292" s="5" t="inlineStr">
        <is>
          <t xml:space="preserve"> [güven: high]</t>
        </is>
      </c>
    </row>
    <row r="293">
      <c r="A293" s="5" t="inlineStr">
        <is>
          <t>Tare Suites Urla</t>
        </is>
      </c>
      <c r="B293" s="5" t="inlineStr">
        <is>
          <t>EXSB</t>
        </is>
      </c>
      <c r="C293" s="7" t="n"/>
      <c r="D293" s="6">
        <f>IFERROR(INDEX('Kontrol Adımları'!$D:$D,MATCH(1,INDEX(('Kontrol Adımları'!$A$1:$A$400=B293)*('Kontrol Adımları'!$B$1:$B$400=C293),0),0)),"")</f>
        <v/>
      </c>
      <c r="E293" s="5" t="inlineStr">
        <is>
          <t>lavabo_dolabi</t>
        </is>
      </c>
      <c r="F293" s="6">
        <f>IFERROR(INDEX('Kalem Kataloğu'!$C$1:$C$1000,MATCH(1,INDEX(('Kalem Kataloğu'!$A$1:$A$1000=A293)*('Kalem Kataloğu'!$B$1:$B$1000=E293),0),0)),"?")</f>
        <v/>
      </c>
      <c r="G293" s="6">
        <f>IFERROR(INDEX('Kalem Kataloğu'!$D$1:$D$1000,MATCH(1,INDEX(('Kalem Kataloğu'!$A$1:$A$1000=A293)*('Kalem Kataloğu'!$B$1:$B$1000=E293),0),0)),"?")</f>
        <v/>
      </c>
      <c r="H293" s="7" t="n">
        <v>1</v>
      </c>
      <c r="I293" s="7" t="inlineStr">
        <is>
          <t>Hayır</t>
        </is>
      </c>
      <c r="J293" s="5" t="inlineStr">
        <is>
          <t>Drive foto</t>
        </is>
      </c>
      <c r="K293" s="5" t="inlineStr">
        <is>
          <t xml:space="preserve"> [güven: high]</t>
        </is>
      </c>
    </row>
    <row r="294" ht="39.6" customHeight="1">
      <c r="A294" s="5" t="inlineStr">
        <is>
          <t>Tare Suites Urla</t>
        </is>
      </c>
      <c r="B294" s="5" t="inlineStr">
        <is>
          <t>EXSB</t>
        </is>
      </c>
      <c r="C294" s="7" t="n"/>
      <c r="D294" s="6">
        <f>IFERROR(INDEX('Kontrol Adımları'!$D:$D,MATCH(1,INDEX(('Kontrol Adımları'!$A$1:$A$400=B294)*('Kontrol Adımları'!$B$1:$B$400=C294),0),0)),"")</f>
        <v/>
      </c>
      <c r="E294" s="5" t="inlineStr">
        <is>
          <t>mini_buzdolabi</t>
        </is>
      </c>
      <c r="F294" s="6">
        <f>IFERROR(INDEX('Kalem Kataloğu'!$C$1:$C$1000,MATCH(1,INDEX(('Kalem Kataloğu'!$A$1:$A$1000=A294)*('Kalem Kataloğu'!$B$1:$B$1000=E294),0),0)),"?")</f>
        <v/>
      </c>
      <c r="G294" s="6">
        <f>IFERROR(INDEX('Kalem Kataloğu'!$D$1:$D$1000,MATCH(1,INDEX(('Kalem Kataloğu'!$A$1:$A$1000=A294)*('Kalem Kataloğu'!$B$1:$B$1000=E294),0),0)),"?")</f>
        <v/>
      </c>
      <c r="H294" s="7" t="n">
        <v>1</v>
      </c>
      <c r="I294" s="7" t="inlineStr">
        <is>
          <t>Hayır</t>
        </is>
      </c>
      <c r="J294" s="5" t="inlineStr">
        <is>
          <t>Drive foto</t>
        </is>
      </c>
      <c r="K294" s="5" t="inlineStr">
        <is>
          <t>Özellik dosyasında Urla Suites için Buzdolabı "-" ama fotoğraflarda masa altında mini buzdolabı var — teyit [güven: high]</t>
        </is>
      </c>
    </row>
    <row r="295">
      <c r="A295" s="5" t="inlineStr">
        <is>
          <t>Tare Suites Urla</t>
        </is>
      </c>
      <c r="B295" s="5" t="inlineStr">
        <is>
          <t>EXSB</t>
        </is>
      </c>
      <c r="C295" s="7" t="n"/>
      <c r="D295" s="6">
        <f>IFERROR(INDEX('Kontrol Adımları'!$D:$D,MATCH(1,INDEX(('Kontrol Adımları'!$A$1:$A$400=B295)*('Kontrol Adımları'!$B$1:$B$400=C295),0),0)),"")</f>
        <v/>
      </c>
      <c r="E295" s="5" t="inlineStr">
        <is>
          <t>banyo_cop_kovasi</t>
        </is>
      </c>
      <c r="F295" s="6">
        <f>IFERROR(INDEX('Kalem Kataloğu'!$C$1:$C$1000,MATCH(1,INDEX(('Kalem Kataloğu'!$A$1:$A$1000=A295)*('Kalem Kataloğu'!$B$1:$B$1000=E295),0),0)),"?")</f>
        <v/>
      </c>
      <c r="G295" s="6">
        <f>IFERROR(INDEX('Kalem Kataloğu'!$D$1:$D$1000,MATCH(1,INDEX(('Kalem Kataloğu'!$A$1:$A$1000=A295)*('Kalem Kataloğu'!$B$1:$B$1000=E295),0),0)),"?")</f>
        <v/>
      </c>
      <c r="H295" s="7" t="n"/>
      <c r="I295" s="7" t="inlineStr">
        <is>
          <t>Hayır</t>
        </is>
      </c>
      <c r="J295" s="5" t="inlineStr">
        <is>
          <t>Drive foto</t>
        </is>
      </c>
      <c r="K295" s="5" t="inlineStr">
        <is>
          <t xml:space="preserve"> [güven: medium]</t>
        </is>
      </c>
    </row>
    <row r="296">
      <c r="A296" s="5" t="inlineStr">
        <is>
          <t>Tare Suites Urla</t>
        </is>
      </c>
      <c r="B296" s="5" t="inlineStr">
        <is>
          <t>EXSB</t>
        </is>
      </c>
      <c r="C296" s="7" t="n"/>
      <c r="D296" s="6">
        <f>IFERROR(INDEX('Kontrol Adımları'!$D:$D,MATCH(1,INDEX(('Kontrol Adımları'!$A$1:$A$400=B296)*('Kontrol Adımları'!$B$1:$B$400=C296),0),0)),"")</f>
        <v/>
      </c>
      <c r="E296" s="5" t="inlineStr">
        <is>
          <t>sandalye</t>
        </is>
      </c>
      <c r="F296" s="6">
        <f>IFERROR(INDEX('Kalem Kataloğu'!$C$1:$C$1000,MATCH(1,INDEX(('Kalem Kataloğu'!$A$1:$A$1000=A296)*('Kalem Kataloğu'!$B$1:$B$1000=E296),0),0)),"?")</f>
        <v/>
      </c>
      <c r="G296" s="6">
        <f>IFERROR(INDEX('Kalem Kataloğu'!$D$1:$D$1000,MATCH(1,INDEX(('Kalem Kataloğu'!$A$1:$A$1000=A296)*('Kalem Kataloğu'!$B$1:$B$1000=E296),0),0)),"?")</f>
        <v/>
      </c>
      <c r="H296" s="7" t="n">
        <v>2</v>
      </c>
      <c r="I296" s="7" t="inlineStr">
        <is>
          <t>Hayır</t>
        </is>
      </c>
      <c r="J296" s="5" t="inlineStr">
        <is>
          <t>Drive foto</t>
        </is>
      </c>
      <c r="K296" s="5" t="inlineStr">
        <is>
          <t xml:space="preserve"> [güven: high]</t>
        </is>
      </c>
    </row>
    <row r="297" ht="26.4" customHeight="1">
      <c r="A297" s="5" t="inlineStr">
        <is>
          <t>Tare Suites Urla</t>
        </is>
      </c>
      <c r="B297" s="5" t="inlineStr">
        <is>
          <t>EXSB</t>
        </is>
      </c>
      <c r="C297" s="7" t="n"/>
      <c r="D297" s="6">
        <f>IFERROR(INDEX('Kontrol Adımları'!$D:$D,MATCH(1,INDEX(('Kontrol Adımları'!$A$1:$A$400=B297)*('Kontrol Adımları'!$B$1:$B$400=C297),0),0)),"")</f>
        <v/>
      </c>
      <c r="E297" s="5" t="inlineStr">
        <is>
          <t>sac_kurutma</t>
        </is>
      </c>
      <c r="F297" s="6">
        <f>IFERROR(INDEX('Kalem Kataloğu'!$C$1:$C$1000,MATCH(1,INDEX(('Kalem Kataloğu'!$A$1:$A$1000=A297)*('Kalem Kataloğu'!$B$1:$B$1000=E297),0),0)),"?")</f>
        <v/>
      </c>
      <c r="G297" s="6">
        <f>IFERROR(INDEX('Kalem Kataloğu'!$D$1:$D$1000,MATCH(1,INDEX(('Kalem Kataloğu'!$A$1:$A$1000=A297)*('Kalem Kataloğu'!$B$1:$B$1000=E297),0),0)),"?")</f>
        <v/>
      </c>
      <c r="H297" s="7" t="n"/>
      <c r="I297" s="7" t="inlineStr">
        <is>
          <t>Hayır</t>
        </is>
      </c>
      <c r="J297" s="5" t="inlineStr">
        <is>
          <t>Drive foto</t>
        </is>
      </c>
      <c r="K297" s="5" t="inlineStr">
        <is>
          <t>Özellik dosyasında tüm tiplerde var; yalnız EDR fotoğrafında görünüyor [güven: medium]</t>
        </is>
      </c>
    </row>
    <row r="298">
      <c r="A298" s="5" t="inlineStr">
        <is>
          <t>Tare Suites Urla</t>
        </is>
      </c>
      <c r="B298" s="5" t="inlineStr">
        <is>
          <t>EXSB</t>
        </is>
      </c>
      <c r="C298" s="7" t="n"/>
      <c r="D298" s="6">
        <f>IFERROR(INDEX('Kontrol Adımları'!$D:$D,MATCH(1,INDEX(('Kontrol Adımları'!$A$1:$A$400=B298)*('Kontrol Adımları'!$B$1:$B$400=C298),0),0)),"")</f>
        <v/>
      </c>
      <c r="E298" s="5" t="inlineStr">
        <is>
          <t>klima</t>
        </is>
      </c>
      <c r="F298" s="6">
        <f>IFERROR(INDEX('Kalem Kataloğu'!$C$1:$C$1000,MATCH(1,INDEX(('Kalem Kataloğu'!$A$1:$A$1000=A298)*('Kalem Kataloğu'!$B$1:$B$1000=E298),0),0)),"?")</f>
        <v/>
      </c>
      <c r="G298" s="6">
        <f>IFERROR(INDEX('Kalem Kataloğu'!$D$1:$D$1000,MATCH(1,INDEX(('Kalem Kataloğu'!$A$1:$A$1000=A298)*('Kalem Kataloğu'!$B$1:$B$1000=E298),0),0)),"?")</f>
        <v/>
      </c>
      <c r="H298" s="7" t="n">
        <v>1</v>
      </c>
      <c r="I298" s="7" t="inlineStr">
        <is>
          <t>Hayır</t>
        </is>
      </c>
      <c r="J298" s="5" t="inlineStr">
        <is>
          <t>Drive foto</t>
        </is>
      </c>
      <c r="K298" s="5" t="inlineStr">
        <is>
          <t xml:space="preserve"> [güven: high]</t>
        </is>
      </c>
    </row>
    <row r="299">
      <c r="A299" s="5" t="inlineStr">
        <is>
          <t>Tare Suites Urla</t>
        </is>
      </c>
      <c r="B299" s="5" t="inlineStr">
        <is>
          <t>EXSB</t>
        </is>
      </c>
      <c r="C299" s="7" t="n"/>
      <c r="D299" s="6">
        <f>IFERROR(INDEX('Kontrol Adımları'!$D:$D,MATCH(1,INDEX(('Kontrol Adımları'!$A$1:$A$400=B299)*('Kontrol Adımları'!$B$1:$B$400=C299),0),0)),"")</f>
        <v/>
      </c>
      <c r="E299" s="5" t="inlineStr">
        <is>
          <t>kettle</t>
        </is>
      </c>
      <c r="F299" s="6">
        <f>IFERROR(INDEX('Kalem Kataloğu'!$C$1:$C$1000,MATCH(1,INDEX(('Kalem Kataloğu'!$A$1:$A$1000=A299)*('Kalem Kataloğu'!$B$1:$B$1000=E299),0),0)),"?")</f>
        <v/>
      </c>
      <c r="G299" s="6">
        <f>IFERROR(INDEX('Kalem Kataloğu'!$D$1:$D$1000,MATCH(1,INDEX(('Kalem Kataloğu'!$A$1:$A$1000=A299)*('Kalem Kataloğu'!$B$1:$B$1000=E299),0),0)),"?")</f>
        <v/>
      </c>
      <c r="H299" s="7" t="n">
        <v>1</v>
      </c>
      <c r="I299" s="7" t="inlineStr">
        <is>
          <t>Hayır</t>
        </is>
      </c>
      <c r="J299" s="5" t="inlineStr">
        <is>
          <t>Drive foto</t>
        </is>
      </c>
      <c r="K299" s="5" t="inlineStr">
        <is>
          <t xml:space="preserve"> [güven: high]</t>
        </is>
      </c>
    </row>
    <row r="300">
      <c r="A300" s="5" t="inlineStr">
        <is>
          <t>Tare Suites Urla</t>
        </is>
      </c>
      <c r="B300" s="5" t="inlineStr">
        <is>
          <t>EXSB</t>
        </is>
      </c>
      <c r="C300" s="7" t="n"/>
      <c r="D300" s="6">
        <f>IFERROR(INDEX('Kontrol Adımları'!$D:$D,MATCH(1,INDEX(('Kontrol Adımları'!$A$1:$A$400=B300)*('Kontrol Adımları'!$B$1:$B$400=C300),0),0)),"")</f>
        <v/>
      </c>
      <c r="E300" s="5" t="inlineStr">
        <is>
          <t>tuvalet_kagidi_aparati</t>
        </is>
      </c>
      <c r="F300" s="6">
        <f>IFERROR(INDEX('Kalem Kataloğu'!$C$1:$C$1000,MATCH(1,INDEX(('Kalem Kataloğu'!$A$1:$A$1000=A300)*('Kalem Kataloğu'!$B$1:$B$1000=E300),0),0)),"?")</f>
        <v/>
      </c>
      <c r="G300" s="6">
        <f>IFERROR(INDEX('Kalem Kataloğu'!$D$1:$D$1000,MATCH(1,INDEX(('Kalem Kataloğu'!$A$1:$A$1000=A300)*('Kalem Kataloğu'!$B$1:$B$1000=E300),0),0)),"?")</f>
        <v/>
      </c>
      <c r="H300" s="7" t="n"/>
      <c r="I300" s="7" t="inlineStr">
        <is>
          <t>Hayır</t>
        </is>
      </c>
      <c r="J300" s="5" t="inlineStr">
        <is>
          <t>Drive foto</t>
        </is>
      </c>
      <c r="K300" s="5" t="inlineStr">
        <is>
          <t xml:space="preserve"> [güven: high]</t>
        </is>
      </c>
    </row>
    <row r="301">
      <c r="A301" s="5" t="inlineStr">
        <is>
          <t>Tare Suites Urla</t>
        </is>
      </c>
      <c r="B301" s="5" t="inlineStr">
        <is>
          <t>EXSB</t>
        </is>
      </c>
      <c r="C301" s="7" t="n"/>
      <c r="D301" s="6">
        <f>IFERROR(INDEX('Kontrol Adımları'!$D:$D,MATCH(1,INDEX(('Kontrol Adımları'!$A$1:$A$400=B301)*('Kontrol Adımları'!$B$1:$B$400=C301),0),0)),"")</f>
        <v/>
      </c>
      <c r="E301" s="5" t="inlineStr">
        <is>
          <t>wc_fircasi</t>
        </is>
      </c>
      <c r="F301" s="6">
        <f>IFERROR(INDEX('Kalem Kataloğu'!$C$1:$C$1000,MATCH(1,INDEX(('Kalem Kataloğu'!$A$1:$A$1000=A301)*('Kalem Kataloğu'!$B$1:$B$1000=E301),0),0)),"?")</f>
        <v/>
      </c>
      <c r="G301" s="6">
        <f>IFERROR(INDEX('Kalem Kataloğu'!$D$1:$D$1000,MATCH(1,INDEX(('Kalem Kataloğu'!$A$1:$A$1000=A301)*('Kalem Kataloğu'!$B$1:$B$1000=E301),0),0)),"?")</f>
        <v/>
      </c>
      <c r="H301" s="7" t="n"/>
      <c r="I301" s="7" t="inlineStr">
        <is>
          <t>Hayır</t>
        </is>
      </c>
      <c r="J301" s="5" t="inlineStr">
        <is>
          <t>Drive foto</t>
        </is>
      </c>
      <c r="K301" s="5" t="inlineStr">
        <is>
          <t xml:space="preserve"> [güven: medium]</t>
        </is>
      </c>
    </row>
    <row r="302" ht="39.6" customHeight="1">
      <c r="A302" s="5" t="inlineStr">
        <is>
          <t>Tare Suites Urla</t>
        </is>
      </c>
      <c r="B302" s="5" t="inlineStr">
        <is>
          <t>EXSB</t>
        </is>
      </c>
      <c r="C302" s="7" t="n"/>
      <c r="D302" s="6">
        <f>IFERROR(INDEX('Kontrol Adımları'!$D:$D,MATCH(1,INDEX(('Kontrol Adımları'!$A$1:$A$400=B302)*('Kontrol Adımları'!$B$1:$B$400=C302),0),0)),"")</f>
        <v/>
      </c>
      <c r="E302" s="5" t="inlineStr">
        <is>
          <t>yastik</t>
        </is>
      </c>
      <c r="F302" s="6">
        <f>IFERROR(INDEX('Kalem Kataloğu'!$C$1:$C$1000,MATCH(1,INDEX(('Kalem Kataloğu'!$A$1:$A$1000=A302)*('Kalem Kataloğu'!$B$1:$B$1000=E302),0),0)),"?")</f>
        <v/>
      </c>
      <c r="G302" s="6">
        <f>IFERROR(INDEX('Kalem Kataloğu'!$D$1:$D$1000,MATCH(1,INDEX(('Kalem Kataloğu'!$A$1:$A$1000=A302)*('Kalem Kataloğu'!$B$1:$B$1000=E302),0),0)),"?")</f>
        <v/>
      </c>
      <c r="H302" s="7" t="n">
        <v>4</v>
      </c>
      <c r="I302" s="7" t="inlineStr">
        <is>
          <t>Hayır</t>
        </is>
      </c>
      <c r="J302" s="5" t="inlineStr">
        <is>
          <t>Drive foto</t>
        </is>
      </c>
      <c r="K302" s="5" t="inlineStr">
        <is>
          <t>Yatak başına görünen; EDR/EXSB/DFS 2+2 dizilmiş, DSSW/DS 2. Standart olarak teyit edilmeli [güven: medium]</t>
        </is>
      </c>
    </row>
    <row r="303" ht="26.4" customHeight="1">
      <c r="A303" s="5" t="inlineStr">
        <is>
          <t>Tare Suites Urla</t>
        </is>
      </c>
      <c r="B303" s="5" t="inlineStr">
        <is>
          <t>EXSB</t>
        </is>
      </c>
      <c r="C303" s="7" t="n"/>
      <c r="D303" s="6">
        <f>IFERROR(INDEX('Kontrol Adımları'!$D:$D,MATCH(1,INDEX(('Kontrol Adımları'!$A$1:$A$400=B303)*('Kontrol Adımları'!$B$1:$B$400=C303),0),0)),"")</f>
        <v/>
      </c>
      <c r="E303" s="5" t="inlineStr">
        <is>
          <t>masa_sandalye_seti</t>
        </is>
      </c>
      <c r="F303" s="6">
        <f>IFERROR(INDEX('Kalem Kataloğu'!$C$1:$C$1000,MATCH(1,INDEX(('Kalem Kataloğu'!$A$1:$A$1000=A303)*('Kalem Kataloğu'!$B$1:$B$1000=E303),0),0)),"?")</f>
        <v/>
      </c>
      <c r="G303" s="6">
        <f>IFERROR(INDEX('Kalem Kataloğu'!$D$1:$D$1000,MATCH(1,INDEX(('Kalem Kataloğu'!$A$1:$A$1000=A303)*('Kalem Kataloğu'!$B$1:$B$1000=E303),0),0)),"?")</f>
        <v/>
      </c>
      <c r="H303" s="7" t="n">
        <v>1</v>
      </c>
      <c r="I303" s="7" t="inlineStr">
        <is>
          <t>Hayır</t>
        </is>
      </c>
      <c r="J303" s="5" t="inlineStr">
        <is>
          <t>Drive foto</t>
        </is>
      </c>
      <c r="K303" s="5" t="inlineStr">
        <is>
          <t>EDR fotoğraflarında oturma grubu yok (özellik dosyasıyla uyumlu) [güven: high]</t>
        </is>
      </c>
    </row>
    <row r="304" ht="26.4" customHeight="1">
      <c r="A304" s="5" t="inlineStr">
        <is>
          <t>Tare Suites Urla</t>
        </is>
      </c>
      <c r="B304" s="5" t="inlineStr">
        <is>
          <t>EXSB</t>
        </is>
      </c>
      <c r="C304" s="7" t="n"/>
      <c r="D304" s="6">
        <f>IFERROR(INDEX('Kontrol Adımları'!$D:$D,MATCH(1,INDEX(('Kontrol Adımları'!$A$1:$A$400=B304)*('Kontrol Adımları'!$B$1:$B$400=C304),0),0)),"")</f>
        <v/>
      </c>
      <c r="E304" s="5" t="inlineStr">
        <is>
          <t>cift_kisilik_yatak</t>
        </is>
      </c>
      <c r="F304" s="6">
        <f>IFERROR(INDEX('Kalem Kataloğu'!$C$1:$C$1000,MATCH(1,INDEX(('Kalem Kataloğu'!$A$1:$A$1000=A304)*('Kalem Kataloğu'!$B$1:$B$1000=E304),0),0)),"?")</f>
        <v/>
      </c>
      <c r="G304" s="6">
        <f>IFERROR(INDEX('Kalem Kataloğu'!$D$1:$D$1000,MATCH(1,INDEX(('Kalem Kataloğu'!$A$1:$A$1000=A304)*('Kalem Kataloğu'!$B$1:$B$1000=E304),0),0)),"?")</f>
        <v/>
      </c>
      <c r="H304" s="7" t="n">
        <v>1</v>
      </c>
      <c r="I304" s="7" t="inlineStr">
        <is>
          <t>Hayır</t>
        </is>
      </c>
      <c r="J304" s="5" t="inlineStr">
        <is>
          <t>Drive foto</t>
        </is>
      </c>
      <c r="K304" s="5" t="inlineStr">
        <is>
          <t>DFS dubleks: üst katta (asma kat) ek yatak alanı olabilir, fotoğrafta net değil [güven: high]</t>
        </is>
      </c>
    </row>
    <row r="305">
      <c r="A305" s="5" t="inlineStr">
        <is>
          <t>Tare Village Urla</t>
        </is>
      </c>
      <c r="B305" s="5" t="inlineStr">
        <is>
          <t>VBS</t>
        </is>
      </c>
      <c r="C305" s="7" t="n"/>
      <c r="D305" s="6">
        <f>IFERROR(INDEX('Kontrol Adımları'!$D:$D,MATCH(1,INDEX(('Kontrol Adımları'!$A$1:$A$400=B305)*('Kontrol Adımları'!$B$1:$B$400=C305),0),0)),"")</f>
        <v/>
      </c>
      <c r="E305" s="5" t="inlineStr">
        <is>
          <t>bank</t>
        </is>
      </c>
      <c r="F305" s="6">
        <f>IFERROR(INDEX('Kalem Kataloğu'!$C$1:$C$1000,MATCH(1,INDEX(('Kalem Kataloğu'!$A$1:$A$1000=A305)*('Kalem Kataloğu'!$B$1:$B$1000=E305),0),0)),"?")</f>
        <v/>
      </c>
      <c r="G305" s="6">
        <f>IFERROR(INDEX('Kalem Kataloğu'!$D$1:$D$1000,MATCH(1,INDEX(('Kalem Kataloğu'!$A$1:$A$1000=A305)*('Kalem Kataloğu'!$B$1:$B$1000=E305),0),0)),"?")</f>
        <v/>
      </c>
      <c r="H305" s="7" t="n"/>
      <c r="I305" s="7" t="inlineStr">
        <is>
          <t>Hayır</t>
        </is>
      </c>
      <c r="J305" s="5" t="inlineStr">
        <is>
          <t>Drive foto</t>
        </is>
      </c>
      <c r="K305" s="5" t="inlineStr">
        <is>
          <t xml:space="preserve"> [güven: high]</t>
        </is>
      </c>
    </row>
    <row r="306">
      <c r="A306" s="5" t="inlineStr">
        <is>
          <t>Tare Village Urla</t>
        </is>
      </c>
      <c r="B306" s="5" t="inlineStr">
        <is>
          <t>VBS</t>
        </is>
      </c>
      <c r="C306" s="7" t="n"/>
      <c r="D306" s="6">
        <f>IFERROR(INDEX('Kontrol Adımları'!$D:$D,MATCH(1,INDEX(('Kontrol Adımları'!$A$1:$A$400=B306)*('Kontrol Adımları'!$B$1:$B$400=C306),0),0)),"")</f>
        <v/>
      </c>
      <c r="E306" s="5" t="inlineStr">
        <is>
          <t>ankastre_firin</t>
        </is>
      </c>
      <c r="F306" s="6">
        <f>IFERROR(INDEX('Kalem Kataloğu'!$C$1:$C$1000,MATCH(1,INDEX(('Kalem Kataloğu'!$A$1:$A$1000=A306)*('Kalem Kataloğu'!$B$1:$B$1000=E306),0),0)),"?")</f>
        <v/>
      </c>
      <c r="G306" s="6">
        <f>IFERROR(INDEX('Kalem Kataloğu'!$D$1:$D$1000,MATCH(1,INDEX(('Kalem Kataloğu'!$A$1:$A$1000=A306)*('Kalem Kataloğu'!$B$1:$B$1000=E306),0),0)),"?")</f>
        <v/>
      </c>
      <c r="H306" s="7" t="n">
        <v>1</v>
      </c>
      <c r="I306" s="7" t="inlineStr">
        <is>
          <t>Hayır</t>
        </is>
      </c>
      <c r="J306" s="5" t="inlineStr">
        <is>
          <t>Drive foto</t>
        </is>
      </c>
      <c r="K306" s="5" t="inlineStr">
        <is>
          <t xml:space="preserve"> [güven: high]</t>
        </is>
      </c>
    </row>
    <row r="307">
      <c r="A307" s="5" t="inlineStr">
        <is>
          <t>Tare Village Urla</t>
        </is>
      </c>
      <c r="B307" s="5" t="inlineStr">
        <is>
          <t>VBS</t>
        </is>
      </c>
      <c r="C307" s="7" t="n"/>
      <c r="D307" s="6">
        <f>IFERROR(INDEX('Kontrol Adımları'!$D:$D,MATCH(1,INDEX(('Kontrol Adımları'!$A$1:$A$400=B307)*('Kontrol Adımları'!$B$1:$B$400=C307),0),0)),"")</f>
        <v/>
      </c>
      <c r="E307" s="5" t="inlineStr">
        <is>
          <t>bulasik_deterjani</t>
        </is>
      </c>
      <c r="F307" s="6">
        <f>IFERROR(INDEX('Kalem Kataloğu'!$C$1:$C$1000,MATCH(1,INDEX(('Kalem Kataloğu'!$A$1:$A$1000=A307)*('Kalem Kataloğu'!$B$1:$B$1000=E307),0),0)),"?")</f>
        <v/>
      </c>
      <c r="G307" s="6">
        <f>IFERROR(INDEX('Kalem Kataloğu'!$D$1:$D$1000,MATCH(1,INDEX(('Kalem Kataloğu'!$A$1:$A$1000=A307)*('Kalem Kataloğu'!$B$1:$B$1000=E307),0),0)),"?")</f>
        <v/>
      </c>
      <c r="H307" s="7" t="n">
        <v>1</v>
      </c>
      <c r="I307" s="7" t="inlineStr">
        <is>
          <t>Hayır</t>
        </is>
      </c>
      <c r="J307" s="5" t="inlineStr">
        <is>
          <t>Drive foto</t>
        </is>
      </c>
      <c r="K307" s="5" t="inlineStr">
        <is>
          <t xml:space="preserve"> [güven: low]</t>
        </is>
      </c>
    </row>
    <row r="308" ht="26.4" customHeight="1">
      <c r="A308" s="5" t="inlineStr">
        <is>
          <t>Tare Village Urla</t>
        </is>
      </c>
      <c r="B308" s="5" t="inlineStr">
        <is>
          <t>VBS</t>
        </is>
      </c>
      <c r="C308" s="7" t="n"/>
      <c r="D308" s="6">
        <f>IFERROR(INDEX('Kontrol Adımları'!$D:$D,MATCH(1,INDEX(('Kontrol Adımları'!$A$1:$A$400=B308)*('Kontrol Adımları'!$B$1:$B$400=C308),0),0)),"")</f>
        <v/>
      </c>
      <c r="E308" s="5" t="inlineStr">
        <is>
          <t>buzdolabi</t>
        </is>
      </c>
      <c r="F308" s="6">
        <f>IFERROR(INDEX('Kalem Kataloğu'!$C$1:$C$1000,MATCH(1,INDEX(('Kalem Kataloğu'!$A$1:$A$1000=A308)*('Kalem Kataloğu'!$B$1:$B$1000=E308),0),0)),"?")</f>
        <v/>
      </c>
      <c r="G308" s="6">
        <f>IFERROR(INDEX('Kalem Kataloğu'!$D$1:$D$1000,MATCH(1,INDEX(('Kalem Kataloğu'!$A$1:$A$1000=A308)*('Kalem Kataloğu'!$B$1:$B$1000=E308),0),0)),"?")</f>
        <v/>
      </c>
      <c r="H308" s="7" t="n"/>
      <c r="I308" s="7" t="inlineStr">
        <is>
          <t>Hayır</t>
        </is>
      </c>
      <c r="J308" s="5" t="inlineStr">
        <is>
          <t>Drive foto</t>
        </is>
      </c>
      <c r="K308" s="5" t="inlineStr">
        <is>
          <t>VGS tam boy beyaz; diğerlerinde kadrajda yok [güven: medium]</t>
        </is>
      </c>
    </row>
    <row r="309">
      <c r="A309" s="5" t="inlineStr">
        <is>
          <t>Tare Village Urla</t>
        </is>
      </c>
      <c r="B309" s="5" t="inlineStr">
        <is>
          <t>VBS</t>
        </is>
      </c>
      <c r="C309" s="7" t="n"/>
      <c r="D309" s="6">
        <f>IFERROR(INDEX('Kontrol Adımları'!$D:$D,MATCH(1,INDEX(('Kontrol Adımları'!$A$1:$A$400=B309)*('Kontrol Adımları'!$B$1:$B$400=C309),0),0)),"")</f>
        <v/>
      </c>
      <c r="E309" s="5" t="inlineStr">
        <is>
          <t>davlumbaz</t>
        </is>
      </c>
      <c r="F309" s="6">
        <f>IFERROR(INDEX('Kalem Kataloğu'!$C$1:$C$1000,MATCH(1,INDEX(('Kalem Kataloğu'!$A$1:$A$1000=A309)*('Kalem Kataloğu'!$B$1:$B$1000=E309),0),0)),"?")</f>
        <v/>
      </c>
      <c r="G309" s="6">
        <f>IFERROR(INDEX('Kalem Kataloğu'!$D$1:$D$1000,MATCH(1,INDEX(('Kalem Kataloğu'!$A$1:$A$1000=A309)*('Kalem Kataloğu'!$B$1:$B$1000=E309),0),0)),"?")</f>
        <v/>
      </c>
      <c r="H309" s="7" t="n">
        <v>1</v>
      </c>
      <c r="I309" s="7" t="inlineStr">
        <is>
          <t>Hayır</t>
        </is>
      </c>
      <c r="J309" s="5" t="inlineStr">
        <is>
          <t>Drive foto</t>
        </is>
      </c>
      <c r="K309" s="5" t="inlineStr">
        <is>
          <t xml:space="preserve"> [güven: medium]</t>
        </is>
      </c>
    </row>
    <row r="310">
      <c r="A310" s="5" t="inlineStr">
        <is>
          <t>Tare Village Urla</t>
        </is>
      </c>
      <c r="B310" s="5" t="inlineStr">
        <is>
          <t>VBS</t>
        </is>
      </c>
      <c r="C310" s="7" t="n"/>
      <c r="D310" s="6">
        <f>IFERROR(INDEX('Kontrol Adımları'!$D:$D,MATCH(1,INDEX(('Kontrol Adımları'!$A$1:$A$400=B310)*('Kontrol Adımları'!$B$1:$B$400=C310),0),0)),"")</f>
        <v/>
      </c>
      <c r="E310" s="5" t="inlineStr">
        <is>
          <t>duvar_saati</t>
        </is>
      </c>
      <c r="F310" s="6">
        <f>IFERROR(INDEX('Kalem Kataloğu'!$C$1:$C$1000,MATCH(1,INDEX(('Kalem Kataloğu'!$A$1:$A$1000=A310)*('Kalem Kataloğu'!$B$1:$B$1000=E310),0),0)),"?")</f>
        <v/>
      </c>
      <c r="G310" s="6">
        <f>IFERROR(INDEX('Kalem Kataloğu'!$D$1:$D$1000,MATCH(1,INDEX(('Kalem Kataloğu'!$A$1:$A$1000=A310)*('Kalem Kataloğu'!$B$1:$B$1000=E310),0),0)),"?")</f>
        <v/>
      </c>
      <c r="H310" s="7" t="n"/>
      <c r="I310" s="7" t="inlineStr">
        <is>
          <t>Hayır</t>
        </is>
      </c>
      <c r="J310" s="5" t="inlineStr">
        <is>
          <t>Drive foto</t>
        </is>
      </c>
      <c r="K310" s="5" t="inlineStr">
        <is>
          <t xml:space="preserve"> [güven: high]</t>
        </is>
      </c>
    </row>
    <row r="311" ht="26.4" customHeight="1">
      <c r="A311" s="5" t="inlineStr">
        <is>
          <t>Tare Village Urla</t>
        </is>
      </c>
      <c r="B311" s="5" t="inlineStr">
        <is>
          <t>VBS</t>
        </is>
      </c>
      <c r="C311" s="7" t="n"/>
      <c r="D311" s="6">
        <f>IFERROR(INDEX('Kontrol Adımları'!$D:$D,MATCH(1,INDEX(('Kontrol Adımları'!$A$1:$A$400=B311)*('Kontrol Adımları'!$B$1:$B$400=C311),0),0)),"")</f>
        <v/>
      </c>
      <c r="E311" s="5" t="inlineStr">
        <is>
          <t>dus_kabini</t>
        </is>
      </c>
      <c r="F311" s="6">
        <f>IFERROR(INDEX('Kalem Kataloğu'!$C$1:$C$1000,MATCH(1,INDEX(('Kalem Kataloğu'!$A$1:$A$1000=A311)*('Kalem Kataloğu'!$B$1:$B$1000=E311),0),0)),"?")</f>
        <v/>
      </c>
      <c r="G311" s="6">
        <f>IFERROR(INDEX('Kalem Kataloğu'!$D$1:$D$1000,MATCH(1,INDEX(('Kalem Kataloğu'!$A$1:$A$1000=A311)*('Kalem Kataloğu'!$B$1:$B$1000=E311),0),0)),"?")</f>
        <v/>
      </c>
      <c r="H311" s="7" t="n">
        <v>1</v>
      </c>
      <c r="I311" s="7" t="inlineStr">
        <is>
          <t>Hayır</t>
        </is>
      </c>
      <c r="J311" s="5" t="inlineStr">
        <is>
          <t>Drive foto</t>
        </is>
      </c>
      <c r="K311" s="5" t="inlineStr">
        <is>
          <t>VTS ve VSS kabini daha büyük, buzlu cam [güven: high]</t>
        </is>
      </c>
    </row>
    <row r="312">
      <c r="A312" s="5" t="inlineStr">
        <is>
          <t>Tare Village Urla</t>
        </is>
      </c>
      <c r="B312" s="5" t="inlineStr">
        <is>
          <t>VBS</t>
        </is>
      </c>
      <c r="C312" s="7" t="n"/>
      <c r="D312" s="6">
        <f>IFERROR(INDEX('Kontrol Adımları'!$D:$D,MATCH(1,INDEX(('Kontrol Adımları'!$A$1:$A$400=B312)*('Kontrol Adımları'!$B$1:$B$400=C312),0),0)),"")</f>
        <v/>
      </c>
      <c r="E312" s="5" t="inlineStr">
        <is>
          <t>gardirop</t>
        </is>
      </c>
      <c r="F312" s="6">
        <f>IFERROR(INDEX('Kalem Kataloğu'!$C$1:$C$1000,MATCH(1,INDEX(('Kalem Kataloğu'!$A$1:$A$1000=A312)*('Kalem Kataloğu'!$B$1:$B$1000=E312),0),0)),"?")</f>
        <v/>
      </c>
      <c r="G312" s="6">
        <f>IFERROR(INDEX('Kalem Kataloğu'!$D$1:$D$1000,MATCH(1,INDEX(('Kalem Kataloğu'!$A$1:$A$1000=A312)*('Kalem Kataloğu'!$B$1:$B$1000=E312),0),0)),"?")</f>
        <v/>
      </c>
      <c r="H312" s="7" t="n">
        <v>1</v>
      </c>
      <c r="I312" s="7" t="inlineStr">
        <is>
          <t>Hayır</t>
        </is>
      </c>
      <c r="J312" s="5" t="inlineStr">
        <is>
          <t>Drive foto</t>
        </is>
      </c>
      <c r="K312" s="5" t="inlineStr">
        <is>
          <t xml:space="preserve"> [güven: medium]</t>
        </is>
      </c>
    </row>
    <row r="313">
      <c r="A313" s="5" t="inlineStr">
        <is>
          <t>Tare Village Urla</t>
        </is>
      </c>
      <c r="B313" s="5" t="inlineStr">
        <is>
          <t>VBS</t>
        </is>
      </c>
      <c r="C313" s="7" t="n"/>
      <c r="D313" s="6">
        <f>IFERROR(INDEX('Kontrol Adımları'!$D:$D,MATCH(1,INDEX(('Kontrol Adımları'!$A$1:$A$400=B313)*('Kontrol Adımları'!$B$1:$B$400=C313),0),0)),"")</f>
        <v/>
      </c>
      <c r="E313" s="5" t="inlineStr">
        <is>
          <t>hasir_sepet</t>
        </is>
      </c>
      <c r="F313" s="6">
        <f>IFERROR(INDEX('Kalem Kataloğu'!$C$1:$C$1000,MATCH(1,INDEX(('Kalem Kataloğu'!$A$1:$A$1000=A313)*('Kalem Kataloğu'!$B$1:$B$1000=E313),0),0)),"?")</f>
        <v/>
      </c>
      <c r="G313" s="6">
        <f>IFERROR(INDEX('Kalem Kataloğu'!$D$1:$D$1000,MATCH(1,INDEX(('Kalem Kataloğu'!$A$1:$A$1000=A313)*('Kalem Kataloğu'!$B$1:$B$1000=E313),0),0)),"?")</f>
        <v/>
      </c>
      <c r="H313" s="7" t="n">
        <v>1</v>
      </c>
      <c r="I313" s="7" t="inlineStr">
        <is>
          <t>Hayır</t>
        </is>
      </c>
      <c r="J313" s="5" t="inlineStr">
        <is>
          <t>Drive foto</t>
        </is>
      </c>
      <c r="K313" s="5" t="inlineStr">
        <is>
          <t xml:space="preserve"> [güven: high]</t>
        </is>
      </c>
    </row>
    <row r="314">
      <c r="A314" s="5" t="inlineStr">
        <is>
          <t>Tare Village Urla</t>
        </is>
      </c>
      <c r="B314" s="5" t="inlineStr">
        <is>
          <t>VBS</t>
        </is>
      </c>
      <c r="C314" s="7" t="n"/>
      <c r="D314" s="6">
        <f>IFERROR(INDEX('Kontrol Adımları'!$D:$D,MATCH(1,INDEX(('Kontrol Adımları'!$A$1:$A$400=B314)*('Kontrol Adımları'!$B$1:$B$400=C314),0),0)),"")</f>
        <v/>
      </c>
      <c r="E314" s="5" t="inlineStr">
        <is>
          <t>jut_paspas</t>
        </is>
      </c>
      <c r="F314" s="6">
        <f>IFERROR(INDEX('Kalem Kataloğu'!$C$1:$C$1000,MATCH(1,INDEX(('Kalem Kataloğu'!$A$1:$A$1000=A314)*('Kalem Kataloğu'!$B$1:$B$1000=E314),0),0)),"?")</f>
        <v/>
      </c>
      <c r="G314" s="6">
        <f>IFERROR(INDEX('Kalem Kataloğu'!$D$1:$D$1000,MATCH(1,INDEX(('Kalem Kataloğu'!$A$1:$A$1000=A314)*('Kalem Kataloğu'!$B$1:$B$1000=E314),0),0)),"?")</f>
        <v/>
      </c>
      <c r="H314" s="7" t="n">
        <v>1</v>
      </c>
      <c r="I314" s="7" t="inlineStr">
        <is>
          <t>Hayır</t>
        </is>
      </c>
      <c r="J314" s="5" t="inlineStr">
        <is>
          <t>Drive foto</t>
        </is>
      </c>
      <c r="K314" s="5" t="inlineStr">
        <is>
          <t>Görülen adet; tam sayı odada teyit [güven: medium]</t>
        </is>
      </c>
    </row>
    <row r="315">
      <c r="A315" s="5" t="inlineStr">
        <is>
          <t>Tare Village Urla</t>
        </is>
      </c>
      <c r="B315" s="5" t="inlineStr">
        <is>
          <t>VBS</t>
        </is>
      </c>
      <c r="C315" s="7" t="n"/>
      <c r="D315" s="6">
        <f>IFERROR(INDEX('Kontrol Adımları'!$D:$D,MATCH(1,INDEX(('Kontrol Adımları'!$A$1:$A$400=B315)*('Kontrol Adımları'!$B$1:$B$400=C315),0),0)),"")</f>
        <v/>
      </c>
      <c r="E315" s="5" t="inlineStr">
        <is>
          <t>dis_masa</t>
        </is>
      </c>
      <c r="F315" s="6">
        <f>IFERROR(INDEX('Kalem Kataloğu'!$C$1:$C$1000,MATCH(1,INDEX(('Kalem Kataloğu'!$A$1:$A$1000=A315)*('Kalem Kataloğu'!$B$1:$B$1000=E315),0),0)),"?")</f>
        <v/>
      </c>
      <c r="G315" s="6">
        <f>IFERROR(INDEX('Kalem Kataloğu'!$D$1:$D$1000,MATCH(1,INDEX(('Kalem Kataloğu'!$A$1:$A$1000=A315)*('Kalem Kataloğu'!$B$1:$B$1000=E315),0),0)),"?")</f>
        <v/>
      </c>
      <c r="H315" s="7" t="n">
        <v>1</v>
      </c>
      <c r="I315" s="7" t="inlineStr">
        <is>
          <t>Hayır</t>
        </is>
      </c>
      <c r="J315" s="5" t="inlineStr">
        <is>
          <t>Drive foto</t>
        </is>
      </c>
      <c r="K315" s="5" t="inlineStr">
        <is>
          <t xml:space="preserve"> [güven: high]</t>
        </is>
      </c>
    </row>
    <row r="316" ht="26.4" customHeight="1">
      <c r="A316" s="5" t="inlineStr">
        <is>
          <t>Tare Village Urla</t>
        </is>
      </c>
      <c r="B316" s="5" t="inlineStr">
        <is>
          <t>VBS</t>
        </is>
      </c>
      <c r="C316" s="7" t="n"/>
      <c r="D316" s="6">
        <f>IFERROR(INDEX('Kontrol Adımları'!$D:$D,MATCH(1,INDEX(('Kontrol Adımları'!$A$1:$A$400=B316)*('Kontrol Adımları'!$B$1:$B$400=C316),0),0)),"")</f>
        <v/>
      </c>
      <c r="E316" s="5" t="inlineStr">
        <is>
          <t>dis_sandalye</t>
        </is>
      </c>
      <c r="F316" s="6">
        <f>IFERROR(INDEX('Kalem Kataloğu'!$C$1:$C$1000,MATCH(1,INDEX(('Kalem Kataloğu'!$A$1:$A$1000=A316)*('Kalem Kataloğu'!$B$1:$B$1000=E316),0),0)),"?")</f>
        <v/>
      </c>
      <c r="G316" s="6">
        <f>IFERROR(INDEX('Kalem Kataloğu'!$D$1:$D$1000,MATCH(1,INDEX(('Kalem Kataloğu'!$A$1:$A$1000=A316)*('Kalem Kataloğu'!$B$1:$B$1000=E316),0),0)),"?")</f>
        <v/>
      </c>
      <c r="H316" s="7" t="n">
        <v>4</v>
      </c>
      <c r="I316" s="7" t="inlineStr">
        <is>
          <t>Hayır</t>
        </is>
      </c>
      <c r="J316" s="5" t="inlineStr">
        <is>
          <t>Drive foto</t>
        </is>
      </c>
      <c r="K316" s="5" t="inlineStr">
        <is>
          <t>VBS 4 sandalye; VTS 2 sandalye + 2 katlanır koltuk [güven: medium]</t>
        </is>
      </c>
    </row>
    <row r="317">
      <c r="A317" s="5" t="inlineStr">
        <is>
          <t>Tare Village Urla</t>
        </is>
      </c>
      <c r="B317" s="5" t="inlineStr">
        <is>
          <t>VBS</t>
        </is>
      </c>
      <c r="C317" s="7" t="n"/>
      <c r="D317" s="6">
        <f>IFERROR(INDEX('Kontrol Adımları'!$D:$D,MATCH(1,INDEX(('Kontrol Adımları'!$A$1:$A$400=B317)*('Kontrol Adımları'!$B$1:$B$400=C317),0),0)),"")</f>
        <v/>
      </c>
      <c r="E317" s="5" t="inlineStr">
        <is>
          <t>dis_katlanir_koltuk</t>
        </is>
      </c>
      <c r="F317" s="6">
        <f>IFERROR(INDEX('Kalem Kataloğu'!$C$1:$C$1000,MATCH(1,INDEX(('Kalem Kataloğu'!$A$1:$A$1000=A317)*('Kalem Kataloğu'!$B$1:$B$1000=E317),0),0)),"?")</f>
        <v/>
      </c>
      <c r="G317" s="6">
        <f>IFERROR(INDEX('Kalem Kataloğu'!$D$1:$D$1000,MATCH(1,INDEX(('Kalem Kataloğu'!$A$1:$A$1000=A317)*('Kalem Kataloğu'!$B$1:$B$1000=E317),0),0)),"?")</f>
        <v/>
      </c>
      <c r="H317" s="7" t="n"/>
      <c r="I317" s="7" t="inlineStr">
        <is>
          <t>Hayır</t>
        </is>
      </c>
      <c r="J317" s="5" t="inlineStr">
        <is>
          <t>Drive foto</t>
        </is>
      </c>
      <c r="K317" s="5" t="inlineStr">
        <is>
          <t xml:space="preserve"> [güven: medium]</t>
        </is>
      </c>
    </row>
    <row r="318">
      <c r="A318" s="5" t="inlineStr">
        <is>
          <t>Tare Village Urla</t>
        </is>
      </c>
      <c r="B318" s="5" t="inlineStr">
        <is>
          <t>VBS</t>
        </is>
      </c>
      <c r="C318" s="7" t="n"/>
      <c r="D318" s="6">
        <f>IFERROR(INDEX('Kontrol Adımları'!$D:$D,MATCH(1,INDEX(('Kontrol Adımları'!$A$1:$A$400=B318)*('Kontrol Adımları'!$B$1:$B$400=C318),0),0)),"")</f>
        <v/>
      </c>
      <c r="E318" s="5" t="inlineStr">
        <is>
          <t>kagit_havlu</t>
        </is>
      </c>
      <c r="F318" s="6">
        <f>IFERROR(INDEX('Kalem Kataloğu'!$C$1:$C$1000,MATCH(1,INDEX(('Kalem Kataloğu'!$A$1:$A$1000=A318)*('Kalem Kataloğu'!$B$1:$B$1000=E318),0),0)),"?")</f>
        <v/>
      </c>
      <c r="G318" s="6">
        <f>IFERROR(INDEX('Kalem Kataloğu'!$D$1:$D$1000,MATCH(1,INDEX(('Kalem Kataloğu'!$A$1:$A$1000=A318)*('Kalem Kataloğu'!$B$1:$B$1000=E318),0),0)),"?")</f>
        <v/>
      </c>
      <c r="H318" s="7" t="n">
        <v>1</v>
      </c>
      <c r="I318" s="7" t="inlineStr">
        <is>
          <t>Hayır</t>
        </is>
      </c>
      <c r="J318" s="5" t="inlineStr">
        <is>
          <t>Drive foto</t>
        </is>
      </c>
      <c r="K318" s="5" t="inlineStr">
        <is>
          <t xml:space="preserve"> [güven: medium]</t>
        </is>
      </c>
    </row>
    <row r="319">
      <c r="A319" s="5" t="inlineStr">
        <is>
          <t>Tare Village Urla</t>
        </is>
      </c>
      <c r="B319" s="5" t="inlineStr">
        <is>
          <t>VBS</t>
        </is>
      </c>
      <c r="C319" s="7" t="n"/>
      <c r="D319" s="6">
        <f>IFERROR(INDEX('Kontrol Adımları'!$D:$D,MATCH(1,INDEX(('Kontrol Adımları'!$A$1:$A$400=B319)*('Kontrol Adımları'!$B$1:$B$400=C319),0),0)),"")</f>
        <v/>
      </c>
      <c r="E319" s="5" t="inlineStr">
        <is>
          <t>klima</t>
        </is>
      </c>
      <c r="F319" s="6">
        <f>IFERROR(INDEX('Kalem Kataloğu'!$C$1:$C$1000,MATCH(1,INDEX(('Kalem Kataloğu'!$A$1:$A$1000=A319)*('Kalem Kataloğu'!$B$1:$B$1000=E319),0),0)),"?")</f>
        <v/>
      </c>
      <c r="G319" s="6">
        <f>IFERROR(INDEX('Kalem Kataloğu'!$D$1:$D$1000,MATCH(1,INDEX(('Kalem Kataloğu'!$A$1:$A$1000=A319)*('Kalem Kataloğu'!$B$1:$B$1000=E319),0),0)),"?")</f>
        <v/>
      </c>
      <c r="H319" s="7" t="n">
        <v>1</v>
      </c>
      <c r="I319" s="7" t="inlineStr">
        <is>
          <t>Hayır</t>
        </is>
      </c>
      <c r="J319" s="5" t="inlineStr">
        <is>
          <t>Drive foto</t>
        </is>
      </c>
      <c r="K319" s="5" t="inlineStr">
        <is>
          <t>VGS fotoğrafta görünmüyor [güven: high]</t>
        </is>
      </c>
    </row>
    <row r="320">
      <c r="A320" s="5" t="inlineStr">
        <is>
          <t>Tare Village Urla</t>
        </is>
      </c>
      <c r="B320" s="5" t="inlineStr">
        <is>
          <t>VBS</t>
        </is>
      </c>
      <c r="C320" s="7" t="n"/>
      <c r="D320" s="6">
        <f>IFERROR(INDEX('Kontrol Adımları'!$D:$D,MATCH(1,INDEX(('Kontrol Adımları'!$A$1:$A$400=B320)*('Kontrol Adımları'!$B$1:$B$400=C320),0),0)),"")</f>
        <v/>
      </c>
      <c r="E320" s="5" t="inlineStr">
        <is>
          <t>klozet</t>
        </is>
      </c>
      <c r="F320" s="6">
        <f>IFERROR(INDEX('Kalem Kataloğu'!$C$1:$C$1000,MATCH(1,INDEX(('Kalem Kataloğu'!$A$1:$A$1000=A320)*('Kalem Kataloğu'!$B$1:$B$1000=E320),0),0)),"?")</f>
        <v/>
      </c>
      <c r="G320" s="6">
        <f>IFERROR(INDEX('Kalem Kataloğu'!$D$1:$D$1000,MATCH(1,INDEX(('Kalem Kataloğu'!$A$1:$A$1000=A320)*('Kalem Kataloğu'!$B$1:$B$1000=E320),0),0)),"?")</f>
        <v/>
      </c>
      <c r="H320" s="7" t="n">
        <v>1</v>
      </c>
      <c r="I320" s="7" t="inlineStr">
        <is>
          <t>Hayır</t>
        </is>
      </c>
      <c r="J320" s="5" t="inlineStr">
        <is>
          <t>Drive foto</t>
        </is>
      </c>
      <c r="K320" s="5" t="inlineStr">
        <is>
          <t xml:space="preserve"> [güven: high]</t>
        </is>
      </c>
    </row>
    <row r="321">
      <c r="A321" s="5" t="inlineStr">
        <is>
          <t>Tare Village Urla</t>
        </is>
      </c>
      <c r="B321" s="5" t="inlineStr">
        <is>
          <t>VBS</t>
        </is>
      </c>
      <c r="C321" s="7" t="n"/>
      <c r="D321" s="6">
        <f>IFERROR(INDEX('Kontrol Adımları'!$D:$D,MATCH(1,INDEX(('Kontrol Adımları'!$A$1:$A$400=B321)*('Kontrol Adımları'!$B$1:$B$400=C321),0),0)),"")</f>
        <v/>
      </c>
      <c r="E321" s="5" t="inlineStr">
        <is>
          <t>komodin</t>
        </is>
      </c>
      <c r="F321" s="6">
        <f>IFERROR(INDEX('Kalem Kataloğu'!$C$1:$C$1000,MATCH(1,INDEX(('Kalem Kataloğu'!$A$1:$A$1000=A321)*('Kalem Kataloğu'!$B$1:$B$1000=E321),0),0)),"?")</f>
        <v/>
      </c>
      <c r="G321" s="6">
        <f>IFERROR(INDEX('Kalem Kataloğu'!$D$1:$D$1000,MATCH(1,INDEX(('Kalem Kataloğu'!$A$1:$A$1000=A321)*('Kalem Kataloğu'!$B$1:$B$1000=E321),0),0)),"?")</f>
        <v/>
      </c>
      <c r="H321" s="7" t="n">
        <v>1</v>
      </c>
      <c r="I321" s="7" t="inlineStr">
        <is>
          <t>Hayır</t>
        </is>
      </c>
      <c r="J321" s="5" t="inlineStr">
        <is>
          <t>Drive foto</t>
        </is>
      </c>
      <c r="K321" s="5" t="inlineStr">
        <is>
          <t>VBS fotoğrafta tek taraf görünüyor [güven: medium]</t>
        </is>
      </c>
    </row>
    <row r="322">
      <c r="A322" s="5" t="inlineStr">
        <is>
          <t>Tare Village Urla</t>
        </is>
      </c>
      <c r="B322" s="5" t="inlineStr">
        <is>
          <t>VBS</t>
        </is>
      </c>
      <c r="C322" s="7" t="n"/>
      <c r="D322" s="6">
        <f>IFERROR(INDEX('Kontrol Adımları'!$D:$D,MATCH(1,INDEX(('Kontrol Adımları'!$A$1:$A$400=B322)*('Kontrol Adımları'!$B$1:$B$400=C322),0),0)),"")</f>
        <v/>
      </c>
      <c r="E322" s="5" t="inlineStr">
        <is>
          <t>kose_koltuk</t>
        </is>
      </c>
      <c r="F322" s="6">
        <f>IFERROR(INDEX('Kalem Kataloğu'!$C$1:$C$1000,MATCH(1,INDEX(('Kalem Kataloğu'!$A$1:$A$1000=A322)*('Kalem Kataloğu'!$B$1:$B$1000=E322),0),0)),"?")</f>
        <v/>
      </c>
      <c r="G322" s="6">
        <f>IFERROR(INDEX('Kalem Kataloğu'!$D$1:$D$1000,MATCH(1,INDEX(('Kalem Kataloğu'!$A$1:$A$1000=A322)*('Kalem Kataloğu'!$B$1:$B$1000=E322),0),0)),"?")</f>
        <v/>
      </c>
      <c r="H322" s="7" t="n">
        <v>1</v>
      </c>
      <c r="I322" s="7" t="inlineStr">
        <is>
          <t>Hayır</t>
        </is>
      </c>
      <c r="J322" s="5" t="inlineStr">
        <is>
          <t>Drive foto</t>
        </is>
      </c>
      <c r="K322" s="5" t="inlineStr">
        <is>
          <t>VSS ve VTS düz kanepe [güven: high]</t>
        </is>
      </c>
    </row>
    <row r="323">
      <c r="A323" s="5" t="inlineStr">
        <is>
          <t>Tare Village Urla</t>
        </is>
      </c>
      <c r="B323" s="5" t="inlineStr">
        <is>
          <t>VBS</t>
        </is>
      </c>
      <c r="C323" s="7" t="n"/>
      <c r="D323" s="6">
        <f>IFERROR(INDEX('Kontrol Adımları'!$D:$D,MATCH(1,INDEX(('Kontrol Adımları'!$A$1:$A$400=B323)*('Kontrol Adımları'!$B$1:$B$400=C323),0),0)),"")</f>
        <v/>
      </c>
      <c r="E323" s="5" t="inlineStr">
        <is>
          <t>kul_tablasi</t>
        </is>
      </c>
      <c r="F323" s="6">
        <f>IFERROR(INDEX('Kalem Kataloğu'!$C$1:$C$1000,MATCH(1,INDEX(('Kalem Kataloğu'!$A$1:$A$1000=A323)*('Kalem Kataloğu'!$B$1:$B$1000=E323),0),0)),"?")</f>
        <v/>
      </c>
      <c r="G323" s="6">
        <f>IFERROR(INDEX('Kalem Kataloğu'!$D$1:$D$1000,MATCH(1,INDEX(('Kalem Kataloğu'!$A$1:$A$1000=A323)*('Kalem Kataloğu'!$B$1:$B$1000=E323),0),0)),"?")</f>
        <v/>
      </c>
      <c r="H323" s="7" t="n">
        <v>1</v>
      </c>
      <c r="I323" s="7" t="inlineStr">
        <is>
          <t>Hayır</t>
        </is>
      </c>
      <c r="J323" s="5" t="inlineStr">
        <is>
          <t>Drive foto</t>
        </is>
      </c>
      <c r="K323" s="5" t="inlineStr">
        <is>
          <t xml:space="preserve"> [güven: medium]</t>
        </is>
      </c>
    </row>
    <row r="324">
      <c r="A324" s="5" t="inlineStr">
        <is>
          <t>Tare Village Urla</t>
        </is>
      </c>
      <c r="B324" s="5" t="inlineStr">
        <is>
          <t>VBS</t>
        </is>
      </c>
      <c r="C324" s="7" t="n"/>
      <c r="D324" s="6">
        <f>IFERROR(INDEX('Kontrol Adımları'!$D:$D,MATCH(1,INDEX(('Kontrol Adımları'!$A$1:$A$400=B324)*('Kontrol Adımları'!$B$1:$B$400=C324),0),0)),"")</f>
        <v/>
      </c>
      <c r="E324" s="5" t="inlineStr">
        <is>
          <t>mutfak_cop_kovasi</t>
        </is>
      </c>
      <c r="F324" s="6">
        <f>IFERROR(INDEX('Kalem Kataloğu'!$C$1:$C$1000,MATCH(1,INDEX(('Kalem Kataloğu'!$A$1:$A$1000=A324)*('Kalem Kataloğu'!$B$1:$B$1000=E324),0),0)),"?")</f>
        <v/>
      </c>
      <c r="G324" s="6">
        <f>IFERROR(INDEX('Kalem Kataloğu'!$D$1:$D$1000,MATCH(1,INDEX(('Kalem Kataloğu'!$A$1:$A$1000=A324)*('Kalem Kataloğu'!$B$1:$B$1000=E324),0),0)),"?")</f>
        <v/>
      </c>
      <c r="H324" s="7" t="n">
        <v>1</v>
      </c>
      <c r="I324" s="7" t="inlineStr">
        <is>
          <t>Hayır</t>
        </is>
      </c>
      <c r="J324" s="5" t="inlineStr">
        <is>
          <t>Drive foto</t>
        </is>
      </c>
      <c r="K324" s="5" t="inlineStr">
        <is>
          <t xml:space="preserve"> [güven: high]</t>
        </is>
      </c>
    </row>
    <row r="325" ht="26.4" customHeight="1">
      <c r="A325" s="5" t="inlineStr">
        <is>
          <t>Tare Village Urla</t>
        </is>
      </c>
      <c r="B325" s="5" t="inlineStr">
        <is>
          <t>VBS</t>
        </is>
      </c>
      <c r="C325" s="7" t="n"/>
      <c r="D325" s="6">
        <f>IFERROR(INDEX('Kontrol Adımları'!$D:$D,MATCH(1,INDEX(('Kontrol Adımları'!$A$1:$A$400=B325)*('Kontrol Adımları'!$B$1:$B$400=C325),0),0)),"")</f>
        <v/>
      </c>
      <c r="E325" s="5" t="inlineStr">
        <is>
          <t>ocak</t>
        </is>
      </c>
      <c r="F325" s="6">
        <f>IFERROR(INDEX('Kalem Kataloğu'!$C$1:$C$1000,MATCH(1,INDEX(('Kalem Kataloğu'!$A$1:$A$1000=A325)*('Kalem Kataloğu'!$B$1:$B$1000=E325),0),0)),"?")</f>
        <v/>
      </c>
      <c r="G325" s="6">
        <f>IFERROR(INDEX('Kalem Kataloğu'!$D$1:$D$1000,MATCH(1,INDEX(('Kalem Kataloğu'!$A$1:$A$1000=A325)*('Kalem Kataloğu'!$B$1:$B$1000=E325),0),0)),"?")</f>
        <v/>
      </c>
      <c r="H325" s="7" t="n">
        <v>1</v>
      </c>
      <c r="I325" s="7" t="inlineStr">
        <is>
          <t>Hayır</t>
        </is>
      </c>
      <c r="J325" s="5" t="inlineStr">
        <is>
          <t>Drive foto</t>
        </is>
      </c>
      <c r="K325" s="5" t="inlineStr">
        <is>
          <t>VBS ankastre 2 göz; VSS portatif 2 göz cam ocak [güven: medium]</t>
        </is>
      </c>
    </row>
    <row r="326">
      <c r="A326" s="5" t="inlineStr">
        <is>
          <t>Tare Village Urla</t>
        </is>
      </c>
      <c r="B326" s="5" t="inlineStr">
        <is>
          <t>VBS</t>
        </is>
      </c>
      <c r="C326" s="7" t="n"/>
      <c r="D326" s="6">
        <f>IFERROR(INDEX('Kontrol Adımları'!$D:$D,MATCH(1,INDEX(('Kontrol Adımları'!$A$1:$A$400=B326)*('Kontrol Adımları'!$B$1:$B$400=C326),0),0)),"")</f>
        <v/>
      </c>
      <c r="E326" s="5" t="inlineStr">
        <is>
          <t>orta_sehpa</t>
        </is>
      </c>
      <c r="F326" s="6">
        <f>IFERROR(INDEX('Kalem Kataloğu'!$C$1:$C$1000,MATCH(1,INDEX(('Kalem Kataloğu'!$A$1:$A$1000=A326)*('Kalem Kataloğu'!$B$1:$B$1000=E326),0),0)),"?")</f>
        <v/>
      </c>
      <c r="G326" s="6">
        <f>IFERROR(INDEX('Kalem Kataloğu'!$D$1:$D$1000,MATCH(1,INDEX(('Kalem Kataloğu'!$A$1:$A$1000=A326)*('Kalem Kataloğu'!$B$1:$B$1000=E326),0),0)),"?")</f>
        <v/>
      </c>
      <c r="H326" s="7" t="n">
        <v>1</v>
      </c>
      <c r="I326" s="7" t="inlineStr">
        <is>
          <t>Hayır</t>
        </is>
      </c>
      <c r="J326" s="5" t="inlineStr">
        <is>
          <t>Drive foto</t>
        </is>
      </c>
      <c r="K326" s="5" t="inlineStr">
        <is>
          <t xml:space="preserve"> [güven: high]</t>
        </is>
      </c>
    </row>
    <row r="327">
      <c r="A327" s="5" t="inlineStr">
        <is>
          <t>Tare Village Urla</t>
        </is>
      </c>
      <c r="B327" s="5" t="inlineStr">
        <is>
          <t>VBS</t>
        </is>
      </c>
      <c r="C327" s="7" t="n"/>
      <c r="D327" s="6">
        <f>IFERROR(INDEX('Kontrol Adımları'!$D:$D,MATCH(1,INDEX(('Kontrol Adımları'!$A$1:$A$400=B327)*('Kontrol Adımları'!$B$1:$B$400=C327),0),0)),"")</f>
        <v/>
      </c>
      <c r="E327" s="5" t="inlineStr">
        <is>
          <t>banyo_cop_kovasi</t>
        </is>
      </c>
      <c r="F327" s="6">
        <f>IFERROR(INDEX('Kalem Kataloğu'!$C$1:$C$1000,MATCH(1,INDEX(('Kalem Kataloğu'!$A$1:$A$1000=A327)*('Kalem Kataloğu'!$B$1:$B$1000=E327),0),0)),"?")</f>
        <v/>
      </c>
      <c r="G327" s="6">
        <f>IFERROR(INDEX('Kalem Kataloğu'!$D$1:$D$1000,MATCH(1,INDEX(('Kalem Kataloğu'!$A$1:$A$1000=A327)*('Kalem Kataloğu'!$B$1:$B$1000=E327),0),0)),"?")</f>
        <v/>
      </c>
      <c r="H327" s="7" t="n">
        <v>1</v>
      </c>
      <c r="I327" s="7" t="inlineStr">
        <is>
          <t>Hayır</t>
        </is>
      </c>
      <c r="J327" s="5" t="inlineStr">
        <is>
          <t>Drive foto</t>
        </is>
      </c>
      <c r="K327" s="5" t="inlineStr">
        <is>
          <t>VGS inox, VBS/VTS siyah [güven: high]</t>
        </is>
      </c>
    </row>
    <row r="328">
      <c r="A328" s="5" t="inlineStr">
        <is>
          <t>Tare Village Urla</t>
        </is>
      </c>
      <c r="B328" s="5" t="inlineStr">
        <is>
          <t>VBS</t>
        </is>
      </c>
      <c r="C328" s="7" t="n"/>
      <c r="D328" s="6">
        <f>IFERROR(INDEX('Kontrol Adımları'!$D:$D,MATCH(1,INDEX(('Kontrol Adımları'!$A$1:$A$400=B328)*('Kontrol Adımları'!$B$1:$B$400=C328),0),0)),"")</f>
        <v/>
      </c>
      <c r="E328" s="5" t="inlineStr">
        <is>
          <t>yatak_ortusu</t>
        </is>
      </c>
      <c r="F328" s="6">
        <f>IFERROR(INDEX('Kalem Kataloğu'!$C$1:$C$1000,MATCH(1,INDEX(('Kalem Kataloğu'!$A$1:$A$1000=A328)*('Kalem Kataloğu'!$B$1:$B$1000=E328),0),0)),"?")</f>
        <v/>
      </c>
      <c r="G328" s="6">
        <f>IFERROR(INDEX('Kalem Kataloğu'!$D$1:$D$1000,MATCH(1,INDEX(('Kalem Kataloğu'!$A$1:$A$1000=A328)*('Kalem Kataloğu'!$B$1:$B$1000=E328),0),0)),"?")</f>
        <v/>
      </c>
      <c r="H328" s="7" t="n">
        <v>1</v>
      </c>
      <c r="I328" s="7" t="inlineStr">
        <is>
          <t>Hayır</t>
        </is>
      </c>
      <c r="J328" s="5" t="inlineStr">
        <is>
          <t>Drive foto</t>
        </is>
      </c>
      <c r="K328" s="5" t="inlineStr">
        <is>
          <t xml:space="preserve"> [güven: high]</t>
        </is>
      </c>
    </row>
    <row r="329">
      <c r="A329" s="5" t="inlineStr">
        <is>
          <t>Tare Village Urla</t>
        </is>
      </c>
      <c r="B329" s="5" t="inlineStr">
        <is>
          <t>VBS</t>
        </is>
      </c>
      <c r="C329" s="7" t="n"/>
      <c r="D329" s="6">
        <f>IFERROR(INDEX('Kontrol Adımları'!$D:$D,MATCH(1,INDEX(('Kontrol Adımları'!$A$1:$A$400=B329)*('Kontrol Adımları'!$B$1:$B$400=C329),0),0)),"")</f>
        <v/>
      </c>
      <c r="E329" s="5" t="inlineStr">
        <is>
          <t>tavan_sarkit_lamba</t>
        </is>
      </c>
      <c r="F329" s="6">
        <f>IFERROR(INDEX('Kalem Kataloğu'!$C$1:$C$1000,MATCH(1,INDEX(('Kalem Kataloğu'!$A$1:$A$1000=A329)*('Kalem Kataloğu'!$B$1:$B$1000=E329),0),0)),"?")</f>
        <v/>
      </c>
      <c r="G329" s="6">
        <f>IFERROR(INDEX('Kalem Kataloğu'!$D$1:$D$1000,MATCH(1,INDEX(('Kalem Kataloğu'!$A$1:$A$1000=A329)*('Kalem Kataloğu'!$B$1:$B$1000=E329),0),0)),"?")</f>
        <v/>
      </c>
      <c r="H329" s="7" t="n">
        <v>3</v>
      </c>
      <c r="I329" s="7" t="inlineStr">
        <is>
          <t>Hayır</t>
        </is>
      </c>
      <c r="J329" s="5" t="inlineStr">
        <is>
          <t>Drive foto</t>
        </is>
      </c>
      <c r="K329" s="5" t="inlineStr">
        <is>
          <t xml:space="preserve"> [güven: medium]</t>
        </is>
      </c>
    </row>
    <row r="330">
      <c r="A330" s="5" t="inlineStr">
        <is>
          <t>Tare Village Urla</t>
        </is>
      </c>
      <c r="B330" s="5" t="inlineStr">
        <is>
          <t>VBS</t>
        </is>
      </c>
      <c r="C330" s="7" t="n"/>
      <c r="D330" s="6">
        <f>IFERROR(INDEX('Kontrol Adımları'!$D:$D,MATCH(1,INDEX(('Kontrol Adımları'!$A$1:$A$400=B330)*('Kontrol Adımları'!$B$1:$B$400=C330),0),0)),"")</f>
        <v/>
      </c>
      <c r="E330" s="5" t="inlineStr">
        <is>
          <t>sac_kurutma_makinesi</t>
        </is>
      </c>
      <c r="F330" s="6">
        <f>IFERROR(INDEX('Kalem Kataloğu'!$C$1:$C$1000,MATCH(1,INDEX(('Kalem Kataloğu'!$A$1:$A$1000=A330)*('Kalem Kataloğu'!$B$1:$B$1000=E330),0),0)),"?")</f>
        <v/>
      </c>
      <c r="G330" s="6">
        <f>IFERROR(INDEX('Kalem Kataloğu'!$D$1:$D$1000,MATCH(1,INDEX(('Kalem Kataloğu'!$A$1:$A$1000=A330)*('Kalem Kataloğu'!$B$1:$B$1000=E330),0),0)),"?")</f>
        <v/>
      </c>
      <c r="H330" s="7" t="n">
        <v>1</v>
      </c>
      <c r="I330" s="7" t="inlineStr">
        <is>
          <t>Hayır</t>
        </is>
      </c>
      <c r="J330" s="5" t="inlineStr">
        <is>
          <t>Drive foto</t>
        </is>
      </c>
      <c r="K330" s="5" t="inlineStr">
        <is>
          <t xml:space="preserve"> [güven: high]</t>
        </is>
      </c>
    </row>
    <row r="331">
      <c r="A331" s="5" t="inlineStr">
        <is>
          <t>Tare Village Urla</t>
        </is>
      </c>
      <c r="B331" s="5" t="inlineStr">
        <is>
          <t>VBS</t>
        </is>
      </c>
      <c r="C331" s="7" t="n"/>
      <c r="D331" s="6">
        <f>IFERROR(INDEX('Kontrol Adımları'!$D:$D,MATCH(1,INDEX(('Kontrol Adımları'!$A$1:$A$400=B331)*('Kontrol Adımları'!$B$1:$B$400=C331),0),0)),"")</f>
        <v/>
      </c>
      <c r="E331" s="5" t="inlineStr">
        <is>
          <t>tv</t>
        </is>
      </c>
      <c r="F331" s="6">
        <f>IFERROR(INDEX('Kalem Kataloğu'!$C$1:$C$1000,MATCH(1,INDEX(('Kalem Kataloğu'!$A$1:$A$1000=A331)*('Kalem Kataloğu'!$B$1:$B$1000=E331),0),0)),"?")</f>
        <v/>
      </c>
      <c r="G331" s="6">
        <f>IFERROR(INDEX('Kalem Kataloğu'!$D$1:$D$1000,MATCH(1,INDEX(('Kalem Kataloğu'!$A$1:$A$1000=A331)*('Kalem Kataloğu'!$B$1:$B$1000=E331),0),0)),"?")</f>
        <v/>
      </c>
      <c r="H331" s="7" t="n">
        <v>1</v>
      </c>
      <c r="I331" s="7" t="inlineStr">
        <is>
          <t>Hayır</t>
        </is>
      </c>
      <c r="J331" s="5" t="inlineStr">
        <is>
          <t>Drive foto</t>
        </is>
      </c>
      <c r="K331" s="5" t="inlineStr">
        <is>
          <t>VBS/VSS duvar tipi, VTS ayaklı [güven: high]</t>
        </is>
      </c>
    </row>
    <row r="332">
      <c r="A332" s="5" t="inlineStr">
        <is>
          <t>Tare Village Urla</t>
        </is>
      </c>
      <c r="B332" s="5" t="inlineStr">
        <is>
          <t>VBS</t>
        </is>
      </c>
      <c r="C332" s="7" t="n"/>
      <c r="D332" s="6">
        <f>IFERROR(INDEX('Kontrol Adımları'!$D:$D,MATCH(1,INDEX(('Kontrol Adımları'!$A$1:$A$400=B332)*('Kontrol Adımları'!$B$1:$B$400=C332),0),0)),"")</f>
        <v/>
      </c>
      <c r="E332" s="5" t="inlineStr">
        <is>
          <t>tv_kumandasi</t>
        </is>
      </c>
      <c r="F332" s="6">
        <f>IFERROR(INDEX('Kalem Kataloğu'!$C$1:$C$1000,MATCH(1,INDEX(('Kalem Kataloğu'!$A$1:$A$1000=A332)*('Kalem Kataloğu'!$B$1:$B$1000=E332),0),0)),"?")</f>
        <v/>
      </c>
      <c r="G332" s="6">
        <f>IFERROR(INDEX('Kalem Kataloğu'!$D$1:$D$1000,MATCH(1,INDEX(('Kalem Kataloğu'!$A$1:$A$1000=A332)*('Kalem Kataloğu'!$B$1:$B$1000=E332),0),0)),"?")</f>
        <v/>
      </c>
      <c r="H332" s="7" t="n">
        <v>1</v>
      </c>
      <c r="I332" s="7" t="inlineStr">
        <is>
          <t>Hayır</t>
        </is>
      </c>
      <c r="J332" s="5" t="inlineStr">
        <is>
          <t>Drive foto</t>
        </is>
      </c>
      <c r="K332" s="5" t="inlineStr">
        <is>
          <t xml:space="preserve"> [güven: medium]</t>
        </is>
      </c>
    </row>
    <row r="333">
      <c r="A333" s="5" t="inlineStr">
        <is>
          <t>Tare Village Urla</t>
        </is>
      </c>
      <c r="B333" s="5" t="inlineStr">
        <is>
          <t>VBS</t>
        </is>
      </c>
      <c r="C333" s="7" t="n"/>
      <c r="D333" s="6">
        <f>IFERROR(INDEX('Kontrol Adımları'!$D:$D,MATCH(1,INDEX(('Kontrol Adımları'!$A$1:$A$400=B333)*('Kontrol Adımları'!$B$1:$B$400=C333),0),0)),"")</f>
        <v/>
      </c>
      <c r="E333" s="5" t="inlineStr">
        <is>
          <t>tablo</t>
        </is>
      </c>
      <c r="F333" s="6">
        <f>IFERROR(INDEX('Kalem Kataloğu'!$C$1:$C$1000,MATCH(1,INDEX(('Kalem Kataloğu'!$A$1:$A$1000=A333)*('Kalem Kataloğu'!$B$1:$B$1000=E333),0),0)),"?")</f>
        <v/>
      </c>
      <c r="G333" s="6">
        <f>IFERROR(INDEX('Kalem Kataloğu'!$D$1:$D$1000,MATCH(1,INDEX(('Kalem Kataloğu'!$A$1:$A$1000=A333)*('Kalem Kataloğu'!$B$1:$B$1000=E333),0),0)),"?")</f>
        <v/>
      </c>
      <c r="H333" s="7" t="n">
        <v>2</v>
      </c>
      <c r="I333" s="7" t="inlineStr">
        <is>
          <t>Hayır</t>
        </is>
      </c>
      <c r="J333" s="5" t="inlineStr">
        <is>
          <t>Drive foto</t>
        </is>
      </c>
      <c r="K333" s="5" t="inlineStr">
        <is>
          <t xml:space="preserve"> [güven: medium]</t>
        </is>
      </c>
    </row>
    <row r="334">
      <c r="A334" s="5" t="inlineStr">
        <is>
          <t>Tare Village Urla</t>
        </is>
      </c>
      <c r="B334" s="5" t="inlineStr">
        <is>
          <t>VBS</t>
        </is>
      </c>
      <c r="C334" s="7" t="n"/>
      <c r="D334" s="6">
        <f>IFERROR(INDEX('Kontrol Adımları'!$D:$D,MATCH(1,INDEX(('Kontrol Adımları'!$A$1:$A$400=B334)*('Kontrol Adımları'!$B$1:$B$400=C334),0),0)),"")</f>
        <v/>
      </c>
      <c r="E334" s="5" t="inlineStr">
        <is>
          <t>lavabo_tas_canak</t>
        </is>
      </c>
      <c r="F334" s="6">
        <f>IFERROR(INDEX('Kalem Kataloğu'!$C$1:$C$1000,MATCH(1,INDEX(('Kalem Kataloğu'!$A$1:$A$1000=A334)*('Kalem Kataloğu'!$B$1:$B$1000=E334),0),0)),"?")</f>
        <v/>
      </c>
      <c r="G334" s="6">
        <f>IFERROR(INDEX('Kalem Kataloğu'!$D$1:$D$1000,MATCH(1,INDEX(('Kalem Kataloğu'!$A$1:$A$1000=A334)*('Kalem Kataloğu'!$B$1:$B$1000=E334),0),0)),"?")</f>
        <v/>
      </c>
      <c r="H334" s="7" t="n">
        <v>1</v>
      </c>
      <c r="I334" s="7" t="inlineStr">
        <is>
          <t>Hayır</t>
        </is>
      </c>
      <c r="J334" s="5" t="inlineStr">
        <is>
          <t>Drive foto</t>
        </is>
      </c>
      <c r="K334" s="5" t="inlineStr">
        <is>
          <t>Tüm odalarda aynı model [güven: high]</t>
        </is>
      </c>
    </row>
    <row r="335">
      <c r="A335" s="5" t="inlineStr">
        <is>
          <t>Tare Village Urla</t>
        </is>
      </c>
      <c r="B335" s="5" t="inlineStr">
        <is>
          <t>VBS</t>
        </is>
      </c>
      <c r="C335" s="7" t="n"/>
      <c r="D335" s="6">
        <f>IFERROR(INDEX('Kontrol Adımları'!$D:$D,MATCH(1,INDEX(('Kontrol Adımları'!$A$1:$A$400=B335)*('Kontrol Adımları'!$B$1:$B$400=C335),0),0)),"")</f>
        <v/>
      </c>
      <c r="E335" s="5" t="inlineStr">
        <is>
          <t>tel_sandalye</t>
        </is>
      </c>
      <c r="F335" s="6">
        <f>IFERROR(INDEX('Kalem Kataloğu'!$C$1:$C$1000,MATCH(1,INDEX(('Kalem Kataloğu'!$A$1:$A$1000=A335)*('Kalem Kataloğu'!$B$1:$B$1000=E335),0),0)),"?")</f>
        <v/>
      </c>
      <c r="G335" s="6">
        <f>IFERROR(INDEX('Kalem Kataloğu'!$D$1:$D$1000,MATCH(1,INDEX(('Kalem Kataloğu'!$A$1:$A$1000=A335)*('Kalem Kataloğu'!$B$1:$B$1000=E335),0),0)),"?")</f>
        <v/>
      </c>
      <c r="H335" s="7" t="n"/>
      <c r="I335" s="7" t="inlineStr">
        <is>
          <t>Hayır</t>
        </is>
      </c>
      <c r="J335" s="5" t="inlineStr">
        <is>
          <t>Drive foto</t>
        </is>
      </c>
      <c r="K335" s="5" t="inlineStr">
        <is>
          <t xml:space="preserve"> [güven: high]</t>
        </is>
      </c>
    </row>
    <row r="336">
      <c r="A336" s="5" t="inlineStr">
        <is>
          <t>Tare Village Urla</t>
        </is>
      </c>
      <c r="B336" s="5" t="inlineStr">
        <is>
          <t>VBS</t>
        </is>
      </c>
      <c r="C336" s="7" t="n"/>
      <c r="D336" s="6">
        <f>IFERROR(INDEX('Kontrol Adımları'!$D:$D,MATCH(1,INDEX(('Kontrol Adımları'!$A$1:$A$400=B336)*('Kontrol Adımları'!$B$1:$B$400=C336),0),0)),"")</f>
        <v/>
      </c>
      <c r="E336" s="5" t="inlineStr">
        <is>
          <t>tuvalet_kagidi_aparati</t>
        </is>
      </c>
      <c r="F336" s="6">
        <f>IFERROR(INDEX('Kalem Kataloğu'!$C$1:$C$1000,MATCH(1,INDEX(('Kalem Kataloğu'!$A$1:$A$1000=A336)*('Kalem Kataloğu'!$B$1:$B$1000=E336),0),0)),"?")</f>
        <v/>
      </c>
      <c r="G336" s="6">
        <f>IFERROR(INDEX('Kalem Kataloğu'!$D$1:$D$1000,MATCH(1,INDEX(('Kalem Kataloğu'!$A$1:$A$1000=A336)*('Kalem Kataloğu'!$B$1:$B$1000=E336),0),0)),"?")</f>
        <v/>
      </c>
      <c r="H336" s="7" t="n">
        <v>1</v>
      </c>
      <c r="I336" s="7" t="inlineStr">
        <is>
          <t>Hayır</t>
        </is>
      </c>
      <c r="J336" s="5" t="inlineStr">
        <is>
          <t>Drive foto</t>
        </is>
      </c>
      <c r="K336" s="5" t="inlineStr">
        <is>
          <t>VSS fotoğrafta görünmüyor [güven: high]</t>
        </is>
      </c>
    </row>
    <row r="337">
      <c r="A337" s="5" t="inlineStr">
        <is>
          <t>Tare Village Urla</t>
        </is>
      </c>
      <c r="B337" s="5" t="inlineStr">
        <is>
          <t>VBS</t>
        </is>
      </c>
      <c r="C337" s="7" t="n"/>
      <c r="D337" s="6">
        <f>IFERROR(INDEX('Kontrol Adımları'!$D:$D,MATCH(1,INDEX(('Kontrol Adımları'!$A$1:$A$400=B337)*('Kontrol Adımları'!$B$1:$B$400=C337),0),0)),"")</f>
        <v/>
      </c>
      <c r="E337" s="5" t="inlineStr">
        <is>
          <t>wc_fircasi</t>
        </is>
      </c>
      <c r="F337" s="6">
        <f>IFERROR(INDEX('Kalem Kataloğu'!$C$1:$C$1000,MATCH(1,INDEX(('Kalem Kataloğu'!$A$1:$A$1000=A337)*('Kalem Kataloğu'!$B$1:$B$1000=E337),0),0)),"?")</f>
        <v/>
      </c>
      <c r="G337" s="6">
        <f>IFERROR(INDEX('Kalem Kataloğu'!$D$1:$D$1000,MATCH(1,INDEX(('Kalem Kataloğu'!$A$1:$A$1000=A337)*('Kalem Kataloğu'!$B$1:$B$1000=E337),0),0)),"?")</f>
        <v/>
      </c>
      <c r="H337" s="7" t="n">
        <v>1</v>
      </c>
      <c r="I337" s="7" t="inlineStr">
        <is>
          <t>Hayır</t>
        </is>
      </c>
      <c r="J337" s="5" t="inlineStr">
        <is>
          <t>Drive foto</t>
        </is>
      </c>
      <c r="K337" s="5" t="inlineStr">
        <is>
          <t xml:space="preserve"> [güven: medium]</t>
        </is>
      </c>
    </row>
    <row r="338">
      <c r="A338" s="5" t="inlineStr">
        <is>
          <t>Tare Village Urla</t>
        </is>
      </c>
      <c r="B338" s="5" t="inlineStr">
        <is>
          <t>VBS</t>
        </is>
      </c>
      <c r="C338" s="7" t="n"/>
      <c r="D338" s="6">
        <f>IFERROR(INDEX('Kontrol Adımları'!$D:$D,MATCH(1,INDEX(('Kontrol Adımları'!$A$1:$A$400=B338)*('Kontrol Adımları'!$B$1:$B$400=C338),0),0)),"")</f>
        <v/>
      </c>
      <c r="E338" s="5" t="inlineStr">
        <is>
          <t>yangin_sondurucu</t>
        </is>
      </c>
      <c r="F338" s="6">
        <f>IFERROR(INDEX('Kalem Kataloğu'!$C$1:$C$1000,MATCH(1,INDEX(('Kalem Kataloğu'!$A$1:$A$1000=A338)*('Kalem Kataloğu'!$B$1:$B$1000=E338),0),0)),"?")</f>
        <v/>
      </c>
      <c r="G338" s="6">
        <f>IFERROR(INDEX('Kalem Kataloğu'!$D$1:$D$1000,MATCH(1,INDEX(('Kalem Kataloğu'!$A$1:$A$1000=A338)*('Kalem Kataloğu'!$B$1:$B$1000=E338),0),0)),"?")</f>
        <v/>
      </c>
      <c r="H338" s="7" t="n">
        <v>1</v>
      </c>
      <c r="I338" s="7" t="inlineStr">
        <is>
          <t>Hayır</t>
        </is>
      </c>
      <c r="J338" s="5" t="inlineStr">
        <is>
          <t>Drive foto</t>
        </is>
      </c>
      <c r="K338" s="5" t="inlineStr">
        <is>
          <t xml:space="preserve"> [güven: high]</t>
        </is>
      </c>
    </row>
    <row r="339">
      <c r="A339" s="5" t="inlineStr">
        <is>
          <t>Tare Village Urla</t>
        </is>
      </c>
      <c r="B339" s="5" t="inlineStr">
        <is>
          <t>VBS</t>
        </is>
      </c>
      <c r="C339" s="7" t="n"/>
      <c r="D339" s="6">
        <f>IFERROR(INDEX('Kontrol Adımları'!$D:$D,MATCH(1,INDEX(('Kontrol Adımları'!$A$1:$A$400=B339)*('Kontrol Adımları'!$B$1:$B$400=C339),0),0)),"")</f>
        <v/>
      </c>
      <c r="E339" s="5" t="inlineStr">
        <is>
          <t>saksi_bitki</t>
        </is>
      </c>
      <c r="F339" s="6">
        <f>IFERROR(INDEX('Kalem Kataloğu'!$C$1:$C$1000,MATCH(1,INDEX(('Kalem Kataloğu'!$A$1:$A$1000=A339)*('Kalem Kataloğu'!$B$1:$B$1000=E339),0),0)),"?")</f>
        <v/>
      </c>
      <c r="G339" s="6">
        <f>IFERROR(INDEX('Kalem Kataloğu'!$D$1:$D$1000,MATCH(1,INDEX(('Kalem Kataloğu'!$A$1:$A$1000=A339)*('Kalem Kataloğu'!$B$1:$B$1000=E339),0),0)),"?")</f>
        <v/>
      </c>
      <c r="H339" s="7" t="n"/>
      <c r="I339" s="7" t="inlineStr">
        <is>
          <t>Hayır</t>
        </is>
      </c>
      <c r="J339" s="5" t="inlineStr">
        <is>
          <t>Drive foto</t>
        </is>
      </c>
      <c r="K339" s="5" t="inlineStr">
        <is>
          <t>VTS bitkisi merdiven sahanlığında [güven: medium]</t>
        </is>
      </c>
    </row>
    <row r="340">
      <c r="A340" s="5" t="inlineStr">
        <is>
          <t>Tare Village Urla</t>
        </is>
      </c>
      <c r="B340" s="5" t="inlineStr">
        <is>
          <t>VBS</t>
        </is>
      </c>
      <c r="C340" s="7" t="n"/>
      <c r="D340" s="6">
        <f>IFERROR(INDEX('Kontrol Adımları'!$D:$D,MATCH(1,INDEX(('Kontrol Adımları'!$A$1:$A$400=B340)*('Kontrol Adımları'!$B$1:$B$400=C340),0),0)),"")</f>
        <v/>
      </c>
      <c r="E340" s="5" t="inlineStr">
        <is>
          <t>yastik</t>
        </is>
      </c>
      <c r="F340" s="6">
        <f>IFERROR(INDEX('Kalem Kataloğu'!$C$1:$C$1000,MATCH(1,INDEX(('Kalem Kataloğu'!$A$1:$A$1000=A340)*('Kalem Kataloğu'!$B$1:$B$1000=E340),0),0)),"?")</f>
        <v/>
      </c>
      <c r="G340" s="6">
        <f>IFERROR(INDEX('Kalem Kataloğu'!$D$1:$D$1000,MATCH(1,INDEX(('Kalem Kataloğu'!$A$1:$A$1000=A340)*('Kalem Kataloğu'!$B$1:$B$1000=E340),0),0)),"?")</f>
        <v/>
      </c>
      <c r="H340" s="7" t="n">
        <v>2</v>
      </c>
      <c r="I340" s="7" t="inlineStr">
        <is>
          <t>Hayır</t>
        </is>
      </c>
      <c r="J340" s="5" t="inlineStr">
        <is>
          <t>Drive foto</t>
        </is>
      </c>
      <c r="K340" s="5" t="inlineStr">
        <is>
          <t xml:space="preserve"> [güven: high]</t>
        </is>
      </c>
    </row>
    <row r="341">
      <c r="A341" s="5" t="inlineStr">
        <is>
          <t>Tare Village Urla</t>
        </is>
      </c>
      <c r="B341" s="5" t="inlineStr">
        <is>
          <t>VBS</t>
        </is>
      </c>
      <c r="C341" s="7" t="n"/>
      <c r="D341" s="6">
        <f>IFERROR(INDEX('Kontrol Adımları'!$D:$D,MATCH(1,INDEX(('Kontrol Adımları'!$A$1:$A$400=B341)*('Kontrol Adımları'!$B$1:$B$400=C341),0),0)),"")</f>
        <v/>
      </c>
      <c r="E341" s="5" t="inlineStr">
        <is>
          <t>yedek_tuvalet_kagidi</t>
        </is>
      </c>
      <c r="F341" s="6">
        <f>IFERROR(INDEX('Kalem Kataloğu'!$C$1:$C$1000,MATCH(1,INDEX(('Kalem Kataloğu'!$A$1:$A$1000=A341)*('Kalem Kataloğu'!$B$1:$B$1000=E341),0),0)),"?")</f>
        <v/>
      </c>
      <c r="G341" s="6">
        <f>IFERROR(INDEX('Kalem Kataloğu'!$D$1:$D$1000,MATCH(1,INDEX(('Kalem Kataloğu'!$A$1:$A$1000=A341)*('Kalem Kataloğu'!$B$1:$B$1000=E341),0),0)),"?")</f>
        <v/>
      </c>
      <c r="H341" s="7" t="n">
        <v>2</v>
      </c>
      <c r="I341" s="7" t="inlineStr">
        <is>
          <t>Hayır</t>
        </is>
      </c>
      <c r="J341" s="5" t="inlineStr">
        <is>
          <t>Drive foto</t>
        </is>
      </c>
      <c r="K341" s="5" t="inlineStr">
        <is>
          <t xml:space="preserve"> [güven: medium]</t>
        </is>
      </c>
    </row>
    <row r="342">
      <c r="A342" s="5" t="inlineStr">
        <is>
          <t>Tare Village Urla</t>
        </is>
      </c>
      <c r="B342" s="5" t="inlineStr">
        <is>
          <t>VBS</t>
        </is>
      </c>
      <c r="C342" s="7" t="n"/>
      <c r="D342" s="6">
        <f>IFERROR(INDEX('Kontrol Adımları'!$D:$D,MATCH(1,INDEX(('Kontrol Adımları'!$A$1:$A$400=B342)*('Kontrol Adımları'!$B$1:$B$400=C342),0),0)),"")</f>
        <v/>
      </c>
      <c r="E342" s="5" t="inlineStr">
        <is>
          <t>yemek_masasi</t>
        </is>
      </c>
      <c r="F342" s="6">
        <f>IFERROR(INDEX('Kalem Kataloğu'!$C$1:$C$1000,MATCH(1,INDEX(('Kalem Kataloğu'!$A$1:$A$1000=A342)*('Kalem Kataloğu'!$B$1:$B$1000=E342),0),0)),"?")</f>
        <v/>
      </c>
      <c r="G342" s="6">
        <f>IFERROR(INDEX('Kalem Kataloğu'!$D$1:$D$1000,MATCH(1,INDEX(('Kalem Kataloğu'!$A$1:$A$1000=A342)*('Kalem Kataloğu'!$B$1:$B$1000=E342),0),0)),"?")</f>
        <v/>
      </c>
      <c r="H342" s="7" t="n"/>
      <c r="I342" s="7" t="inlineStr">
        <is>
          <t>Hayır</t>
        </is>
      </c>
      <c r="J342" s="5" t="inlineStr">
        <is>
          <t>Drive foto</t>
        </is>
      </c>
      <c r="K342" s="5" t="inlineStr">
        <is>
          <t>VTS: masa + bank + 2 tel sandalye [güven: high]</t>
        </is>
      </c>
    </row>
    <row r="343">
      <c r="A343" s="5" t="inlineStr">
        <is>
          <t>Tare Village Urla</t>
        </is>
      </c>
      <c r="B343" s="5" t="inlineStr">
        <is>
          <t>VBS</t>
        </is>
      </c>
      <c r="C343" s="7" t="n"/>
      <c r="D343" s="6">
        <f>IFERROR(INDEX('Kontrol Adımları'!$D:$D,MATCH(1,INDEX(('Kontrol Adımları'!$A$1:$A$400=B343)*('Kontrol Adımları'!$B$1:$B$400=C343),0),0)),"")</f>
        <v/>
      </c>
      <c r="E343" s="5" t="inlineStr">
        <is>
          <t>ayna_yuvarlak</t>
        </is>
      </c>
      <c r="F343" s="6">
        <f>IFERROR(INDEX('Kalem Kataloğu'!$C$1:$C$1000,MATCH(1,INDEX(('Kalem Kataloğu'!$A$1:$A$1000=A343)*('Kalem Kataloğu'!$B$1:$B$1000=E343),0),0)),"?")</f>
        <v/>
      </c>
      <c r="G343" s="6">
        <f>IFERROR(INDEX('Kalem Kataloğu'!$D$1:$D$1000,MATCH(1,INDEX(('Kalem Kataloğu'!$A$1:$A$1000=A343)*('Kalem Kataloğu'!$B$1:$B$1000=E343),0),0)),"?")</f>
        <v/>
      </c>
      <c r="H343" s="7" t="n">
        <v>1</v>
      </c>
      <c r="I343" s="7" t="inlineStr">
        <is>
          <t>Hayır</t>
        </is>
      </c>
      <c r="J343" s="5" t="inlineStr">
        <is>
          <t>Drive foto</t>
        </is>
      </c>
      <c r="K343" s="5" t="inlineStr">
        <is>
          <t xml:space="preserve"> [güven: high]</t>
        </is>
      </c>
    </row>
    <row r="344">
      <c r="A344" s="5" t="inlineStr">
        <is>
          <t>Tare Village Urla</t>
        </is>
      </c>
      <c r="B344" s="5" t="inlineStr">
        <is>
          <t>VBS</t>
        </is>
      </c>
      <c r="C344" s="7" t="n"/>
      <c r="D344" s="6">
        <f>IFERROR(INDEX('Kontrol Adımları'!$D:$D,MATCH(1,INDEX(('Kontrol Adımları'!$A$1:$A$400=B344)*('Kontrol Adımları'!$B$1:$B$400=C344),0),0)),"")</f>
        <v/>
      </c>
      <c r="E344" s="5" t="inlineStr">
        <is>
          <t>cift_kisilik_yatak</t>
        </is>
      </c>
      <c r="F344" s="6">
        <f>IFERROR(INDEX('Kalem Kataloğu'!$C$1:$C$1000,MATCH(1,INDEX(('Kalem Kataloğu'!$A$1:$A$1000=A344)*('Kalem Kataloğu'!$B$1:$B$1000=E344),0),0)),"?")</f>
        <v/>
      </c>
      <c r="G344" s="6">
        <f>IFERROR(INDEX('Kalem Kataloğu'!$D$1:$D$1000,MATCH(1,INDEX(('Kalem Kataloğu'!$A$1:$A$1000=A344)*('Kalem Kataloğu'!$B$1:$B$1000=E344),0),0)),"?")</f>
        <v/>
      </c>
      <c r="H344" s="7" t="n">
        <v>1</v>
      </c>
      <c r="I344" s="7" t="inlineStr">
        <is>
          <t>Hayır</t>
        </is>
      </c>
      <c r="J344" s="5" t="inlineStr">
        <is>
          <t>Drive foto</t>
        </is>
      </c>
      <c r="K344" s="5" t="inlineStr">
        <is>
          <t xml:space="preserve"> [güven: high]</t>
        </is>
      </c>
    </row>
    <row r="345" ht="26.4" customHeight="1">
      <c r="A345" s="5" t="inlineStr">
        <is>
          <t>Tare Village Urla</t>
        </is>
      </c>
      <c r="B345" s="5" t="inlineStr">
        <is>
          <t>VBS</t>
        </is>
      </c>
      <c r="C345" s="7" t="n"/>
      <c r="D345" s="6">
        <f>IFERROR(INDEX('Kontrol Adımları'!$D:$D,MATCH(1,INDEX(('Kontrol Adımları'!$A$1:$A$400=B345)*('Kontrol Adımları'!$B$1:$B$400=C345),0),0)),"")</f>
        <v/>
      </c>
      <c r="E345" s="5" t="inlineStr">
        <is>
          <t>sivi_sabun_dispenseri</t>
        </is>
      </c>
      <c r="F345" s="6">
        <f>IFERROR(INDEX('Kalem Kataloğu'!$C$1:$C$1000,MATCH(1,INDEX(('Kalem Kataloğu'!$A$1:$A$1000=A345)*('Kalem Kataloğu'!$B$1:$B$1000=E345),0),0)),"?")</f>
        <v/>
      </c>
      <c r="G345" s="6">
        <f>IFERROR(INDEX('Kalem Kataloğu'!$D$1:$D$1000,MATCH(1,INDEX(('Kalem Kataloğu'!$A$1:$A$1000=A345)*('Kalem Kataloğu'!$B$1:$B$1000=E345),0),0)),"?")</f>
        <v/>
      </c>
      <c r="H345" s="7" t="n"/>
      <c r="I345" s="7" t="inlineStr">
        <is>
          <t>Hayır</t>
        </is>
      </c>
      <c r="J345" s="5" t="inlineStr">
        <is>
          <t>Drive foto</t>
        </is>
      </c>
      <c r="K345" s="5" t="inlineStr">
        <is>
          <t>Diğer odalarda kadrajda yok [güven: medium]</t>
        </is>
      </c>
    </row>
    <row r="346">
      <c r="A346" s="5" t="inlineStr">
        <is>
          <t>Tare Village Urla</t>
        </is>
      </c>
      <c r="B346" s="5" t="inlineStr">
        <is>
          <t>VBS</t>
        </is>
      </c>
      <c r="C346" s="7" t="n"/>
      <c r="D346" s="6">
        <f>IFERROR(INDEX('Kontrol Adımları'!$D:$D,MATCH(1,INDEX(('Kontrol Adımları'!$A$1:$A$400=B346)*('Kontrol Adımları'!$B$1:$B$400=C346),0),0)),"")</f>
        <v/>
      </c>
      <c r="E346" s="5" t="inlineStr">
        <is>
          <t>sifonyer</t>
        </is>
      </c>
      <c r="F346" s="6">
        <f>IFERROR(INDEX('Kalem Kataloğu'!$C$1:$C$1000,MATCH(1,INDEX(('Kalem Kataloğu'!$A$1:$A$1000=A346)*('Kalem Kataloğu'!$B$1:$B$1000=E346),0),0)),"?")</f>
        <v/>
      </c>
      <c r="G346" s="6">
        <f>IFERROR(INDEX('Kalem Kataloğu'!$D$1:$D$1000,MATCH(1,INDEX(('Kalem Kataloğu'!$A$1:$A$1000=A346)*('Kalem Kataloğu'!$B$1:$B$1000=E346),0),0)),"?")</f>
        <v/>
      </c>
      <c r="H346" s="7" t="n"/>
      <c r="I346" s="7" t="inlineStr">
        <is>
          <t>Hayır</t>
        </is>
      </c>
      <c r="J346" s="5" t="inlineStr">
        <is>
          <t>Drive foto</t>
        </is>
      </c>
      <c r="K346" s="5" t="inlineStr">
        <is>
          <t xml:space="preserve"> [güven: medium]</t>
        </is>
      </c>
    </row>
    <row r="347">
      <c r="A347" s="5" t="inlineStr">
        <is>
          <t>Tare Village Urla</t>
        </is>
      </c>
      <c r="B347" s="5" t="inlineStr">
        <is>
          <t>VGS</t>
        </is>
      </c>
      <c r="C347" s="7" t="n"/>
      <c r="D347" s="6">
        <f>IFERROR(INDEX('Kontrol Adımları'!$D:$D,MATCH(1,INDEX(('Kontrol Adımları'!$A$1:$A$400=B347)*('Kontrol Adımları'!$B$1:$B$400=C347),0),0)),"")</f>
        <v/>
      </c>
      <c r="E347" s="5" t="inlineStr">
        <is>
          <t>bank</t>
        </is>
      </c>
      <c r="F347" s="6">
        <f>IFERROR(INDEX('Kalem Kataloğu'!$C$1:$C$1000,MATCH(1,INDEX(('Kalem Kataloğu'!$A$1:$A$1000=A347)*('Kalem Kataloğu'!$B$1:$B$1000=E347),0),0)),"?")</f>
        <v/>
      </c>
      <c r="G347" s="6">
        <f>IFERROR(INDEX('Kalem Kataloğu'!$D$1:$D$1000,MATCH(1,INDEX(('Kalem Kataloğu'!$A$1:$A$1000=A347)*('Kalem Kataloğu'!$B$1:$B$1000=E347),0),0)),"?")</f>
        <v/>
      </c>
      <c r="H347" s="7" t="n"/>
      <c r="I347" s="7" t="inlineStr">
        <is>
          <t>Hayır</t>
        </is>
      </c>
      <c r="J347" s="5" t="inlineStr">
        <is>
          <t>Drive foto</t>
        </is>
      </c>
      <c r="K347" s="5" t="inlineStr">
        <is>
          <t xml:space="preserve"> [güven: high]</t>
        </is>
      </c>
    </row>
    <row r="348">
      <c r="A348" s="5" t="inlineStr">
        <is>
          <t>Tare Village Urla</t>
        </is>
      </c>
      <c r="B348" s="5" t="inlineStr">
        <is>
          <t>VGS</t>
        </is>
      </c>
      <c r="C348" s="7" t="n"/>
      <c r="D348" s="6">
        <f>IFERROR(INDEX('Kontrol Adımları'!$D:$D,MATCH(1,INDEX(('Kontrol Adımları'!$A$1:$A$400=B348)*('Kontrol Adımları'!$B$1:$B$400=C348),0),0)),"")</f>
        <v/>
      </c>
      <c r="E348" s="5" t="inlineStr">
        <is>
          <t>ankastre_firin</t>
        </is>
      </c>
      <c r="F348" s="6">
        <f>IFERROR(INDEX('Kalem Kataloğu'!$C$1:$C$1000,MATCH(1,INDEX(('Kalem Kataloğu'!$A$1:$A$1000=A348)*('Kalem Kataloğu'!$B$1:$B$1000=E348),0),0)),"?")</f>
        <v/>
      </c>
      <c r="G348" s="6">
        <f>IFERROR(INDEX('Kalem Kataloğu'!$D$1:$D$1000,MATCH(1,INDEX(('Kalem Kataloğu'!$A$1:$A$1000=A348)*('Kalem Kataloğu'!$B$1:$B$1000=E348),0),0)),"?")</f>
        <v/>
      </c>
      <c r="H348" s="7" t="n"/>
      <c r="I348" s="7" t="inlineStr">
        <is>
          <t>Hayır</t>
        </is>
      </c>
      <c r="J348" s="5" t="inlineStr">
        <is>
          <t>Drive foto</t>
        </is>
      </c>
      <c r="K348" s="5" t="inlineStr">
        <is>
          <t xml:space="preserve"> [güven: high]</t>
        </is>
      </c>
    </row>
    <row r="349" ht="26.4" customHeight="1">
      <c r="A349" s="5" t="inlineStr">
        <is>
          <t>Tare Village Urla</t>
        </is>
      </c>
      <c r="B349" s="5" t="inlineStr">
        <is>
          <t>VGS</t>
        </is>
      </c>
      <c r="C349" s="7" t="n"/>
      <c r="D349" s="6">
        <f>IFERROR(INDEX('Kontrol Adımları'!$D:$D,MATCH(1,INDEX(('Kontrol Adımları'!$A$1:$A$400=B349)*('Kontrol Adımları'!$B$1:$B$400=C349),0),0)),"")</f>
        <v/>
      </c>
      <c r="E349" s="5" t="inlineStr">
        <is>
          <t>buzdolabi</t>
        </is>
      </c>
      <c r="F349" s="6">
        <f>IFERROR(INDEX('Kalem Kataloğu'!$C$1:$C$1000,MATCH(1,INDEX(('Kalem Kataloğu'!$A$1:$A$1000=A349)*('Kalem Kataloğu'!$B$1:$B$1000=E349),0),0)),"?")</f>
        <v/>
      </c>
      <c r="G349" s="6">
        <f>IFERROR(INDEX('Kalem Kataloğu'!$D$1:$D$1000,MATCH(1,INDEX(('Kalem Kataloğu'!$A$1:$A$1000=A349)*('Kalem Kataloğu'!$B$1:$B$1000=E349),0),0)),"?")</f>
        <v/>
      </c>
      <c r="H349" s="7" t="n">
        <v>1</v>
      </c>
      <c r="I349" s="7" t="inlineStr">
        <is>
          <t>Hayır</t>
        </is>
      </c>
      <c r="J349" s="5" t="inlineStr">
        <is>
          <t>Drive foto</t>
        </is>
      </c>
      <c r="K349" s="5" t="inlineStr">
        <is>
          <t>VGS tam boy beyaz; diğerlerinde kadrajda yok [güven: medium]</t>
        </is>
      </c>
    </row>
    <row r="350">
      <c r="A350" s="5" t="inlineStr">
        <is>
          <t>Tare Village Urla</t>
        </is>
      </c>
      <c r="B350" s="5" t="inlineStr">
        <is>
          <t>VGS</t>
        </is>
      </c>
      <c r="C350" s="7" t="n"/>
      <c r="D350" s="6">
        <f>IFERROR(INDEX('Kontrol Adımları'!$D:$D,MATCH(1,INDEX(('Kontrol Adımları'!$A$1:$A$400=B350)*('Kontrol Adımları'!$B$1:$B$400=C350),0),0)),"")</f>
        <v/>
      </c>
      <c r="E350" s="5" t="inlineStr">
        <is>
          <t>davlumbaz</t>
        </is>
      </c>
      <c r="F350" s="6">
        <f>IFERROR(INDEX('Kalem Kataloğu'!$C$1:$C$1000,MATCH(1,INDEX(('Kalem Kataloğu'!$A$1:$A$1000=A350)*('Kalem Kataloğu'!$B$1:$B$1000=E350),0),0)),"?")</f>
        <v/>
      </c>
      <c r="G350" s="6">
        <f>IFERROR(INDEX('Kalem Kataloğu'!$D$1:$D$1000,MATCH(1,INDEX(('Kalem Kataloğu'!$A$1:$A$1000=A350)*('Kalem Kataloğu'!$B$1:$B$1000=E350),0),0)),"?")</f>
        <v/>
      </c>
      <c r="H350" s="7" t="n">
        <v>1</v>
      </c>
      <c r="I350" s="7" t="inlineStr">
        <is>
          <t>Hayır</t>
        </is>
      </c>
      <c r="J350" s="5" t="inlineStr">
        <is>
          <t>Drive foto</t>
        </is>
      </c>
      <c r="K350" s="5" t="inlineStr">
        <is>
          <t xml:space="preserve"> [güven: medium]</t>
        </is>
      </c>
    </row>
    <row r="351">
      <c r="A351" s="5" t="inlineStr">
        <is>
          <t>Tare Village Urla</t>
        </is>
      </c>
      <c r="B351" s="5" t="inlineStr">
        <is>
          <t>VGS</t>
        </is>
      </c>
      <c r="C351" s="7" t="n"/>
      <c r="D351" s="6">
        <f>IFERROR(INDEX('Kontrol Adımları'!$D:$D,MATCH(1,INDEX(('Kontrol Adımları'!$A$1:$A$400=B351)*('Kontrol Adımları'!$B$1:$B$400=C351),0),0)),"")</f>
        <v/>
      </c>
      <c r="E351" s="5" t="inlineStr">
        <is>
          <t>duvar_saati</t>
        </is>
      </c>
      <c r="F351" s="6">
        <f>IFERROR(INDEX('Kalem Kataloğu'!$C$1:$C$1000,MATCH(1,INDEX(('Kalem Kataloğu'!$A$1:$A$1000=A351)*('Kalem Kataloğu'!$B$1:$B$1000=E351),0),0)),"?")</f>
        <v/>
      </c>
      <c r="G351" s="6">
        <f>IFERROR(INDEX('Kalem Kataloğu'!$D$1:$D$1000,MATCH(1,INDEX(('Kalem Kataloğu'!$A$1:$A$1000=A351)*('Kalem Kataloğu'!$B$1:$B$1000=E351),0),0)),"?")</f>
        <v/>
      </c>
      <c r="H351" s="7" t="n">
        <v>1</v>
      </c>
      <c r="I351" s="7" t="inlineStr">
        <is>
          <t>Hayır</t>
        </is>
      </c>
      <c r="J351" s="5" t="inlineStr">
        <is>
          <t>Drive foto</t>
        </is>
      </c>
      <c r="K351" s="5" t="inlineStr">
        <is>
          <t xml:space="preserve"> [güven: high]</t>
        </is>
      </c>
    </row>
    <row r="352" ht="26.4" customHeight="1">
      <c r="A352" s="5" t="inlineStr">
        <is>
          <t>Tare Village Urla</t>
        </is>
      </c>
      <c r="B352" s="5" t="inlineStr">
        <is>
          <t>VGS</t>
        </is>
      </c>
      <c r="C352" s="7" t="n"/>
      <c r="D352" s="6">
        <f>IFERROR(INDEX('Kontrol Adımları'!$D:$D,MATCH(1,INDEX(('Kontrol Adımları'!$A$1:$A$400=B352)*('Kontrol Adımları'!$B$1:$B$400=C352),0),0)),"")</f>
        <v/>
      </c>
      <c r="E352" s="5" t="inlineStr">
        <is>
          <t>dus_kabini</t>
        </is>
      </c>
      <c r="F352" s="6">
        <f>IFERROR(INDEX('Kalem Kataloğu'!$C$1:$C$1000,MATCH(1,INDEX(('Kalem Kataloğu'!$A$1:$A$1000=A352)*('Kalem Kataloğu'!$B$1:$B$1000=E352),0),0)),"?")</f>
        <v/>
      </c>
      <c r="G352" s="6">
        <f>IFERROR(INDEX('Kalem Kataloğu'!$D$1:$D$1000,MATCH(1,INDEX(('Kalem Kataloğu'!$A$1:$A$1000=A352)*('Kalem Kataloğu'!$B$1:$B$1000=E352),0),0)),"?")</f>
        <v/>
      </c>
      <c r="H352" s="7" t="n">
        <v>1</v>
      </c>
      <c r="I352" s="7" t="inlineStr">
        <is>
          <t>Hayır</t>
        </is>
      </c>
      <c r="J352" s="5" t="inlineStr">
        <is>
          <t>Drive foto</t>
        </is>
      </c>
      <c r="K352" s="5" t="inlineStr">
        <is>
          <t>VTS ve VSS kabini daha büyük, buzlu cam [güven: high]</t>
        </is>
      </c>
    </row>
    <row r="353">
      <c r="A353" s="5" t="inlineStr">
        <is>
          <t>Tare Village Urla</t>
        </is>
      </c>
      <c r="B353" s="5" t="inlineStr">
        <is>
          <t>VGS</t>
        </is>
      </c>
      <c r="C353" s="7" t="n"/>
      <c r="D353" s="6">
        <f>IFERROR(INDEX('Kontrol Adımları'!$D:$D,MATCH(1,INDEX(('Kontrol Adımları'!$A$1:$A$400=B353)*('Kontrol Adımları'!$B$1:$B$400=C353),0),0)),"")</f>
        <v/>
      </c>
      <c r="E353" s="5" t="inlineStr">
        <is>
          <t>gardirop</t>
        </is>
      </c>
      <c r="F353" s="6">
        <f>IFERROR(INDEX('Kalem Kataloğu'!$C$1:$C$1000,MATCH(1,INDEX(('Kalem Kataloğu'!$A$1:$A$1000=A353)*('Kalem Kataloğu'!$B$1:$B$1000=E353),0),0)),"?")</f>
        <v/>
      </c>
      <c r="G353" s="6">
        <f>IFERROR(INDEX('Kalem Kataloğu'!$D$1:$D$1000,MATCH(1,INDEX(('Kalem Kataloğu'!$A$1:$A$1000=A353)*('Kalem Kataloğu'!$B$1:$B$1000=E353),0),0)),"?")</f>
        <v/>
      </c>
      <c r="H353" s="7" t="n"/>
      <c r="I353" s="7" t="inlineStr">
        <is>
          <t>Hayır</t>
        </is>
      </c>
      <c r="J353" s="5" t="inlineStr">
        <is>
          <t>Drive foto</t>
        </is>
      </c>
      <c r="K353" s="5" t="inlineStr">
        <is>
          <t xml:space="preserve"> [güven: medium]</t>
        </is>
      </c>
    </row>
    <row r="354">
      <c r="A354" s="5" t="inlineStr">
        <is>
          <t>Tare Village Urla</t>
        </is>
      </c>
      <c r="B354" s="5" t="inlineStr">
        <is>
          <t>VGS</t>
        </is>
      </c>
      <c r="C354" s="7" t="n"/>
      <c r="D354" s="6">
        <f>IFERROR(INDEX('Kontrol Adımları'!$D:$D,MATCH(1,INDEX(('Kontrol Adımları'!$A$1:$A$400=B354)*('Kontrol Adımları'!$B$1:$B$400=C354),0),0)),"")</f>
        <v/>
      </c>
      <c r="E354" s="5" t="inlineStr">
        <is>
          <t>hasir_sepet</t>
        </is>
      </c>
      <c r="F354" s="6">
        <f>IFERROR(INDEX('Kalem Kataloğu'!$C$1:$C$1000,MATCH(1,INDEX(('Kalem Kataloğu'!$A$1:$A$1000=A354)*('Kalem Kataloğu'!$B$1:$B$1000=E354),0),0)),"?")</f>
        <v/>
      </c>
      <c r="G354" s="6">
        <f>IFERROR(INDEX('Kalem Kataloğu'!$D$1:$D$1000,MATCH(1,INDEX(('Kalem Kataloğu'!$A$1:$A$1000=A354)*('Kalem Kataloğu'!$B$1:$B$1000=E354),0),0)),"?")</f>
        <v/>
      </c>
      <c r="H354" s="7" t="n">
        <v>1</v>
      </c>
      <c r="I354" s="7" t="inlineStr">
        <is>
          <t>Hayır</t>
        </is>
      </c>
      <c r="J354" s="5" t="inlineStr">
        <is>
          <t>Drive foto</t>
        </is>
      </c>
      <c r="K354" s="5" t="inlineStr">
        <is>
          <t xml:space="preserve"> [güven: high]</t>
        </is>
      </c>
    </row>
    <row r="355">
      <c r="A355" s="5" t="inlineStr">
        <is>
          <t>Tare Village Urla</t>
        </is>
      </c>
      <c r="B355" s="5" t="inlineStr">
        <is>
          <t>VGS</t>
        </is>
      </c>
      <c r="C355" s="7" t="n"/>
      <c r="D355" s="6">
        <f>IFERROR(INDEX('Kontrol Adımları'!$D:$D,MATCH(1,INDEX(('Kontrol Adımları'!$A$1:$A$400=B355)*('Kontrol Adımları'!$B$1:$B$400=C355),0),0)),"")</f>
        <v/>
      </c>
      <c r="E355" s="5" t="inlineStr">
        <is>
          <t>jut_paspas</t>
        </is>
      </c>
      <c r="F355" s="6">
        <f>IFERROR(INDEX('Kalem Kataloğu'!$C$1:$C$1000,MATCH(1,INDEX(('Kalem Kataloğu'!$A$1:$A$1000=A355)*('Kalem Kataloğu'!$B$1:$B$1000=E355),0),0)),"?")</f>
        <v/>
      </c>
      <c r="G355" s="6">
        <f>IFERROR(INDEX('Kalem Kataloğu'!$D$1:$D$1000,MATCH(1,INDEX(('Kalem Kataloğu'!$A$1:$A$1000=A355)*('Kalem Kataloğu'!$B$1:$B$1000=E355),0),0)),"?")</f>
        <v/>
      </c>
      <c r="H355" s="7" t="n">
        <v>2</v>
      </c>
      <c r="I355" s="7" t="inlineStr">
        <is>
          <t>Hayır</t>
        </is>
      </c>
      <c r="J355" s="5" t="inlineStr">
        <is>
          <t>Drive foto</t>
        </is>
      </c>
      <c r="K355" s="5" t="inlineStr">
        <is>
          <t>Görülen adet; tam sayı odada teyit [güven: medium]</t>
        </is>
      </c>
    </row>
    <row r="356">
      <c r="A356" s="5" t="inlineStr">
        <is>
          <t>Tare Village Urla</t>
        </is>
      </c>
      <c r="B356" s="5" t="inlineStr">
        <is>
          <t>VGS</t>
        </is>
      </c>
      <c r="C356" s="7" t="n"/>
      <c r="D356" s="6">
        <f>IFERROR(INDEX('Kontrol Adımları'!$D:$D,MATCH(1,INDEX(('Kontrol Adımları'!$A$1:$A$400=B356)*('Kontrol Adımları'!$B$1:$B$400=C356),0),0)),"")</f>
        <v/>
      </c>
      <c r="E356" s="5" t="inlineStr">
        <is>
          <t>dis_masa</t>
        </is>
      </c>
      <c r="F356" s="6">
        <f>IFERROR(INDEX('Kalem Kataloğu'!$C$1:$C$1000,MATCH(1,INDEX(('Kalem Kataloğu'!$A$1:$A$1000=A356)*('Kalem Kataloğu'!$B$1:$B$1000=E356),0),0)),"?")</f>
        <v/>
      </c>
      <c r="G356" s="6">
        <f>IFERROR(INDEX('Kalem Kataloğu'!$D$1:$D$1000,MATCH(1,INDEX(('Kalem Kataloğu'!$A$1:$A$1000=A356)*('Kalem Kataloğu'!$B$1:$B$1000=E356),0),0)),"?")</f>
        <v/>
      </c>
      <c r="H356" s="7" t="n"/>
      <c r="I356" s="7" t="inlineStr">
        <is>
          <t>Hayır</t>
        </is>
      </c>
      <c r="J356" s="5" t="inlineStr">
        <is>
          <t>Drive foto</t>
        </is>
      </c>
      <c r="K356" s="5" t="inlineStr">
        <is>
          <t xml:space="preserve"> [güven: high]</t>
        </is>
      </c>
    </row>
    <row r="357" ht="26.4" customHeight="1">
      <c r="A357" s="5" t="inlineStr">
        <is>
          <t>Tare Village Urla</t>
        </is>
      </c>
      <c r="B357" s="5" t="inlineStr">
        <is>
          <t>VGS</t>
        </is>
      </c>
      <c r="C357" s="7" t="n"/>
      <c r="D357" s="6">
        <f>IFERROR(INDEX('Kontrol Adımları'!$D:$D,MATCH(1,INDEX(('Kontrol Adımları'!$A$1:$A$400=B357)*('Kontrol Adımları'!$B$1:$B$400=C357),0),0)),"")</f>
        <v/>
      </c>
      <c r="E357" s="5" t="inlineStr">
        <is>
          <t>dis_sandalye</t>
        </is>
      </c>
      <c r="F357" s="6">
        <f>IFERROR(INDEX('Kalem Kataloğu'!$C$1:$C$1000,MATCH(1,INDEX(('Kalem Kataloğu'!$A$1:$A$1000=A357)*('Kalem Kataloğu'!$B$1:$B$1000=E357),0),0)),"?")</f>
        <v/>
      </c>
      <c r="G357" s="6">
        <f>IFERROR(INDEX('Kalem Kataloğu'!$D$1:$D$1000,MATCH(1,INDEX(('Kalem Kataloğu'!$A$1:$A$1000=A357)*('Kalem Kataloğu'!$B$1:$B$1000=E357),0),0)),"?")</f>
        <v/>
      </c>
      <c r="H357" s="7" t="n"/>
      <c r="I357" s="7" t="inlineStr">
        <is>
          <t>Hayır</t>
        </is>
      </c>
      <c r="J357" s="5" t="inlineStr">
        <is>
          <t>Drive foto</t>
        </is>
      </c>
      <c r="K357" s="5" t="inlineStr">
        <is>
          <t>VBS 4 sandalye; VTS 2 sandalye + 2 katlanır koltuk [güven: medium]</t>
        </is>
      </c>
    </row>
    <row r="358">
      <c r="A358" s="5" t="inlineStr">
        <is>
          <t>Tare Village Urla</t>
        </is>
      </c>
      <c r="B358" s="5" t="inlineStr">
        <is>
          <t>VGS</t>
        </is>
      </c>
      <c r="C358" s="7" t="n"/>
      <c r="D358" s="6">
        <f>IFERROR(INDEX('Kontrol Adımları'!$D:$D,MATCH(1,INDEX(('Kontrol Adımları'!$A$1:$A$400=B358)*('Kontrol Adımları'!$B$1:$B$400=C358),0),0)),"")</f>
        <v/>
      </c>
      <c r="E358" s="5" t="inlineStr">
        <is>
          <t>dis_katlanir_koltuk</t>
        </is>
      </c>
      <c r="F358" s="6">
        <f>IFERROR(INDEX('Kalem Kataloğu'!$C$1:$C$1000,MATCH(1,INDEX(('Kalem Kataloğu'!$A$1:$A$1000=A358)*('Kalem Kataloğu'!$B$1:$B$1000=E358),0),0)),"?")</f>
        <v/>
      </c>
      <c r="G358" s="6">
        <f>IFERROR(INDEX('Kalem Kataloğu'!$D$1:$D$1000,MATCH(1,INDEX(('Kalem Kataloğu'!$A$1:$A$1000=A358)*('Kalem Kataloğu'!$B$1:$B$1000=E358),0),0)),"?")</f>
        <v/>
      </c>
      <c r="H358" s="7" t="n"/>
      <c r="I358" s="7" t="inlineStr">
        <is>
          <t>Hayır</t>
        </is>
      </c>
      <c r="J358" s="5" t="inlineStr">
        <is>
          <t>Drive foto</t>
        </is>
      </c>
      <c r="K358" s="5" t="inlineStr">
        <is>
          <t xml:space="preserve"> [güven: medium]</t>
        </is>
      </c>
    </row>
    <row r="359">
      <c r="A359" s="5" t="inlineStr">
        <is>
          <t>Tare Village Urla</t>
        </is>
      </c>
      <c r="B359" s="5" t="inlineStr">
        <is>
          <t>VGS</t>
        </is>
      </c>
      <c r="C359" s="7" t="n"/>
      <c r="D359" s="6">
        <f>IFERROR(INDEX('Kontrol Adımları'!$D:$D,MATCH(1,INDEX(('Kontrol Adımları'!$A$1:$A$400=B359)*('Kontrol Adımları'!$B$1:$B$400=C359),0),0)),"")</f>
        <v/>
      </c>
      <c r="E359" s="5" t="inlineStr">
        <is>
          <t>kagit_havlu</t>
        </is>
      </c>
      <c r="F359" s="6">
        <f>IFERROR(INDEX('Kalem Kataloğu'!$C$1:$C$1000,MATCH(1,INDEX(('Kalem Kataloğu'!$A$1:$A$1000=A359)*('Kalem Kataloğu'!$B$1:$B$1000=E359),0),0)),"?")</f>
        <v/>
      </c>
      <c r="G359" s="6">
        <f>IFERROR(INDEX('Kalem Kataloğu'!$D$1:$D$1000,MATCH(1,INDEX(('Kalem Kataloğu'!$A$1:$A$1000=A359)*('Kalem Kataloğu'!$B$1:$B$1000=E359),0),0)),"?")</f>
        <v/>
      </c>
      <c r="H359" s="7" t="n"/>
      <c r="I359" s="7" t="inlineStr">
        <is>
          <t>Hayır</t>
        </is>
      </c>
      <c r="J359" s="5" t="inlineStr">
        <is>
          <t>Drive foto</t>
        </is>
      </c>
      <c r="K359" s="5" t="inlineStr">
        <is>
          <t xml:space="preserve"> [güven: medium]</t>
        </is>
      </c>
    </row>
    <row r="360">
      <c r="A360" s="5" t="inlineStr">
        <is>
          <t>Tare Village Urla</t>
        </is>
      </c>
      <c r="B360" s="5" t="inlineStr">
        <is>
          <t>VGS</t>
        </is>
      </c>
      <c r="C360" s="7" t="n"/>
      <c r="D360" s="6">
        <f>IFERROR(INDEX('Kontrol Adımları'!$D:$D,MATCH(1,INDEX(('Kontrol Adımları'!$A$1:$A$400=B360)*('Kontrol Adımları'!$B$1:$B$400=C360),0),0)),"")</f>
        <v/>
      </c>
      <c r="E360" s="5" t="inlineStr">
        <is>
          <t>klima</t>
        </is>
      </c>
      <c r="F360" s="6">
        <f>IFERROR(INDEX('Kalem Kataloğu'!$C$1:$C$1000,MATCH(1,INDEX(('Kalem Kataloğu'!$A$1:$A$1000=A360)*('Kalem Kataloğu'!$B$1:$B$1000=E360),0),0)),"?")</f>
        <v/>
      </c>
      <c r="G360" s="6">
        <f>IFERROR(INDEX('Kalem Kataloğu'!$D$1:$D$1000,MATCH(1,INDEX(('Kalem Kataloğu'!$A$1:$A$1000=A360)*('Kalem Kataloğu'!$B$1:$B$1000=E360),0),0)),"?")</f>
        <v/>
      </c>
      <c r="H360" s="7" t="n"/>
      <c r="I360" s="7" t="inlineStr">
        <is>
          <t>Hayır</t>
        </is>
      </c>
      <c r="J360" s="5" t="inlineStr">
        <is>
          <t>Drive foto</t>
        </is>
      </c>
      <c r="K360" s="5" t="inlineStr">
        <is>
          <t>VGS fotoğrafta görünmüyor [güven: high]</t>
        </is>
      </c>
    </row>
    <row r="361">
      <c r="A361" s="5" t="inlineStr">
        <is>
          <t>Tare Village Urla</t>
        </is>
      </c>
      <c r="B361" s="5" t="inlineStr">
        <is>
          <t>VGS</t>
        </is>
      </c>
      <c r="C361" s="7" t="n"/>
      <c r="D361" s="6">
        <f>IFERROR(INDEX('Kontrol Adımları'!$D:$D,MATCH(1,INDEX(('Kontrol Adımları'!$A$1:$A$400=B361)*('Kontrol Adımları'!$B$1:$B$400=C361),0),0)),"")</f>
        <v/>
      </c>
      <c r="E361" s="5" t="inlineStr">
        <is>
          <t>klozet</t>
        </is>
      </c>
      <c r="F361" s="6">
        <f>IFERROR(INDEX('Kalem Kataloğu'!$C$1:$C$1000,MATCH(1,INDEX(('Kalem Kataloğu'!$A$1:$A$1000=A361)*('Kalem Kataloğu'!$B$1:$B$1000=E361),0),0)),"?")</f>
        <v/>
      </c>
      <c r="G361" s="6">
        <f>IFERROR(INDEX('Kalem Kataloğu'!$D$1:$D$1000,MATCH(1,INDEX(('Kalem Kataloğu'!$A$1:$A$1000=A361)*('Kalem Kataloğu'!$B$1:$B$1000=E361),0),0)),"?")</f>
        <v/>
      </c>
      <c r="H361" s="7" t="n">
        <v>1</v>
      </c>
      <c r="I361" s="7" t="inlineStr">
        <is>
          <t>Hayır</t>
        </is>
      </c>
      <c r="J361" s="5" t="inlineStr">
        <is>
          <t>Drive foto</t>
        </is>
      </c>
      <c r="K361" s="5" t="inlineStr">
        <is>
          <t xml:space="preserve"> [güven: high]</t>
        </is>
      </c>
    </row>
    <row r="362">
      <c r="A362" s="5" t="inlineStr">
        <is>
          <t>Tare Village Urla</t>
        </is>
      </c>
      <c r="B362" s="5" t="inlineStr">
        <is>
          <t>VGS</t>
        </is>
      </c>
      <c r="C362" s="7" t="n"/>
      <c r="D362" s="6">
        <f>IFERROR(INDEX('Kontrol Adımları'!$D:$D,MATCH(1,INDEX(('Kontrol Adımları'!$A$1:$A$400=B362)*('Kontrol Adımları'!$B$1:$B$400=C362),0),0)),"")</f>
        <v/>
      </c>
      <c r="E362" s="5" t="inlineStr">
        <is>
          <t>komodin</t>
        </is>
      </c>
      <c r="F362" s="6">
        <f>IFERROR(INDEX('Kalem Kataloğu'!$C$1:$C$1000,MATCH(1,INDEX(('Kalem Kataloğu'!$A$1:$A$1000=A362)*('Kalem Kataloğu'!$B$1:$B$1000=E362),0),0)),"?")</f>
        <v/>
      </c>
      <c r="G362" s="6">
        <f>IFERROR(INDEX('Kalem Kataloğu'!$D$1:$D$1000,MATCH(1,INDEX(('Kalem Kataloğu'!$A$1:$A$1000=A362)*('Kalem Kataloğu'!$B$1:$B$1000=E362),0),0)),"?")</f>
        <v/>
      </c>
      <c r="H362" s="7" t="n"/>
      <c r="I362" s="7" t="inlineStr">
        <is>
          <t>Hayır</t>
        </is>
      </c>
      <c r="J362" s="5" t="inlineStr">
        <is>
          <t>Drive foto</t>
        </is>
      </c>
      <c r="K362" s="5" t="inlineStr">
        <is>
          <t>VBS fotoğrafta tek taraf görünüyor [güven: medium]</t>
        </is>
      </c>
    </row>
    <row r="363">
      <c r="A363" s="5" t="inlineStr">
        <is>
          <t>Tare Village Urla</t>
        </is>
      </c>
      <c r="B363" s="5" t="inlineStr">
        <is>
          <t>VGS</t>
        </is>
      </c>
      <c r="C363" s="7" t="n"/>
      <c r="D363" s="6">
        <f>IFERROR(INDEX('Kontrol Adımları'!$D:$D,MATCH(1,INDEX(('Kontrol Adımları'!$A$1:$A$400=B363)*('Kontrol Adımları'!$B$1:$B$400=C363),0),0)),"")</f>
        <v/>
      </c>
      <c r="E363" s="5" t="inlineStr">
        <is>
          <t>kose_koltuk</t>
        </is>
      </c>
      <c r="F363" s="6">
        <f>IFERROR(INDEX('Kalem Kataloğu'!$C$1:$C$1000,MATCH(1,INDEX(('Kalem Kataloğu'!$A$1:$A$1000=A363)*('Kalem Kataloğu'!$B$1:$B$1000=E363),0),0)),"?")</f>
        <v/>
      </c>
      <c r="G363" s="6">
        <f>IFERROR(INDEX('Kalem Kataloğu'!$D$1:$D$1000,MATCH(1,INDEX(('Kalem Kataloğu'!$A$1:$A$1000=A363)*('Kalem Kataloğu'!$B$1:$B$1000=E363),0),0)),"?")</f>
        <v/>
      </c>
      <c r="H363" s="7" t="n">
        <v>1</v>
      </c>
      <c r="I363" s="7" t="inlineStr">
        <is>
          <t>Hayır</t>
        </is>
      </c>
      <c r="J363" s="5" t="inlineStr">
        <is>
          <t>Drive foto</t>
        </is>
      </c>
      <c r="K363" s="5" t="inlineStr">
        <is>
          <t>VSS ve VTS düz kanepe [güven: high]</t>
        </is>
      </c>
    </row>
    <row r="364">
      <c r="A364" s="5" t="inlineStr">
        <is>
          <t>Tare Village Urla</t>
        </is>
      </c>
      <c r="B364" s="5" t="inlineStr">
        <is>
          <t>VGS</t>
        </is>
      </c>
      <c r="C364" s="7" t="n"/>
      <c r="D364" s="6">
        <f>IFERROR(INDEX('Kontrol Adımları'!$D:$D,MATCH(1,INDEX(('Kontrol Adımları'!$A$1:$A$400=B364)*('Kontrol Adımları'!$B$1:$B$400=C364),0),0)),"")</f>
        <v/>
      </c>
      <c r="E364" s="5" t="inlineStr">
        <is>
          <t>kul_tablasi</t>
        </is>
      </c>
      <c r="F364" s="6">
        <f>IFERROR(INDEX('Kalem Kataloğu'!$C$1:$C$1000,MATCH(1,INDEX(('Kalem Kataloğu'!$A$1:$A$1000=A364)*('Kalem Kataloğu'!$B$1:$B$1000=E364),0),0)),"?")</f>
        <v/>
      </c>
      <c r="G364" s="6">
        <f>IFERROR(INDEX('Kalem Kataloğu'!$D$1:$D$1000,MATCH(1,INDEX(('Kalem Kataloğu'!$A$1:$A$1000=A364)*('Kalem Kataloğu'!$B$1:$B$1000=E364),0),0)),"?")</f>
        <v/>
      </c>
      <c r="H364" s="7" t="n"/>
      <c r="I364" s="7" t="inlineStr">
        <is>
          <t>Hayır</t>
        </is>
      </c>
      <c r="J364" s="5" t="inlineStr">
        <is>
          <t>Drive foto</t>
        </is>
      </c>
      <c r="K364" s="5" t="inlineStr">
        <is>
          <t xml:space="preserve"> [güven: medium]</t>
        </is>
      </c>
    </row>
    <row r="365">
      <c r="A365" s="5" t="inlineStr">
        <is>
          <t>Tare Village Urla</t>
        </is>
      </c>
      <c r="B365" s="5" t="inlineStr">
        <is>
          <t>VGS</t>
        </is>
      </c>
      <c r="C365" s="7" t="n"/>
      <c r="D365" s="6">
        <f>IFERROR(INDEX('Kontrol Adımları'!$D:$D,MATCH(1,INDEX(('Kontrol Adımları'!$A$1:$A$400=B365)*('Kontrol Adımları'!$B$1:$B$400=C365),0),0)),"")</f>
        <v/>
      </c>
      <c r="E365" s="5" t="inlineStr">
        <is>
          <t>mutfak_cop_kovasi</t>
        </is>
      </c>
      <c r="F365" s="6">
        <f>IFERROR(INDEX('Kalem Kataloğu'!$C$1:$C$1000,MATCH(1,INDEX(('Kalem Kataloğu'!$A$1:$A$1000=A365)*('Kalem Kataloğu'!$B$1:$B$1000=E365),0),0)),"?")</f>
        <v/>
      </c>
      <c r="G365" s="6">
        <f>IFERROR(INDEX('Kalem Kataloğu'!$D$1:$D$1000,MATCH(1,INDEX(('Kalem Kataloğu'!$A$1:$A$1000=A365)*('Kalem Kataloğu'!$B$1:$B$1000=E365),0),0)),"?")</f>
        <v/>
      </c>
      <c r="H365" s="7" t="n"/>
      <c r="I365" s="7" t="inlineStr">
        <is>
          <t>Hayır</t>
        </is>
      </c>
      <c r="J365" s="5" t="inlineStr">
        <is>
          <t>Drive foto</t>
        </is>
      </c>
      <c r="K365" s="5" t="inlineStr">
        <is>
          <t xml:space="preserve"> [güven: high]</t>
        </is>
      </c>
    </row>
    <row r="366" ht="26.4" customHeight="1">
      <c r="A366" s="5" t="inlineStr">
        <is>
          <t>Tare Village Urla</t>
        </is>
      </c>
      <c r="B366" s="5" t="inlineStr">
        <is>
          <t>VGS</t>
        </is>
      </c>
      <c r="C366" s="7" t="n"/>
      <c r="D366" s="6">
        <f>IFERROR(INDEX('Kontrol Adımları'!$D:$D,MATCH(1,INDEX(('Kontrol Adımları'!$A$1:$A$400=B366)*('Kontrol Adımları'!$B$1:$B$400=C366),0),0)),"")</f>
        <v/>
      </c>
      <c r="E366" s="5" t="inlineStr">
        <is>
          <t>ocak</t>
        </is>
      </c>
      <c r="F366" s="6">
        <f>IFERROR(INDEX('Kalem Kataloğu'!$C$1:$C$1000,MATCH(1,INDEX(('Kalem Kataloğu'!$A$1:$A$1000=A366)*('Kalem Kataloğu'!$B$1:$B$1000=E366),0),0)),"?")</f>
        <v/>
      </c>
      <c r="G366" s="6">
        <f>IFERROR(INDEX('Kalem Kataloğu'!$D$1:$D$1000,MATCH(1,INDEX(('Kalem Kataloğu'!$A$1:$A$1000=A366)*('Kalem Kataloğu'!$B$1:$B$1000=E366),0),0)),"?")</f>
        <v/>
      </c>
      <c r="H366" s="7" t="n"/>
      <c r="I366" s="7" t="inlineStr">
        <is>
          <t>Hayır</t>
        </is>
      </c>
      <c r="J366" s="5" t="inlineStr">
        <is>
          <t>Drive foto</t>
        </is>
      </c>
      <c r="K366" s="5" t="inlineStr">
        <is>
          <t>VBS ankastre 2 göz; VSS portatif 2 göz cam ocak [güven: medium]</t>
        </is>
      </c>
    </row>
    <row r="367">
      <c r="A367" s="5" t="inlineStr">
        <is>
          <t>Tare Village Urla</t>
        </is>
      </c>
      <c r="B367" s="5" t="inlineStr">
        <is>
          <t>VGS</t>
        </is>
      </c>
      <c r="C367" s="7" t="n"/>
      <c r="D367" s="6">
        <f>IFERROR(INDEX('Kontrol Adımları'!$D:$D,MATCH(1,INDEX(('Kontrol Adımları'!$A$1:$A$400=B367)*('Kontrol Adımları'!$B$1:$B$400=C367),0),0)),"")</f>
        <v/>
      </c>
      <c r="E367" s="5" t="inlineStr">
        <is>
          <t>orta_sehpa</t>
        </is>
      </c>
      <c r="F367" s="6">
        <f>IFERROR(INDEX('Kalem Kataloğu'!$C$1:$C$1000,MATCH(1,INDEX(('Kalem Kataloğu'!$A$1:$A$1000=A367)*('Kalem Kataloğu'!$B$1:$B$1000=E367),0),0)),"?")</f>
        <v/>
      </c>
      <c r="G367" s="6">
        <f>IFERROR(INDEX('Kalem Kataloğu'!$D$1:$D$1000,MATCH(1,INDEX(('Kalem Kataloğu'!$A$1:$A$1000=A367)*('Kalem Kataloğu'!$B$1:$B$1000=E367),0),0)),"?")</f>
        <v/>
      </c>
      <c r="H367" s="7" t="n">
        <v>1</v>
      </c>
      <c r="I367" s="7" t="inlineStr">
        <is>
          <t>Hayır</t>
        </is>
      </c>
      <c r="J367" s="5" t="inlineStr">
        <is>
          <t>Drive foto</t>
        </is>
      </c>
      <c r="K367" s="5" t="inlineStr">
        <is>
          <t xml:space="preserve"> [güven: high]</t>
        </is>
      </c>
    </row>
    <row r="368">
      <c r="A368" s="5" t="inlineStr">
        <is>
          <t>Tare Village Urla</t>
        </is>
      </c>
      <c r="B368" s="5" t="inlineStr">
        <is>
          <t>VGS</t>
        </is>
      </c>
      <c r="C368" s="7" t="n"/>
      <c r="D368" s="6">
        <f>IFERROR(INDEX('Kontrol Adımları'!$D:$D,MATCH(1,INDEX(('Kontrol Adımları'!$A$1:$A$400=B368)*('Kontrol Adımları'!$B$1:$B$400=C368),0),0)),"")</f>
        <v/>
      </c>
      <c r="E368" s="5" t="inlineStr">
        <is>
          <t>banyo_cop_kovasi</t>
        </is>
      </c>
      <c r="F368" s="6">
        <f>IFERROR(INDEX('Kalem Kataloğu'!$C$1:$C$1000,MATCH(1,INDEX(('Kalem Kataloğu'!$A$1:$A$1000=A368)*('Kalem Kataloğu'!$B$1:$B$1000=E368),0),0)),"?")</f>
        <v/>
      </c>
      <c r="G368" s="6">
        <f>IFERROR(INDEX('Kalem Kataloğu'!$D$1:$D$1000,MATCH(1,INDEX(('Kalem Kataloğu'!$A$1:$A$1000=A368)*('Kalem Kataloğu'!$B$1:$B$1000=E368),0),0)),"?")</f>
        <v/>
      </c>
      <c r="H368" s="7" t="n">
        <v>1</v>
      </c>
      <c r="I368" s="7" t="inlineStr">
        <is>
          <t>Hayır</t>
        </is>
      </c>
      <c r="J368" s="5" t="inlineStr">
        <is>
          <t>Drive foto</t>
        </is>
      </c>
      <c r="K368" s="5" t="inlineStr">
        <is>
          <t>VGS inox, VBS/VTS siyah [güven: high]</t>
        </is>
      </c>
    </row>
    <row r="369">
      <c r="A369" s="5" t="inlineStr">
        <is>
          <t>Tare Village Urla</t>
        </is>
      </c>
      <c r="B369" s="5" t="inlineStr">
        <is>
          <t>VGS</t>
        </is>
      </c>
      <c r="C369" s="7" t="n"/>
      <c r="D369" s="6">
        <f>IFERROR(INDEX('Kontrol Adımları'!$D:$D,MATCH(1,INDEX(('Kontrol Adımları'!$A$1:$A$400=B369)*('Kontrol Adımları'!$B$1:$B$400=C369),0),0)),"")</f>
        <v/>
      </c>
      <c r="E369" s="5" t="inlineStr">
        <is>
          <t>yatak_ortusu</t>
        </is>
      </c>
      <c r="F369" s="6">
        <f>IFERROR(INDEX('Kalem Kataloğu'!$C$1:$C$1000,MATCH(1,INDEX(('Kalem Kataloğu'!$A$1:$A$1000=A369)*('Kalem Kataloğu'!$B$1:$B$1000=E369),0),0)),"?")</f>
        <v/>
      </c>
      <c r="G369" s="6">
        <f>IFERROR(INDEX('Kalem Kataloğu'!$D$1:$D$1000,MATCH(1,INDEX(('Kalem Kataloğu'!$A$1:$A$1000=A369)*('Kalem Kataloğu'!$B$1:$B$1000=E369),0),0)),"?")</f>
        <v/>
      </c>
      <c r="H369" s="7" t="n">
        <v>1</v>
      </c>
      <c r="I369" s="7" t="inlineStr">
        <is>
          <t>Hayır</t>
        </is>
      </c>
      <c r="J369" s="5" t="inlineStr">
        <is>
          <t>Drive foto</t>
        </is>
      </c>
      <c r="K369" s="5" t="inlineStr">
        <is>
          <t xml:space="preserve"> [güven: high]</t>
        </is>
      </c>
    </row>
    <row r="370">
      <c r="A370" s="5" t="inlineStr">
        <is>
          <t>Tare Village Urla</t>
        </is>
      </c>
      <c r="B370" s="5" t="inlineStr">
        <is>
          <t>VGS</t>
        </is>
      </c>
      <c r="C370" s="7" t="n"/>
      <c r="D370" s="6">
        <f>IFERROR(INDEX('Kontrol Adımları'!$D:$D,MATCH(1,INDEX(('Kontrol Adımları'!$A$1:$A$400=B370)*('Kontrol Adımları'!$B$1:$B$400=C370),0),0)),"")</f>
        <v/>
      </c>
      <c r="E370" s="5" t="inlineStr">
        <is>
          <t>tavan_sarkit_lamba</t>
        </is>
      </c>
      <c r="F370" s="6">
        <f>IFERROR(INDEX('Kalem Kataloğu'!$C$1:$C$1000,MATCH(1,INDEX(('Kalem Kataloğu'!$A$1:$A$1000=A370)*('Kalem Kataloğu'!$B$1:$B$1000=E370),0),0)),"?")</f>
        <v/>
      </c>
      <c r="G370" s="6">
        <f>IFERROR(INDEX('Kalem Kataloğu'!$D$1:$D$1000,MATCH(1,INDEX(('Kalem Kataloğu'!$A$1:$A$1000=A370)*('Kalem Kataloğu'!$B$1:$B$1000=E370),0),0)),"?")</f>
        <v/>
      </c>
      <c r="H370" s="7" t="n">
        <v>1</v>
      </c>
      <c r="I370" s="7" t="inlineStr">
        <is>
          <t>Hayır</t>
        </is>
      </c>
      <c r="J370" s="5" t="inlineStr">
        <is>
          <t>Drive foto</t>
        </is>
      </c>
      <c r="K370" s="5" t="inlineStr">
        <is>
          <t xml:space="preserve"> [güven: medium]</t>
        </is>
      </c>
    </row>
    <row r="371">
      <c r="A371" s="5" t="inlineStr">
        <is>
          <t>Tare Village Urla</t>
        </is>
      </c>
      <c r="B371" s="5" t="inlineStr">
        <is>
          <t>VGS</t>
        </is>
      </c>
      <c r="C371" s="7" t="n"/>
      <c r="D371" s="6">
        <f>IFERROR(INDEX('Kontrol Adımları'!$D:$D,MATCH(1,INDEX(('Kontrol Adımları'!$A$1:$A$400=B371)*('Kontrol Adımları'!$B$1:$B$400=C371),0),0)),"")</f>
        <v/>
      </c>
      <c r="E371" s="5" t="inlineStr">
        <is>
          <t>sac_kurutma_makinesi</t>
        </is>
      </c>
      <c r="F371" s="6">
        <f>IFERROR(INDEX('Kalem Kataloğu'!$C$1:$C$1000,MATCH(1,INDEX(('Kalem Kataloğu'!$A$1:$A$1000=A371)*('Kalem Kataloğu'!$B$1:$B$1000=E371),0),0)),"?")</f>
        <v/>
      </c>
      <c r="G371" s="6">
        <f>IFERROR(INDEX('Kalem Kataloğu'!$D$1:$D$1000,MATCH(1,INDEX(('Kalem Kataloğu'!$A$1:$A$1000=A371)*('Kalem Kataloğu'!$B$1:$B$1000=E371),0),0)),"?")</f>
        <v/>
      </c>
      <c r="H371" s="7" t="n">
        <v>1</v>
      </c>
      <c r="I371" s="7" t="inlineStr">
        <is>
          <t>Hayır</t>
        </is>
      </c>
      <c r="J371" s="5" t="inlineStr">
        <is>
          <t>Drive foto</t>
        </is>
      </c>
      <c r="K371" s="5" t="inlineStr">
        <is>
          <t xml:space="preserve"> [güven: high]</t>
        </is>
      </c>
    </row>
    <row r="372">
      <c r="A372" s="5" t="inlineStr">
        <is>
          <t>Tare Village Urla</t>
        </is>
      </c>
      <c r="B372" s="5" t="inlineStr">
        <is>
          <t>VGS</t>
        </is>
      </c>
      <c r="C372" s="7" t="n"/>
      <c r="D372" s="6">
        <f>IFERROR(INDEX('Kontrol Adımları'!$D:$D,MATCH(1,INDEX(('Kontrol Adımları'!$A$1:$A$400=B372)*('Kontrol Adımları'!$B$1:$B$400=C372),0),0)),"")</f>
        <v/>
      </c>
      <c r="E372" s="5" t="inlineStr">
        <is>
          <t>tv</t>
        </is>
      </c>
      <c r="F372" s="6">
        <f>IFERROR(INDEX('Kalem Kataloğu'!$C$1:$C$1000,MATCH(1,INDEX(('Kalem Kataloğu'!$A$1:$A$1000=A372)*('Kalem Kataloğu'!$B$1:$B$1000=E372),0),0)),"?")</f>
        <v/>
      </c>
      <c r="G372" s="6">
        <f>IFERROR(INDEX('Kalem Kataloğu'!$D$1:$D$1000,MATCH(1,INDEX(('Kalem Kataloğu'!$A$1:$A$1000=A372)*('Kalem Kataloğu'!$B$1:$B$1000=E372),0),0)),"?")</f>
        <v/>
      </c>
      <c r="H372" s="7" t="n"/>
      <c r="I372" s="7" t="inlineStr">
        <is>
          <t>Hayır</t>
        </is>
      </c>
      <c r="J372" s="5" t="inlineStr">
        <is>
          <t>Drive foto</t>
        </is>
      </c>
      <c r="K372" s="5" t="inlineStr">
        <is>
          <t>VBS/VSS duvar tipi, VTS ayaklı [güven: high]</t>
        </is>
      </c>
    </row>
    <row r="373">
      <c r="A373" s="5" t="inlineStr">
        <is>
          <t>Tare Village Urla</t>
        </is>
      </c>
      <c r="B373" s="5" t="inlineStr">
        <is>
          <t>VGS</t>
        </is>
      </c>
      <c r="C373" s="7" t="n"/>
      <c r="D373" s="6">
        <f>IFERROR(INDEX('Kontrol Adımları'!$D:$D,MATCH(1,INDEX(('Kontrol Adımları'!$A$1:$A$400=B373)*('Kontrol Adımları'!$B$1:$B$400=C373),0),0)),"")</f>
        <v/>
      </c>
      <c r="E373" s="5" t="inlineStr">
        <is>
          <t>tv_kumandasi</t>
        </is>
      </c>
      <c r="F373" s="6">
        <f>IFERROR(INDEX('Kalem Kataloğu'!$C$1:$C$1000,MATCH(1,INDEX(('Kalem Kataloğu'!$A$1:$A$1000=A373)*('Kalem Kataloğu'!$B$1:$B$1000=E373),0),0)),"?")</f>
        <v/>
      </c>
      <c r="G373" s="6">
        <f>IFERROR(INDEX('Kalem Kataloğu'!$D$1:$D$1000,MATCH(1,INDEX(('Kalem Kataloğu'!$A$1:$A$1000=A373)*('Kalem Kataloğu'!$B$1:$B$1000=E373),0),0)),"?")</f>
        <v/>
      </c>
      <c r="H373" s="7" t="n"/>
      <c r="I373" s="7" t="inlineStr">
        <is>
          <t>Hayır</t>
        </is>
      </c>
      <c r="J373" s="5" t="inlineStr">
        <is>
          <t>Drive foto</t>
        </is>
      </c>
      <c r="K373" s="5" t="inlineStr">
        <is>
          <t xml:space="preserve"> [güven: medium]</t>
        </is>
      </c>
    </row>
    <row r="374">
      <c r="A374" s="5" t="inlineStr">
        <is>
          <t>Tare Village Urla</t>
        </is>
      </c>
      <c r="B374" s="5" t="inlineStr">
        <is>
          <t>VGS</t>
        </is>
      </c>
      <c r="C374" s="7" t="n"/>
      <c r="D374" s="6">
        <f>IFERROR(INDEX('Kontrol Adımları'!$D:$D,MATCH(1,INDEX(('Kontrol Adımları'!$A$1:$A$400=B374)*('Kontrol Adımları'!$B$1:$B$400=C374),0),0)),"")</f>
        <v/>
      </c>
      <c r="E374" s="5" t="inlineStr">
        <is>
          <t>tablo</t>
        </is>
      </c>
      <c r="F374" s="6">
        <f>IFERROR(INDEX('Kalem Kataloğu'!$C$1:$C$1000,MATCH(1,INDEX(('Kalem Kataloğu'!$A$1:$A$1000=A374)*('Kalem Kataloğu'!$B$1:$B$1000=E374),0),0)),"?")</f>
        <v/>
      </c>
      <c r="G374" s="6">
        <f>IFERROR(INDEX('Kalem Kataloğu'!$D$1:$D$1000,MATCH(1,INDEX(('Kalem Kataloğu'!$A$1:$A$1000=A374)*('Kalem Kataloğu'!$B$1:$B$1000=E374),0),0)),"?")</f>
        <v/>
      </c>
      <c r="H374" s="7" t="n">
        <v>1</v>
      </c>
      <c r="I374" s="7" t="inlineStr">
        <is>
          <t>Hayır</t>
        </is>
      </c>
      <c r="J374" s="5" t="inlineStr">
        <is>
          <t>Drive foto</t>
        </is>
      </c>
      <c r="K374" s="5" t="inlineStr">
        <is>
          <t xml:space="preserve"> [güven: medium]</t>
        </is>
      </c>
    </row>
    <row r="375">
      <c r="A375" s="5" t="inlineStr">
        <is>
          <t>Tare Village Urla</t>
        </is>
      </c>
      <c r="B375" s="5" t="inlineStr">
        <is>
          <t>VGS</t>
        </is>
      </c>
      <c r="C375" s="7" t="n"/>
      <c r="D375" s="6">
        <f>IFERROR(INDEX('Kontrol Adımları'!$D:$D,MATCH(1,INDEX(('Kontrol Adımları'!$A$1:$A$400=B375)*('Kontrol Adımları'!$B$1:$B$400=C375),0),0)),"")</f>
        <v/>
      </c>
      <c r="E375" s="5" t="inlineStr">
        <is>
          <t>lavabo_tas_canak</t>
        </is>
      </c>
      <c r="F375" s="6">
        <f>IFERROR(INDEX('Kalem Kataloğu'!$C$1:$C$1000,MATCH(1,INDEX(('Kalem Kataloğu'!$A$1:$A$1000=A375)*('Kalem Kataloğu'!$B$1:$B$1000=E375),0),0)),"?")</f>
        <v/>
      </c>
      <c r="G375" s="6">
        <f>IFERROR(INDEX('Kalem Kataloğu'!$D$1:$D$1000,MATCH(1,INDEX(('Kalem Kataloğu'!$A$1:$A$1000=A375)*('Kalem Kataloğu'!$B$1:$B$1000=E375),0),0)),"?")</f>
        <v/>
      </c>
      <c r="H375" s="7" t="n">
        <v>1</v>
      </c>
      <c r="I375" s="7" t="inlineStr">
        <is>
          <t>Hayır</t>
        </is>
      </c>
      <c r="J375" s="5" t="inlineStr">
        <is>
          <t>Drive foto</t>
        </is>
      </c>
      <c r="K375" s="5" t="inlineStr">
        <is>
          <t>Tüm odalarda aynı model [güven: high]</t>
        </is>
      </c>
    </row>
    <row r="376">
      <c r="A376" s="5" t="inlineStr">
        <is>
          <t>Tare Village Urla</t>
        </is>
      </c>
      <c r="B376" s="5" t="inlineStr">
        <is>
          <t>VGS</t>
        </is>
      </c>
      <c r="C376" s="7" t="n"/>
      <c r="D376" s="6">
        <f>IFERROR(INDEX('Kontrol Adımları'!$D:$D,MATCH(1,INDEX(('Kontrol Adımları'!$A$1:$A$400=B376)*('Kontrol Adımları'!$B$1:$B$400=C376),0),0)),"")</f>
        <v/>
      </c>
      <c r="E376" s="5" t="inlineStr">
        <is>
          <t>tel_sandalye</t>
        </is>
      </c>
      <c r="F376" s="6">
        <f>IFERROR(INDEX('Kalem Kataloğu'!$C$1:$C$1000,MATCH(1,INDEX(('Kalem Kataloğu'!$A$1:$A$1000=A376)*('Kalem Kataloğu'!$B$1:$B$1000=E376),0),0)),"?")</f>
        <v/>
      </c>
      <c r="G376" s="6">
        <f>IFERROR(INDEX('Kalem Kataloğu'!$D$1:$D$1000,MATCH(1,INDEX(('Kalem Kataloğu'!$A$1:$A$1000=A376)*('Kalem Kataloğu'!$B$1:$B$1000=E376),0),0)),"?")</f>
        <v/>
      </c>
      <c r="H376" s="7" t="n"/>
      <c r="I376" s="7" t="inlineStr">
        <is>
          <t>Hayır</t>
        </is>
      </c>
      <c r="J376" s="5" t="inlineStr">
        <is>
          <t>Drive foto</t>
        </is>
      </c>
      <c r="K376" s="5" t="inlineStr">
        <is>
          <t xml:space="preserve"> [güven: high]</t>
        </is>
      </c>
    </row>
    <row r="377">
      <c r="A377" s="5" t="inlineStr">
        <is>
          <t>Tare Village Urla</t>
        </is>
      </c>
      <c r="B377" s="5" t="inlineStr">
        <is>
          <t>VGS</t>
        </is>
      </c>
      <c r="C377" s="7" t="n"/>
      <c r="D377" s="6">
        <f>IFERROR(INDEX('Kontrol Adımları'!$D:$D,MATCH(1,INDEX(('Kontrol Adımları'!$A$1:$A$400=B377)*('Kontrol Adımları'!$B$1:$B$400=C377),0),0)),"")</f>
        <v/>
      </c>
      <c r="E377" s="5" t="inlineStr">
        <is>
          <t>tuvalet_kagidi_aparati</t>
        </is>
      </c>
      <c r="F377" s="6">
        <f>IFERROR(INDEX('Kalem Kataloğu'!$C$1:$C$1000,MATCH(1,INDEX(('Kalem Kataloğu'!$A$1:$A$1000=A377)*('Kalem Kataloğu'!$B$1:$B$1000=E377),0),0)),"?")</f>
        <v/>
      </c>
      <c r="G377" s="6">
        <f>IFERROR(INDEX('Kalem Kataloğu'!$D$1:$D$1000,MATCH(1,INDEX(('Kalem Kataloğu'!$A$1:$A$1000=A377)*('Kalem Kataloğu'!$B$1:$B$1000=E377),0),0)),"?")</f>
        <v/>
      </c>
      <c r="H377" s="7" t="n">
        <v>1</v>
      </c>
      <c r="I377" s="7" t="inlineStr">
        <is>
          <t>Hayır</t>
        </is>
      </c>
      <c r="J377" s="5" t="inlineStr">
        <is>
          <t>Drive foto</t>
        </is>
      </c>
      <c r="K377" s="5" t="inlineStr">
        <is>
          <t>VSS fotoğrafta görünmüyor [güven: high]</t>
        </is>
      </c>
    </row>
    <row r="378">
      <c r="A378" s="5" t="inlineStr">
        <is>
          <t>Tare Village Urla</t>
        </is>
      </c>
      <c r="B378" s="5" t="inlineStr">
        <is>
          <t>VGS</t>
        </is>
      </c>
      <c r="C378" s="7" t="n"/>
      <c r="D378" s="6">
        <f>IFERROR(INDEX('Kontrol Adımları'!$D:$D,MATCH(1,INDEX(('Kontrol Adımları'!$A$1:$A$400=B378)*('Kontrol Adımları'!$B$1:$B$400=C378),0),0)),"")</f>
        <v/>
      </c>
      <c r="E378" s="5" t="inlineStr">
        <is>
          <t>wc_fircasi</t>
        </is>
      </c>
      <c r="F378" s="6">
        <f>IFERROR(INDEX('Kalem Kataloğu'!$C$1:$C$1000,MATCH(1,INDEX(('Kalem Kataloğu'!$A$1:$A$1000=A378)*('Kalem Kataloğu'!$B$1:$B$1000=E378),0),0)),"?")</f>
        <v/>
      </c>
      <c r="G378" s="6">
        <f>IFERROR(INDEX('Kalem Kataloğu'!$D$1:$D$1000,MATCH(1,INDEX(('Kalem Kataloğu'!$A$1:$A$1000=A378)*('Kalem Kataloğu'!$B$1:$B$1000=E378),0),0)),"?")</f>
        <v/>
      </c>
      <c r="H378" s="7" t="n">
        <v>1</v>
      </c>
      <c r="I378" s="7" t="inlineStr">
        <is>
          <t>Hayır</t>
        </is>
      </c>
      <c r="J378" s="5" t="inlineStr">
        <is>
          <t>Drive foto</t>
        </is>
      </c>
      <c r="K378" s="5" t="inlineStr">
        <is>
          <t xml:space="preserve"> [güven: medium]</t>
        </is>
      </c>
    </row>
    <row r="379">
      <c r="A379" s="5" t="inlineStr">
        <is>
          <t>Tare Village Urla</t>
        </is>
      </c>
      <c r="B379" s="5" t="inlineStr">
        <is>
          <t>VGS</t>
        </is>
      </c>
      <c r="C379" s="7" t="n"/>
      <c r="D379" s="6">
        <f>IFERROR(INDEX('Kontrol Adımları'!$D:$D,MATCH(1,INDEX(('Kontrol Adımları'!$A$1:$A$400=B379)*('Kontrol Adımları'!$B$1:$B$400=C379),0),0)),"")</f>
        <v/>
      </c>
      <c r="E379" s="5" t="inlineStr">
        <is>
          <t>yangin_sondurucu</t>
        </is>
      </c>
      <c r="F379" s="6">
        <f>IFERROR(INDEX('Kalem Kataloğu'!$C$1:$C$1000,MATCH(1,INDEX(('Kalem Kataloğu'!$A$1:$A$1000=A379)*('Kalem Kataloğu'!$B$1:$B$1000=E379),0),0)),"?")</f>
        <v/>
      </c>
      <c r="G379" s="6">
        <f>IFERROR(INDEX('Kalem Kataloğu'!$D$1:$D$1000,MATCH(1,INDEX(('Kalem Kataloğu'!$A$1:$A$1000=A379)*('Kalem Kataloğu'!$B$1:$B$1000=E379),0),0)),"?")</f>
        <v/>
      </c>
      <c r="H379" s="7" t="n"/>
      <c r="I379" s="7" t="inlineStr">
        <is>
          <t>Hayır</t>
        </is>
      </c>
      <c r="J379" s="5" t="inlineStr">
        <is>
          <t>Drive foto</t>
        </is>
      </c>
      <c r="K379" s="5" t="inlineStr">
        <is>
          <t xml:space="preserve"> [güven: high]</t>
        </is>
      </c>
    </row>
    <row r="380">
      <c r="A380" s="5" t="inlineStr">
        <is>
          <t>Tare Village Urla</t>
        </is>
      </c>
      <c r="B380" s="5" t="inlineStr">
        <is>
          <t>VGS</t>
        </is>
      </c>
      <c r="C380" s="7" t="n"/>
      <c r="D380" s="6">
        <f>IFERROR(INDEX('Kontrol Adımları'!$D:$D,MATCH(1,INDEX(('Kontrol Adımları'!$A$1:$A$400=B380)*('Kontrol Adımları'!$B$1:$B$400=C380),0),0)),"")</f>
        <v/>
      </c>
      <c r="E380" s="5" t="inlineStr">
        <is>
          <t>saksi_bitki</t>
        </is>
      </c>
      <c r="F380" s="6">
        <f>IFERROR(INDEX('Kalem Kataloğu'!$C$1:$C$1000,MATCH(1,INDEX(('Kalem Kataloğu'!$A$1:$A$1000=A380)*('Kalem Kataloğu'!$B$1:$B$1000=E380),0),0)),"?")</f>
        <v/>
      </c>
      <c r="G380" s="6">
        <f>IFERROR(INDEX('Kalem Kataloğu'!$D$1:$D$1000,MATCH(1,INDEX(('Kalem Kataloğu'!$A$1:$A$1000=A380)*('Kalem Kataloğu'!$B$1:$B$1000=E380),0),0)),"?")</f>
        <v/>
      </c>
      <c r="H380" s="7" t="n">
        <v>1</v>
      </c>
      <c r="I380" s="7" t="inlineStr">
        <is>
          <t>Hayır</t>
        </is>
      </c>
      <c r="J380" s="5" t="inlineStr">
        <is>
          <t>Drive foto</t>
        </is>
      </c>
      <c r="K380" s="5" t="inlineStr">
        <is>
          <t>VTS bitkisi merdiven sahanlığında [güven: medium]</t>
        </is>
      </c>
    </row>
    <row r="381">
      <c r="A381" s="5" t="inlineStr">
        <is>
          <t>Tare Village Urla</t>
        </is>
      </c>
      <c r="B381" s="5" t="inlineStr">
        <is>
          <t>VGS</t>
        </is>
      </c>
      <c r="C381" s="7" t="n"/>
      <c r="D381" s="6">
        <f>IFERROR(INDEX('Kontrol Adımları'!$D:$D,MATCH(1,INDEX(('Kontrol Adımları'!$A$1:$A$400=B381)*('Kontrol Adımları'!$B$1:$B$400=C381),0),0)),"")</f>
        <v/>
      </c>
      <c r="E381" s="5" t="inlineStr">
        <is>
          <t>yastik</t>
        </is>
      </c>
      <c r="F381" s="6">
        <f>IFERROR(INDEX('Kalem Kataloğu'!$C$1:$C$1000,MATCH(1,INDEX(('Kalem Kataloğu'!$A$1:$A$1000=A381)*('Kalem Kataloğu'!$B$1:$B$1000=E381),0),0)),"?")</f>
        <v/>
      </c>
      <c r="G381" s="6">
        <f>IFERROR(INDEX('Kalem Kataloğu'!$D$1:$D$1000,MATCH(1,INDEX(('Kalem Kataloğu'!$A$1:$A$1000=A381)*('Kalem Kataloğu'!$B$1:$B$1000=E381),0),0)),"?")</f>
        <v/>
      </c>
      <c r="H381" s="7" t="n">
        <v>2</v>
      </c>
      <c r="I381" s="7" t="inlineStr">
        <is>
          <t>Hayır</t>
        </is>
      </c>
      <c r="J381" s="5" t="inlineStr">
        <is>
          <t>Drive foto</t>
        </is>
      </c>
      <c r="K381" s="5" t="inlineStr">
        <is>
          <t xml:space="preserve"> [güven: high]</t>
        </is>
      </c>
    </row>
    <row r="382">
      <c r="A382" s="5" t="inlineStr">
        <is>
          <t>Tare Village Urla</t>
        </is>
      </c>
      <c r="B382" s="5" t="inlineStr">
        <is>
          <t>VGS</t>
        </is>
      </c>
      <c r="C382" s="7" t="n"/>
      <c r="D382" s="6">
        <f>IFERROR(INDEX('Kontrol Adımları'!$D:$D,MATCH(1,INDEX(('Kontrol Adımları'!$A$1:$A$400=B382)*('Kontrol Adımları'!$B$1:$B$400=C382),0),0)),"")</f>
        <v/>
      </c>
      <c r="E382" s="5" t="inlineStr">
        <is>
          <t>yedek_tuvalet_kagidi</t>
        </is>
      </c>
      <c r="F382" s="6">
        <f>IFERROR(INDEX('Kalem Kataloğu'!$C$1:$C$1000,MATCH(1,INDEX(('Kalem Kataloğu'!$A$1:$A$1000=A382)*('Kalem Kataloğu'!$B$1:$B$1000=E382),0),0)),"?")</f>
        <v/>
      </c>
      <c r="G382" s="6">
        <f>IFERROR(INDEX('Kalem Kataloğu'!$D$1:$D$1000,MATCH(1,INDEX(('Kalem Kataloğu'!$A$1:$A$1000=A382)*('Kalem Kataloğu'!$B$1:$B$1000=E382),0),0)),"?")</f>
        <v/>
      </c>
      <c r="H382" s="7" t="n"/>
      <c r="I382" s="7" t="inlineStr">
        <is>
          <t>Hayır</t>
        </is>
      </c>
      <c r="J382" s="5" t="inlineStr">
        <is>
          <t>Drive foto</t>
        </is>
      </c>
      <c r="K382" s="5" t="inlineStr">
        <is>
          <t xml:space="preserve"> [güven: medium]</t>
        </is>
      </c>
    </row>
    <row r="383">
      <c r="A383" s="5" t="inlineStr">
        <is>
          <t>Tare Village Urla</t>
        </is>
      </c>
      <c r="B383" s="5" t="inlineStr">
        <is>
          <t>VGS</t>
        </is>
      </c>
      <c r="C383" s="7" t="n"/>
      <c r="D383" s="6">
        <f>IFERROR(INDEX('Kontrol Adımları'!$D:$D,MATCH(1,INDEX(('Kontrol Adımları'!$A$1:$A$400=B383)*('Kontrol Adımları'!$B$1:$B$400=C383),0),0)),"")</f>
        <v/>
      </c>
      <c r="E383" s="5" t="inlineStr">
        <is>
          <t>yemek_masasi</t>
        </is>
      </c>
      <c r="F383" s="6">
        <f>IFERROR(INDEX('Kalem Kataloğu'!$C$1:$C$1000,MATCH(1,INDEX(('Kalem Kataloğu'!$A$1:$A$1000=A383)*('Kalem Kataloğu'!$B$1:$B$1000=E383),0),0)),"?")</f>
        <v/>
      </c>
      <c r="G383" s="6">
        <f>IFERROR(INDEX('Kalem Kataloğu'!$D$1:$D$1000,MATCH(1,INDEX(('Kalem Kataloğu'!$A$1:$A$1000=A383)*('Kalem Kataloğu'!$B$1:$B$1000=E383),0),0)),"?")</f>
        <v/>
      </c>
      <c r="H383" s="7" t="n">
        <v>1</v>
      </c>
      <c r="I383" s="7" t="inlineStr">
        <is>
          <t>Hayır</t>
        </is>
      </c>
      <c r="J383" s="5" t="inlineStr">
        <is>
          <t>Drive foto</t>
        </is>
      </c>
      <c r="K383" s="5" t="inlineStr">
        <is>
          <t>VTS: masa + bank + 2 tel sandalye [güven: high]</t>
        </is>
      </c>
    </row>
    <row r="384">
      <c r="A384" s="5" t="inlineStr">
        <is>
          <t>Tare Village Urla</t>
        </is>
      </c>
      <c r="B384" s="5" t="inlineStr">
        <is>
          <t>VGS</t>
        </is>
      </c>
      <c r="C384" s="7" t="n"/>
      <c r="D384" s="6">
        <f>IFERROR(INDEX('Kontrol Adımları'!$D:$D,MATCH(1,INDEX(('Kontrol Adımları'!$A$1:$A$400=B384)*('Kontrol Adımları'!$B$1:$B$400=C384),0),0)),"")</f>
        <v/>
      </c>
      <c r="E384" s="5" t="inlineStr">
        <is>
          <t>ayna_yuvarlak</t>
        </is>
      </c>
      <c r="F384" s="6">
        <f>IFERROR(INDEX('Kalem Kataloğu'!$C$1:$C$1000,MATCH(1,INDEX(('Kalem Kataloğu'!$A$1:$A$1000=A384)*('Kalem Kataloğu'!$B$1:$B$1000=E384),0),0)),"?")</f>
        <v/>
      </c>
      <c r="G384" s="6">
        <f>IFERROR(INDEX('Kalem Kataloğu'!$D$1:$D$1000,MATCH(1,INDEX(('Kalem Kataloğu'!$A$1:$A$1000=A384)*('Kalem Kataloğu'!$B$1:$B$1000=E384),0),0)),"?")</f>
        <v/>
      </c>
      <c r="H384" s="7" t="n">
        <v>1</v>
      </c>
      <c r="I384" s="7" t="inlineStr">
        <is>
          <t>Hayır</t>
        </is>
      </c>
      <c r="J384" s="5" t="inlineStr">
        <is>
          <t>Drive foto</t>
        </is>
      </c>
      <c r="K384" s="5" t="inlineStr">
        <is>
          <t xml:space="preserve"> [güven: high]</t>
        </is>
      </c>
    </row>
    <row r="385">
      <c r="A385" s="5" t="inlineStr">
        <is>
          <t>Tare Village Urla</t>
        </is>
      </c>
      <c r="B385" s="5" t="inlineStr">
        <is>
          <t>VGS</t>
        </is>
      </c>
      <c r="C385" s="7" t="n"/>
      <c r="D385" s="6">
        <f>IFERROR(INDEX('Kontrol Adımları'!$D:$D,MATCH(1,INDEX(('Kontrol Adımları'!$A$1:$A$400=B385)*('Kontrol Adımları'!$B$1:$B$400=C385),0),0)),"")</f>
        <v/>
      </c>
      <c r="E385" s="5" t="inlineStr">
        <is>
          <t>cift_kisilik_yatak</t>
        </is>
      </c>
      <c r="F385" s="6">
        <f>IFERROR(INDEX('Kalem Kataloğu'!$C$1:$C$1000,MATCH(1,INDEX(('Kalem Kataloğu'!$A$1:$A$1000=A385)*('Kalem Kataloğu'!$B$1:$B$1000=E385),0),0)),"?")</f>
        <v/>
      </c>
      <c r="G385" s="6">
        <f>IFERROR(INDEX('Kalem Kataloğu'!$D$1:$D$1000,MATCH(1,INDEX(('Kalem Kataloğu'!$A$1:$A$1000=A385)*('Kalem Kataloğu'!$B$1:$B$1000=E385),0),0)),"?")</f>
        <v/>
      </c>
      <c r="H385" s="7" t="n">
        <v>1</v>
      </c>
      <c r="I385" s="7" t="inlineStr">
        <is>
          <t>Hayır</t>
        </is>
      </c>
      <c r="J385" s="5" t="inlineStr">
        <is>
          <t>Drive foto</t>
        </is>
      </c>
      <c r="K385" s="5" t="inlineStr">
        <is>
          <t xml:space="preserve"> [güven: high]</t>
        </is>
      </c>
    </row>
    <row r="386" ht="26.4" customHeight="1">
      <c r="A386" s="5" t="inlineStr">
        <is>
          <t>Tare Village Urla</t>
        </is>
      </c>
      <c r="B386" s="5" t="inlineStr">
        <is>
          <t>VGS</t>
        </is>
      </c>
      <c r="C386" s="7" t="n"/>
      <c r="D386" s="6">
        <f>IFERROR(INDEX('Kontrol Adımları'!$D:$D,MATCH(1,INDEX(('Kontrol Adımları'!$A$1:$A$400=B386)*('Kontrol Adımları'!$B$1:$B$400=C386),0),0)),"")</f>
        <v/>
      </c>
      <c r="E386" s="5" t="inlineStr">
        <is>
          <t>sivi_sabun_dispenseri</t>
        </is>
      </c>
      <c r="F386" s="6">
        <f>IFERROR(INDEX('Kalem Kataloğu'!$C$1:$C$1000,MATCH(1,INDEX(('Kalem Kataloğu'!$A$1:$A$1000=A386)*('Kalem Kataloğu'!$B$1:$B$1000=E386),0),0)),"?")</f>
        <v/>
      </c>
      <c r="G386" s="6">
        <f>IFERROR(INDEX('Kalem Kataloğu'!$D$1:$D$1000,MATCH(1,INDEX(('Kalem Kataloğu'!$A$1:$A$1000=A386)*('Kalem Kataloğu'!$B$1:$B$1000=E386),0),0)),"?")</f>
        <v/>
      </c>
      <c r="H386" s="7" t="n">
        <v>1</v>
      </c>
      <c r="I386" s="7" t="inlineStr">
        <is>
          <t>Hayır</t>
        </is>
      </c>
      <c r="J386" s="5" t="inlineStr">
        <is>
          <t>Drive foto</t>
        </is>
      </c>
      <c r="K386" s="5" t="inlineStr">
        <is>
          <t>Diğer odalarda kadrajda yok [güven: medium]</t>
        </is>
      </c>
    </row>
    <row r="387">
      <c r="A387" s="5" t="inlineStr">
        <is>
          <t>Tare Village Urla</t>
        </is>
      </c>
      <c r="B387" s="5" t="inlineStr">
        <is>
          <t>VGS</t>
        </is>
      </c>
      <c r="C387" s="7" t="n"/>
      <c r="D387" s="6">
        <f>IFERROR(INDEX('Kontrol Adımları'!$D:$D,MATCH(1,INDEX(('Kontrol Adımları'!$A$1:$A$400=B387)*('Kontrol Adımları'!$B$1:$B$400=C387),0),0)),"")</f>
        <v/>
      </c>
      <c r="E387" s="5" t="inlineStr">
        <is>
          <t>sifonyer</t>
        </is>
      </c>
      <c r="F387" s="6">
        <f>IFERROR(INDEX('Kalem Kataloğu'!$C$1:$C$1000,MATCH(1,INDEX(('Kalem Kataloğu'!$A$1:$A$1000=A387)*('Kalem Kataloğu'!$B$1:$B$1000=E387),0),0)),"?")</f>
        <v/>
      </c>
      <c r="G387" s="6">
        <f>IFERROR(INDEX('Kalem Kataloğu'!$D$1:$D$1000,MATCH(1,INDEX(('Kalem Kataloğu'!$A$1:$A$1000=A387)*('Kalem Kataloğu'!$B$1:$B$1000=E387),0),0)),"?")</f>
        <v/>
      </c>
      <c r="H387" s="7" t="n"/>
      <c r="I387" s="7" t="inlineStr">
        <is>
          <t>Hayır</t>
        </is>
      </c>
      <c r="J387" s="5" t="inlineStr">
        <is>
          <t>Drive foto</t>
        </is>
      </c>
      <c r="K387" s="5" t="inlineStr">
        <is>
          <t xml:space="preserve"> [güven: medium]</t>
        </is>
      </c>
    </row>
    <row r="388">
      <c r="A388" s="5" t="inlineStr">
        <is>
          <t>Tare Village Urla</t>
        </is>
      </c>
      <c r="B388" s="5" t="inlineStr">
        <is>
          <t>VSS</t>
        </is>
      </c>
      <c r="C388" s="7" t="n"/>
      <c r="D388" s="6">
        <f>IFERROR(INDEX('Kontrol Adımları'!$D:$D,MATCH(1,INDEX(('Kontrol Adımları'!$A$1:$A$400=B388)*('Kontrol Adımları'!$B$1:$B$400=C388),0),0)),"")</f>
        <v/>
      </c>
      <c r="E388" s="5" t="inlineStr">
        <is>
          <t>bank</t>
        </is>
      </c>
      <c r="F388" s="6">
        <f>IFERROR(INDEX('Kalem Kataloğu'!$C$1:$C$1000,MATCH(1,INDEX(('Kalem Kataloğu'!$A$1:$A$1000=A388)*('Kalem Kataloğu'!$B$1:$B$1000=E388),0),0)),"?")</f>
        <v/>
      </c>
      <c r="G388" s="6">
        <f>IFERROR(INDEX('Kalem Kataloğu'!$D$1:$D$1000,MATCH(1,INDEX(('Kalem Kataloğu'!$A$1:$A$1000=A388)*('Kalem Kataloğu'!$B$1:$B$1000=E388),0),0)),"?")</f>
        <v/>
      </c>
      <c r="H388" s="7" t="n"/>
      <c r="I388" s="7" t="inlineStr">
        <is>
          <t>Hayır</t>
        </is>
      </c>
      <c r="J388" s="5" t="inlineStr">
        <is>
          <t>Drive foto</t>
        </is>
      </c>
      <c r="K388" s="5" t="inlineStr">
        <is>
          <t xml:space="preserve"> [güven: high]</t>
        </is>
      </c>
    </row>
    <row r="389">
      <c r="A389" s="5" t="inlineStr">
        <is>
          <t>Tare Village Urla</t>
        </is>
      </c>
      <c r="B389" s="5" t="inlineStr">
        <is>
          <t>VSS</t>
        </is>
      </c>
      <c r="C389" s="7" t="n"/>
      <c r="D389" s="6">
        <f>IFERROR(INDEX('Kontrol Adımları'!$D:$D,MATCH(1,INDEX(('Kontrol Adımları'!$A$1:$A$400=B389)*('Kontrol Adımları'!$B$1:$B$400=C389),0),0)),"")</f>
        <v/>
      </c>
      <c r="E389" s="5" t="inlineStr">
        <is>
          <t>ankastre_firin</t>
        </is>
      </c>
      <c r="F389" s="6">
        <f>IFERROR(INDEX('Kalem Kataloğu'!$C$1:$C$1000,MATCH(1,INDEX(('Kalem Kataloğu'!$A$1:$A$1000=A389)*('Kalem Kataloğu'!$B$1:$B$1000=E389),0),0)),"?")</f>
        <v/>
      </c>
      <c r="G389" s="6">
        <f>IFERROR(INDEX('Kalem Kataloğu'!$D$1:$D$1000,MATCH(1,INDEX(('Kalem Kataloğu'!$A$1:$A$1000=A389)*('Kalem Kataloğu'!$B$1:$B$1000=E389),0),0)),"?")</f>
        <v/>
      </c>
      <c r="H389" s="7" t="n"/>
      <c r="I389" s="7" t="inlineStr">
        <is>
          <t>Hayır</t>
        </is>
      </c>
      <c r="J389" s="5" t="inlineStr">
        <is>
          <t>Drive foto</t>
        </is>
      </c>
      <c r="K389" s="5" t="inlineStr">
        <is>
          <t xml:space="preserve"> [güven: high]</t>
        </is>
      </c>
    </row>
    <row r="390" ht="26.4" customHeight="1">
      <c r="A390" s="5" t="inlineStr">
        <is>
          <t>Tare Village Urla</t>
        </is>
      </c>
      <c r="B390" s="5" t="inlineStr">
        <is>
          <t>VSS</t>
        </is>
      </c>
      <c r="C390" s="7" t="n"/>
      <c r="D390" s="6">
        <f>IFERROR(INDEX('Kontrol Adımları'!$D:$D,MATCH(1,INDEX(('Kontrol Adımları'!$A$1:$A$400=B390)*('Kontrol Adımları'!$B$1:$B$400=C390),0),0)),"")</f>
        <v/>
      </c>
      <c r="E390" s="5" t="inlineStr">
        <is>
          <t>buzdolabi</t>
        </is>
      </c>
      <c r="F390" s="6">
        <f>IFERROR(INDEX('Kalem Kataloğu'!$C$1:$C$1000,MATCH(1,INDEX(('Kalem Kataloğu'!$A$1:$A$1000=A390)*('Kalem Kataloğu'!$B$1:$B$1000=E390),0),0)),"?")</f>
        <v/>
      </c>
      <c r="G390" s="6">
        <f>IFERROR(INDEX('Kalem Kataloğu'!$D$1:$D$1000,MATCH(1,INDEX(('Kalem Kataloğu'!$A$1:$A$1000=A390)*('Kalem Kataloğu'!$B$1:$B$1000=E390),0),0)),"?")</f>
        <v/>
      </c>
      <c r="H390" s="7" t="n"/>
      <c r="I390" s="7" t="inlineStr">
        <is>
          <t>Hayır</t>
        </is>
      </c>
      <c r="J390" s="5" t="inlineStr">
        <is>
          <t>Drive foto</t>
        </is>
      </c>
      <c r="K390" s="5" t="inlineStr">
        <is>
          <t>VGS tam boy beyaz; diğerlerinde kadrajda yok [güven: medium]</t>
        </is>
      </c>
    </row>
    <row r="391">
      <c r="A391" s="5" t="inlineStr">
        <is>
          <t>Tare Village Urla</t>
        </is>
      </c>
      <c r="B391" s="5" t="inlineStr">
        <is>
          <t>VSS</t>
        </is>
      </c>
      <c r="C391" s="7" t="n"/>
      <c r="D391" s="6">
        <f>IFERROR(INDEX('Kontrol Adımları'!$D:$D,MATCH(1,INDEX(('Kontrol Adımları'!$A$1:$A$400=B391)*('Kontrol Adımları'!$B$1:$B$400=C391),0),0)),"")</f>
        <v/>
      </c>
      <c r="E391" s="5" t="inlineStr">
        <is>
          <t>davlumbaz</t>
        </is>
      </c>
      <c r="F391" s="6">
        <f>IFERROR(INDEX('Kalem Kataloğu'!$C$1:$C$1000,MATCH(1,INDEX(('Kalem Kataloğu'!$A$1:$A$1000=A391)*('Kalem Kataloğu'!$B$1:$B$1000=E391),0),0)),"?")</f>
        <v/>
      </c>
      <c r="G391" s="6">
        <f>IFERROR(INDEX('Kalem Kataloğu'!$D$1:$D$1000,MATCH(1,INDEX(('Kalem Kataloğu'!$A$1:$A$1000=A391)*('Kalem Kataloğu'!$B$1:$B$1000=E391),0),0)),"?")</f>
        <v/>
      </c>
      <c r="H391" s="7" t="n"/>
      <c r="I391" s="7" t="inlineStr">
        <is>
          <t>Hayır</t>
        </is>
      </c>
      <c r="J391" s="5" t="inlineStr">
        <is>
          <t>Drive foto</t>
        </is>
      </c>
      <c r="K391" s="5" t="inlineStr">
        <is>
          <t xml:space="preserve"> [güven: medium]</t>
        </is>
      </c>
    </row>
    <row r="392">
      <c r="A392" s="5" t="inlineStr">
        <is>
          <t>Tare Village Urla</t>
        </is>
      </c>
      <c r="B392" s="5" t="inlineStr">
        <is>
          <t>VSS</t>
        </is>
      </c>
      <c r="C392" s="7" t="n"/>
      <c r="D392" s="6">
        <f>IFERROR(INDEX('Kontrol Adımları'!$D:$D,MATCH(1,INDEX(('Kontrol Adımları'!$A$1:$A$400=B392)*('Kontrol Adımları'!$B$1:$B$400=C392),0),0)),"")</f>
        <v/>
      </c>
      <c r="E392" s="5" t="inlineStr">
        <is>
          <t>duvar_saati</t>
        </is>
      </c>
      <c r="F392" s="6">
        <f>IFERROR(INDEX('Kalem Kataloğu'!$C$1:$C$1000,MATCH(1,INDEX(('Kalem Kataloğu'!$A$1:$A$1000=A392)*('Kalem Kataloğu'!$B$1:$B$1000=E392),0),0)),"?")</f>
        <v/>
      </c>
      <c r="G392" s="6">
        <f>IFERROR(INDEX('Kalem Kataloğu'!$D$1:$D$1000,MATCH(1,INDEX(('Kalem Kataloğu'!$A$1:$A$1000=A392)*('Kalem Kataloğu'!$B$1:$B$1000=E392),0),0)),"?")</f>
        <v/>
      </c>
      <c r="H392" s="7" t="n"/>
      <c r="I392" s="7" t="inlineStr">
        <is>
          <t>Hayır</t>
        </is>
      </c>
      <c r="J392" s="5" t="inlineStr">
        <is>
          <t>Drive foto</t>
        </is>
      </c>
      <c r="K392" s="5" t="inlineStr">
        <is>
          <t xml:space="preserve"> [güven: high]</t>
        </is>
      </c>
    </row>
    <row r="393" ht="26.4" customHeight="1">
      <c r="A393" s="5" t="inlineStr">
        <is>
          <t>Tare Village Urla</t>
        </is>
      </c>
      <c r="B393" s="5" t="inlineStr">
        <is>
          <t>VSS</t>
        </is>
      </c>
      <c r="C393" s="7" t="n"/>
      <c r="D393" s="6">
        <f>IFERROR(INDEX('Kontrol Adımları'!$D:$D,MATCH(1,INDEX(('Kontrol Adımları'!$A$1:$A$400=B393)*('Kontrol Adımları'!$B$1:$B$400=C393),0),0)),"")</f>
        <v/>
      </c>
      <c r="E393" s="5" t="inlineStr">
        <is>
          <t>dus_kabini</t>
        </is>
      </c>
      <c r="F393" s="6">
        <f>IFERROR(INDEX('Kalem Kataloğu'!$C$1:$C$1000,MATCH(1,INDEX(('Kalem Kataloğu'!$A$1:$A$1000=A393)*('Kalem Kataloğu'!$B$1:$B$1000=E393),0),0)),"?")</f>
        <v/>
      </c>
      <c r="G393" s="6">
        <f>IFERROR(INDEX('Kalem Kataloğu'!$D$1:$D$1000,MATCH(1,INDEX(('Kalem Kataloğu'!$A$1:$A$1000=A393)*('Kalem Kataloğu'!$B$1:$B$1000=E393),0),0)),"?")</f>
        <v/>
      </c>
      <c r="H393" s="7" t="n">
        <v>1</v>
      </c>
      <c r="I393" s="7" t="inlineStr">
        <is>
          <t>Hayır</t>
        </is>
      </c>
      <c r="J393" s="5" t="inlineStr">
        <is>
          <t>Drive foto</t>
        </is>
      </c>
      <c r="K393" s="5" t="inlineStr">
        <is>
          <t>VTS ve VSS kabini daha büyük, buzlu cam [güven: high]</t>
        </is>
      </c>
    </row>
    <row r="394">
      <c r="A394" s="5" t="inlineStr">
        <is>
          <t>Tare Village Urla</t>
        </is>
      </c>
      <c r="B394" s="5" t="inlineStr">
        <is>
          <t>VSS</t>
        </is>
      </c>
      <c r="C394" s="7" t="n"/>
      <c r="D394" s="6">
        <f>IFERROR(INDEX('Kontrol Adımları'!$D:$D,MATCH(1,INDEX(('Kontrol Adımları'!$A$1:$A$400=B394)*('Kontrol Adımları'!$B$1:$B$400=C394),0),0)),"")</f>
        <v/>
      </c>
      <c r="E394" s="5" t="inlineStr">
        <is>
          <t>gardirop</t>
        </is>
      </c>
      <c r="F394" s="6">
        <f>IFERROR(INDEX('Kalem Kataloğu'!$C$1:$C$1000,MATCH(1,INDEX(('Kalem Kataloğu'!$A$1:$A$1000=A394)*('Kalem Kataloğu'!$B$1:$B$1000=E394),0),0)),"?")</f>
        <v/>
      </c>
      <c r="G394" s="6">
        <f>IFERROR(INDEX('Kalem Kataloğu'!$D$1:$D$1000,MATCH(1,INDEX(('Kalem Kataloğu'!$A$1:$A$1000=A394)*('Kalem Kataloğu'!$B$1:$B$1000=E394),0),0)),"?")</f>
        <v/>
      </c>
      <c r="H394" s="7" t="n">
        <v>1</v>
      </c>
      <c r="I394" s="7" t="inlineStr">
        <is>
          <t>Hayır</t>
        </is>
      </c>
      <c r="J394" s="5" t="inlineStr">
        <is>
          <t>Drive foto</t>
        </is>
      </c>
      <c r="K394" s="5" t="inlineStr">
        <is>
          <t xml:space="preserve"> [güven: medium]</t>
        </is>
      </c>
    </row>
    <row r="395">
      <c r="A395" s="5" t="inlineStr">
        <is>
          <t>Tare Village Urla</t>
        </is>
      </c>
      <c r="B395" s="5" t="inlineStr">
        <is>
          <t>VSS</t>
        </is>
      </c>
      <c r="C395" s="7" t="n"/>
      <c r="D395" s="6">
        <f>IFERROR(INDEX('Kontrol Adımları'!$D:$D,MATCH(1,INDEX(('Kontrol Adımları'!$A$1:$A$400=B395)*('Kontrol Adımları'!$B$1:$B$400=C395),0),0)),"")</f>
        <v/>
      </c>
      <c r="E395" s="5" t="inlineStr">
        <is>
          <t>hasir_sepet</t>
        </is>
      </c>
      <c r="F395" s="6">
        <f>IFERROR(INDEX('Kalem Kataloğu'!$C$1:$C$1000,MATCH(1,INDEX(('Kalem Kataloğu'!$A$1:$A$1000=A395)*('Kalem Kataloğu'!$B$1:$B$1000=E395),0),0)),"?")</f>
        <v/>
      </c>
      <c r="G395" s="6">
        <f>IFERROR(INDEX('Kalem Kataloğu'!$D$1:$D$1000,MATCH(1,INDEX(('Kalem Kataloğu'!$A$1:$A$1000=A395)*('Kalem Kataloğu'!$B$1:$B$1000=E395),0),0)),"?")</f>
        <v/>
      </c>
      <c r="H395" s="7" t="n">
        <v>1</v>
      </c>
      <c r="I395" s="7" t="inlineStr">
        <is>
          <t>Hayır</t>
        </is>
      </c>
      <c r="J395" s="5" t="inlineStr">
        <is>
          <t>Drive foto</t>
        </is>
      </c>
      <c r="K395" s="5" t="inlineStr">
        <is>
          <t xml:space="preserve"> [güven: high]</t>
        </is>
      </c>
    </row>
    <row r="396">
      <c r="A396" s="5" t="inlineStr">
        <is>
          <t>Tare Village Urla</t>
        </is>
      </c>
      <c r="B396" s="5" t="inlineStr">
        <is>
          <t>VSS</t>
        </is>
      </c>
      <c r="C396" s="7" t="n"/>
      <c r="D396" s="6">
        <f>IFERROR(INDEX('Kontrol Adımları'!$D:$D,MATCH(1,INDEX(('Kontrol Adımları'!$A$1:$A$400=B396)*('Kontrol Adımları'!$B$1:$B$400=C396),0),0)),"")</f>
        <v/>
      </c>
      <c r="E396" s="5" t="inlineStr">
        <is>
          <t>jut_paspas</t>
        </is>
      </c>
      <c r="F396" s="6">
        <f>IFERROR(INDEX('Kalem Kataloğu'!$C$1:$C$1000,MATCH(1,INDEX(('Kalem Kataloğu'!$A$1:$A$1000=A396)*('Kalem Kataloğu'!$B$1:$B$1000=E396),0),0)),"?")</f>
        <v/>
      </c>
      <c r="G396" s="6">
        <f>IFERROR(INDEX('Kalem Kataloğu'!$D$1:$D$1000,MATCH(1,INDEX(('Kalem Kataloğu'!$A$1:$A$1000=A396)*('Kalem Kataloğu'!$B$1:$B$1000=E396),0),0)),"?")</f>
        <v/>
      </c>
      <c r="H396" s="7" t="n">
        <v>1</v>
      </c>
      <c r="I396" s="7" t="inlineStr">
        <is>
          <t>Hayır</t>
        </is>
      </c>
      <c r="J396" s="5" t="inlineStr">
        <is>
          <t>Drive foto</t>
        </is>
      </c>
      <c r="K396" s="5" t="inlineStr">
        <is>
          <t>Görülen adet; tam sayı odada teyit [güven: medium]</t>
        </is>
      </c>
    </row>
    <row r="397">
      <c r="A397" s="5" t="inlineStr">
        <is>
          <t>Tare Village Urla</t>
        </is>
      </c>
      <c r="B397" s="5" t="inlineStr">
        <is>
          <t>VSS</t>
        </is>
      </c>
      <c r="C397" s="7" t="n"/>
      <c r="D397" s="6">
        <f>IFERROR(INDEX('Kontrol Adımları'!$D:$D,MATCH(1,INDEX(('Kontrol Adımları'!$A$1:$A$400=B397)*('Kontrol Adımları'!$B$1:$B$400=C397),0),0)),"")</f>
        <v/>
      </c>
      <c r="E397" s="5" t="inlineStr">
        <is>
          <t>dis_masa</t>
        </is>
      </c>
      <c r="F397" s="6">
        <f>IFERROR(INDEX('Kalem Kataloğu'!$C$1:$C$1000,MATCH(1,INDEX(('Kalem Kataloğu'!$A$1:$A$1000=A397)*('Kalem Kataloğu'!$B$1:$B$1000=E397),0),0)),"?")</f>
        <v/>
      </c>
      <c r="G397" s="6">
        <f>IFERROR(INDEX('Kalem Kataloğu'!$D$1:$D$1000,MATCH(1,INDEX(('Kalem Kataloğu'!$A$1:$A$1000=A397)*('Kalem Kataloğu'!$B$1:$B$1000=E397),0),0)),"?")</f>
        <v/>
      </c>
      <c r="H397" s="7" t="n"/>
      <c r="I397" s="7" t="inlineStr">
        <is>
          <t>Hayır</t>
        </is>
      </c>
      <c r="J397" s="5" t="inlineStr">
        <is>
          <t>Drive foto</t>
        </is>
      </c>
      <c r="K397" s="5" t="inlineStr">
        <is>
          <t xml:space="preserve"> [güven: high]</t>
        </is>
      </c>
    </row>
    <row r="398" ht="26.4" customHeight="1">
      <c r="A398" s="5" t="inlineStr">
        <is>
          <t>Tare Village Urla</t>
        </is>
      </c>
      <c r="B398" s="5" t="inlineStr">
        <is>
          <t>VSS</t>
        </is>
      </c>
      <c r="C398" s="7" t="n"/>
      <c r="D398" s="6">
        <f>IFERROR(INDEX('Kontrol Adımları'!$D:$D,MATCH(1,INDEX(('Kontrol Adımları'!$A$1:$A$400=B398)*('Kontrol Adımları'!$B$1:$B$400=C398),0),0)),"")</f>
        <v/>
      </c>
      <c r="E398" s="5" t="inlineStr">
        <is>
          <t>dis_sandalye</t>
        </is>
      </c>
      <c r="F398" s="6">
        <f>IFERROR(INDEX('Kalem Kataloğu'!$C$1:$C$1000,MATCH(1,INDEX(('Kalem Kataloğu'!$A$1:$A$1000=A398)*('Kalem Kataloğu'!$B$1:$B$1000=E398),0),0)),"?")</f>
        <v/>
      </c>
      <c r="G398" s="6">
        <f>IFERROR(INDEX('Kalem Kataloğu'!$D$1:$D$1000,MATCH(1,INDEX(('Kalem Kataloğu'!$A$1:$A$1000=A398)*('Kalem Kataloğu'!$B$1:$B$1000=E398),0),0)),"?")</f>
        <v/>
      </c>
      <c r="H398" s="7" t="n"/>
      <c r="I398" s="7" t="inlineStr">
        <is>
          <t>Hayır</t>
        </is>
      </c>
      <c r="J398" s="5" t="inlineStr">
        <is>
          <t>Drive foto</t>
        </is>
      </c>
      <c r="K398" s="5" t="inlineStr">
        <is>
          <t>VBS 4 sandalye; VTS 2 sandalye + 2 katlanır koltuk [güven: medium]</t>
        </is>
      </c>
    </row>
    <row r="399">
      <c r="A399" s="5" t="inlineStr">
        <is>
          <t>Tare Village Urla</t>
        </is>
      </c>
      <c r="B399" s="5" t="inlineStr">
        <is>
          <t>VSS</t>
        </is>
      </c>
      <c r="C399" s="7" t="n"/>
      <c r="D399" s="6">
        <f>IFERROR(INDEX('Kontrol Adımları'!$D:$D,MATCH(1,INDEX(('Kontrol Adımları'!$A$1:$A$400=B399)*('Kontrol Adımları'!$B$1:$B$400=C399),0),0)),"")</f>
        <v/>
      </c>
      <c r="E399" s="5" t="inlineStr">
        <is>
          <t>dis_katlanir_koltuk</t>
        </is>
      </c>
      <c r="F399" s="6">
        <f>IFERROR(INDEX('Kalem Kataloğu'!$C$1:$C$1000,MATCH(1,INDEX(('Kalem Kataloğu'!$A$1:$A$1000=A399)*('Kalem Kataloğu'!$B$1:$B$1000=E399),0),0)),"?")</f>
        <v/>
      </c>
      <c r="G399" s="6">
        <f>IFERROR(INDEX('Kalem Kataloğu'!$D$1:$D$1000,MATCH(1,INDEX(('Kalem Kataloğu'!$A$1:$A$1000=A399)*('Kalem Kataloğu'!$B$1:$B$1000=E399),0),0)),"?")</f>
        <v/>
      </c>
      <c r="H399" s="7" t="n"/>
      <c r="I399" s="7" t="inlineStr">
        <is>
          <t>Hayır</t>
        </is>
      </c>
      <c r="J399" s="5" t="inlineStr">
        <is>
          <t>Drive foto</t>
        </is>
      </c>
      <c r="K399" s="5" t="inlineStr">
        <is>
          <t xml:space="preserve"> [güven: medium]</t>
        </is>
      </c>
    </row>
    <row r="400">
      <c r="A400" s="5" t="inlineStr">
        <is>
          <t>Tare Village Urla</t>
        </is>
      </c>
      <c r="B400" s="5" t="inlineStr">
        <is>
          <t>VSS</t>
        </is>
      </c>
      <c r="C400" s="7" t="n"/>
      <c r="D400" s="6">
        <f>IFERROR(INDEX('Kontrol Adımları'!$D:$D,MATCH(1,INDEX(('Kontrol Adımları'!$A$1:$A$400=B400)*('Kontrol Adımları'!$B$1:$B$400=C400),0),0)),"")</f>
        <v/>
      </c>
      <c r="E400" s="5" t="inlineStr">
        <is>
          <t>kagit_havlu</t>
        </is>
      </c>
      <c r="F400" s="6">
        <f>IFERROR(INDEX('Kalem Kataloğu'!$C$1:$C$1000,MATCH(1,INDEX(('Kalem Kataloğu'!$A$1:$A$1000=A400)*('Kalem Kataloğu'!$B$1:$B$1000=E400),0),0)),"?")</f>
        <v/>
      </c>
      <c r="G400" s="6">
        <f>IFERROR(INDEX('Kalem Kataloğu'!$D$1:$D$1000,MATCH(1,INDEX(('Kalem Kataloğu'!$A$1:$A$1000=A400)*('Kalem Kataloğu'!$B$1:$B$1000=E400),0),0)),"?")</f>
        <v/>
      </c>
      <c r="H400" s="7" t="n">
        <v>2</v>
      </c>
      <c r="I400" s="7" t="inlineStr">
        <is>
          <t>Hayır</t>
        </is>
      </c>
      <c r="J400" s="5" t="inlineStr">
        <is>
          <t>Drive foto</t>
        </is>
      </c>
      <c r="K400" s="5" t="inlineStr">
        <is>
          <t xml:space="preserve"> [güven: medium]</t>
        </is>
      </c>
    </row>
    <row r="401">
      <c r="A401" s="5" t="inlineStr">
        <is>
          <t>Tare Village Urla</t>
        </is>
      </c>
      <c r="B401" s="5" t="inlineStr">
        <is>
          <t>VSS</t>
        </is>
      </c>
      <c r="C401" s="7" t="n"/>
      <c r="D401" s="6">
        <f>IFERROR(INDEX('Kontrol Adımları'!$D:$D,MATCH(1,INDEX(('Kontrol Adımları'!$A$1:$A$400=B401)*('Kontrol Adımları'!$B$1:$B$400=C401),0),0)),"")</f>
        <v/>
      </c>
      <c r="E401" s="5" t="inlineStr">
        <is>
          <t>klima</t>
        </is>
      </c>
      <c r="F401" s="6">
        <f>IFERROR(INDEX('Kalem Kataloğu'!$C$1:$C$1000,MATCH(1,INDEX(('Kalem Kataloğu'!$A$1:$A$1000=A401)*('Kalem Kataloğu'!$B$1:$B$1000=E401),0),0)),"?")</f>
        <v/>
      </c>
      <c r="G401" s="6">
        <f>IFERROR(INDEX('Kalem Kataloğu'!$D$1:$D$1000,MATCH(1,INDEX(('Kalem Kataloğu'!$A$1:$A$1000=A401)*('Kalem Kataloğu'!$B$1:$B$1000=E401),0),0)),"?")</f>
        <v/>
      </c>
      <c r="H401" s="7" t="n">
        <v>1</v>
      </c>
      <c r="I401" s="7" t="inlineStr">
        <is>
          <t>Hayır</t>
        </is>
      </c>
      <c r="J401" s="5" t="inlineStr">
        <is>
          <t>Drive foto</t>
        </is>
      </c>
      <c r="K401" s="5" t="inlineStr">
        <is>
          <t>VGS fotoğrafta görünmüyor [güven: high]</t>
        </is>
      </c>
    </row>
    <row r="402">
      <c r="A402" s="5" t="inlineStr">
        <is>
          <t>Tare Village Urla</t>
        </is>
      </c>
      <c r="B402" s="5" t="inlineStr">
        <is>
          <t>VSS</t>
        </is>
      </c>
      <c r="C402" s="7" t="n"/>
      <c r="D402" s="6">
        <f>IFERROR(INDEX('Kontrol Adımları'!$D:$D,MATCH(1,INDEX(('Kontrol Adımları'!$A$1:$A$400=B402)*('Kontrol Adımları'!$B$1:$B$400=C402),0),0)),"")</f>
        <v/>
      </c>
      <c r="E402" s="5" t="inlineStr">
        <is>
          <t>klozet</t>
        </is>
      </c>
      <c r="F402" s="6">
        <f>IFERROR(INDEX('Kalem Kataloğu'!$C$1:$C$1000,MATCH(1,INDEX(('Kalem Kataloğu'!$A$1:$A$1000=A402)*('Kalem Kataloğu'!$B$1:$B$1000=E402),0),0)),"?")</f>
        <v/>
      </c>
      <c r="G402" s="6">
        <f>IFERROR(INDEX('Kalem Kataloğu'!$D$1:$D$1000,MATCH(1,INDEX(('Kalem Kataloğu'!$A$1:$A$1000=A402)*('Kalem Kataloğu'!$B$1:$B$1000=E402),0),0)),"?")</f>
        <v/>
      </c>
      <c r="H402" s="7" t="n">
        <v>1</v>
      </c>
      <c r="I402" s="7" t="inlineStr">
        <is>
          <t>Hayır</t>
        </is>
      </c>
      <c r="J402" s="5" t="inlineStr">
        <is>
          <t>Drive foto</t>
        </is>
      </c>
      <c r="K402" s="5" t="inlineStr">
        <is>
          <t xml:space="preserve"> [güven: high]</t>
        </is>
      </c>
    </row>
    <row r="403">
      <c r="A403" s="5" t="inlineStr">
        <is>
          <t>Tare Village Urla</t>
        </is>
      </c>
      <c r="B403" s="5" t="inlineStr">
        <is>
          <t>VSS</t>
        </is>
      </c>
      <c r="C403" s="7" t="n"/>
      <c r="D403" s="6">
        <f>IFERROR(INDEX('Kontrol Adımları'!$D:$D,MATCH(1,INDEX(('Kontrol Adımları'!$A$1:$A$400=B403)*('Kontrol Adımları'!$B$1:$B$400=C403),0),0)),"")</f>
        <v/>
      </c>
      <c r="E403" s="5" t="inlineStr">
        <is>
          <t>komodin</t>
        </is>
      </c>
      <c r="F403" s="6">
        <f>IFERROR(INDEX('Kalem Kataloğu'!$C$1:$C$1000,MATCH(1,INDEX(('Kalem Kataloğu'!$A$1:$A$1000=A403)*('Kalem Kataloğu'!$B$1:$B$1000=E403),0),0)),"?")</f>
        <v/>
      </c>
      <c r="G403" s="6">
        <f>IFERROR(INDEX('Kalem Kataloğu'!$D$1:$D$1000,MATCH(1,INDEX(('Kalem Kataloğu'!$A$1:$A$1000=A403)*('Kalem Kataloğu'!$B$1:$B$1000=E403),0),0)),"?")</f>
        <v/>
      </c>
      <c r="H403" s="7" t="n">
        <v>2</v>
      </c>
      <c r="I403" s="7" t="inlineStr">
        <is>
          <t>Hayır</t>
        </is>
      </c>
      <c r="J403" s="5" t="inlineStr">
        <is>
          <t>Drive foto</t>
        </is>
      </c>
      <c r="K403" s="5" t="inlineStr">
        <is>
          <t>VBS fotoğrafta tek taraf görünüyor [güven: medium]</t>
        </is>
      </c>
    </row>
    <row r="404">
      <c r="A404" s="5" t="inlineStr">
        <is>
          <t>Tare Village Urla</t>
        </is>
      </c>
      <c r="B404" s="5" t="inlineStr">
        <is>
          <t>VSS</t>
        </is>
      </c>
      <c r="C404" s="7" t="n"/>
      <c r="D404" s="6">
        <f>IFERROR(INDEX('Kontrol Adımları'!$D:$D,MATCH(1,INDEX(('Kontrol Adımları'!$A$1:$A$400=B404)*('Kontrol Adımları'!$B$1:$B$400=C404),0),0)),"")</f>
        <v/>
      </c>
      <c r="E404" s="5" t="inlineStr">
        <is>
          <t>kose_koltuk</t>
        </is>
      </c>
      <c r="F404" s="6">
        <f>IFERROR(INDEX('Kalem Kataloğu'!$C$1:$C$1000,MATCH(1,INDEX(('Kalem Kataloğu'!$A$1:$A$1000=A404)*('Kalem Kataloğu'!$B$1:$B$1000=E404),0),0)),"?")</f>
        <v/>
      </c>
      <c r="G404" s="6">
        <f>IFERROR(INDEX('Kalem Kataloğu'!$D$1:$D$1000,MATCH(1,INDEX(('Kalem Kataloğu'!$A$1:$A$1000=A404)*('Kalem Kataloğu'!$B$1:$B$1000=E404),0),0)),"?")</f>
        <v/>
      </c>
      <c r="H404" s="7" t="n">
        <v>1</v>
      </c>
      <c r="I404" s="7" t="inlineStr">
        <is>
          <t>Hayır</t>
        </is>
      </c>
      <c r="J404" s="5" t="inlineStr">
        <is>
          <t>Drive foto</t>
        </is>
      </c>
      <c r="K404" s="5" t="inlineStr">
        <is>
          <t>VSS ve VTS düz kanepe [güven: high]</t>
        </is>
      </c>
    </row>
    <row r="405">
      <c r="A405" s="5" t="inlineStr">
        <is>
          <t>Tare Village Urla</t>
        </is>
      </c>
      <c r="B405" s="5" t="inlineStr">
        <is>
          <t>VSS</t>
        </is>
      </c>
      <c r="C405" s="7" t="n"/>
      <c r="D405" s="6">
        <f>IFERROR(INDEX('Kontrol Adımları'!$D:$D,MATCH(1,INDEX(('Kontrol Adımları'!$A$1:$A$400=B405)*('Kontrol Adımları'!$B$1:$B$400=C405),0),0)),"")</f>
        <v/>
      </c>
      <c r="E405" s="5" t="inlineStr">
        <is>
          <t>kul_tablasi</t>
        </is>
      </c>
      <c r="F405" s="6">
        <f>IFERROR(INDEX('Kalem Kataloğu'!$C$1:$C$1000,MATCH(1,INDEX(('Kalem Kataloğu'!$A$1:$A$1000=A405)*('Kalem Kataloğu'!$B$1:$B$1000=E405),0),0)),"?")</f>
        <v/>
      </c>
      <c r="G405" s="6">
        <f>IFERROR(INDEX('Kalem Kataloğu'!$D$1:$D$1000,MATCH(1,INDEX(('Kalem Kataloğu'!$A$1:$A$1000=A405)*('Kalem Kataloğu'!$B$1:$B$1000=E405),0),0)),"?")</f>
        <v/>
      </c>
      <c r="H405" s="7" t="n"/>
      <c r="I405" s="7" t="inlineStr">
        <is>
          <t>Hayır</t>
        </is>
      </c>
      <c r="J405" s="5" t="inlineStr">
        <is>
          <t>Drive foto</t>
        </is>
      </c>
      <c r="K405" s="5" t="inlineStr">
        <is>
          <t xml:space="preserve"> [güven: medium]</t>
        </is>
      </c>
    </row>
    <row r="406">
      <c r="A406" s="5" t="inlineStr">
        <is>
          <t>Tare Village Urla</t>
        </is>
      </c>
      <c r="B406" s="5" t="inlineStr">
        <is>
          <t>VSS</t>
        </is>
      </c>
      <c r="C406" s="7" t="n"/>
      <c r="D406" s="6">
        <f>IFERROR(INDEX('Kontrol Adımları'!$D:$D,MATCH(1,INDEX(('Kontrol Adımları'!$A$1:$A$400=B406)*('Kontrol Adımları'!$B$1:$B$400=C406),0),0)),"")</f>
        <v/>
      </c>
      <c r="E406" s="5" t="inlineStr">
        <is>
          <t>mutfak_cop_kovasi</t>
        </is>
      </c>
      <c r="F406" s="6">
        <f>IFERROR(INDEX('Kalem Kataloğu'!$C$1:$C$1000,MATCH(1,INDEX(('Kalem Kataloğu'!$A$1:$A$1000=A406)*('Kalem Kataloğu'!$B$1:$B$1000=E406),0),0)),"?")</f>
        <v/>
      </c>
      <c r="G406" s="6">
        <f>IFERROR(INDEX('Kalem Kataloğu'!$D$1:$D$1000,MATCH(1,INDEX(('Kalem Kataloğu'!$A$1:$A$1000=A406)*('Kalem Kataloğu'!$B$1:$B$1000=E406),0),0)),"?")</f>
        <v/>
      </c>
      <c r="H406" s="7" t="n">
        <v>1</v>
      </c>
      <c r="I406" s="7" t="inlineStr">
        <is>
          <t>Hayır</t>
        </is>
      </c>
      <c r="J406" s="5" t="inlineStr">
        <is>
          <t>Drive foto</t>
        </is>
      </c>
      <c r="K406" s="5" t="inlineStr">
        <is>
          <t xml:space="preserve"> [güven: high]</t>
        </is>
      </c>
    </row>
    <row r="407" ht="26.4" customHeight="1">
      <c r="A407" s="5" t="inlineStr">
        <is>
          <t>Tare Village Urla</t>
        </is>
      </c>
      <c r="B407" s="5" t="inlineStr">
        <is>
          <t>VSS</t>
        </is>
      </c>
      <c r="C407" s="7" t="n"/>
      <c r="D407" s="6">
        <f>IFERROR(INDEX('Kontrol Adımları'!$D:$D,MATCH(1,INDEX(('Kontrol Adımları'!$A$1:$A$400=B407)*('Kontrol Adımları'!$B$1:$B$400=C407),0),0)),"")</f>
        <v/>
      </c>
      <c r="E407" s="5" t="inlineStr">
        <is>
          <t>ocak</t>
        </is>
      </c>
      <c r="F407" s="6">
        <f>IFERROR(INDEX('Kalem Kataloğu'!$C$1:$C$1000,MATCH(1,INDEX(('Kalem Kataloğu'!$A$1:$A$1000=A407)*('Kalem Kataloğu'!$B$1:$B$1000=E407),0),0)),"?")</f>
        <v/>
      </c>
      <c r="G407" s="6">
        <f>IFERROR(INDEX('Kalem Kataloğu'!$D$1:$D$1000,MATCH(1,INDEX(('Kalem Kataloğu'!$A$1:$A$1000=A407)*('Kalem Kataloğu'!$B$1:$B$1000=E407),0),0)),"?")</f>
        <v/>
      </c>
      <c r="H407" s="7" t="n">
        <v>1</v>
      </c>
      <c r="I407" s="7" t="inlineStr">
        <is>
          <t>Hayır</t>
        </is>
      </c>
      <c r="J407" s="5" t="inlineStr">
        <is>
          <t>Drive foto</t>
        </is>
      </c>
      <c r="K407" s="5" t="inlineStr">
        <is>
          <t>VBS ankastre 2 göz; VSS portatif 2 göz cam ocak [güven: medium]</t>
        </is>
      </c>
    </row>
    <row r="408">
      <c r="A408" s="5" t="inlineStr">
        <is>
          <t>Tare Village Urla</t>
        </is>
      </c>
      <c r="B408" s="5" t="inlineStr">
        <is>
          <t>VSS</t>
        </is>
      </c>
      <c r="C408" s="7" t="n"/>
      <c r="D408" s="6">
        <f>IFERROR(INDEX('Kontrol Adımları'!$D:$D,MATCH(1,INDEX(('Kontrol Adımları'!$A$1:$A$400=B408)*('Kontrol Adımları'!$B$1:$B$400=C408),0),0)),"")</f>
        <v/>
      </c>
      <c r="E408" s="5" t="inlineStr">
        <is>
          <t>orta_sehpa</t>
        </is>
      </c>
      <c r="F408" s="6">
        <f>IFERROR(INDEX('Kalem Kataloğu'!$C$1:$C$1000,MATCH(1,INDEX(('Kalem Kataloğu'!$A$1:$A$1000=A408)*('Kalem Kataloğu'!$B$1:$B$1000=E408),0),0)),"?")</f>
        <v/>
      </c>
      <c r="G408" s="6">
        <f>IFERROR(INDEX('Kalem Kataloğu'!$D$1:$D$1000,MATCH(1,INDEX(('Kalem Kataloğu'!$A$1:$A$1000=A408)*('Kalem Kataloğu'!$B$1:$B$1000=E408),0),0)),"?")</f>
        <v/>
      </c>
      <c r="H408" s="7" t="n">
        <v>1</v>
      </c>
      <c r="I408" s="7" t="inlineStr">
        <is>
          <t>Hayır</t>
        </is>
      </c>
      <c r="J408" s="5" t="inlineStr">
        <is>
          <t>Drive foto</t>
        </is>
      </c>
      <c r="K408" s="5" t="inlineStr">
        <is>
          <t xml:space="preserve"> [güven: high]</t>
        </is>
      </c>
    </row>
    <row r="409">
      <c r="A409" s="5" t="inlineStr">
        <is>
          <t>Tare Village Urla</t>
        </is>
      </c>
      <c r="B409" s="5" t="inlineStr">
        <is>
          <t>VSS</t>
        </is>
      </c>
      <c r="C409" s="7" t="n"/>
      <c r="D409" s="6">
        <f>IFERROR(INDEX('Kontrol Adımları'!$D:$D,MATCH(1,INDEX(('Kontrol Adımları'!$A$1:$A$400=B409)*('Kontrol Adımları'!$B$1:$B$400=C409),0),0)),"")</f>
        <v/>
      </c>
      <c r="E409" s="5" t="inlineStr">
        <is>
          <t>banyo_cop_kovasi</t>
        </is>
      </c>
      <c r="F409" s="6">
        <f>IFERROR(INDEX('Kalem Kataloğu'!$C$1:$C$1000,MATCH(1,INDEX(('Kalem Kataloğu'!$A$1:$A$1000=A409)*('Kalem Kataloğu'!$B$1:$B$1000=E409),0),0)),"?")</f>
        <v/>
      </c>
      <c r="G409" s="6">
        <f>IFERROR(INDEX('Kalem Kataloğu'!$D$1:$D$1000,MATCH(1,INDEX(('Kalem Kataloğu'!$A$1:$A$1000=A409)*('Kalem Kataloğu'!$B$1:$B$1000=E409),0),0)),"?")</f>
        <v/>
      </c>
      <c r="H409" s="7" t="n"/>
      <c r="I409" s="7" t="inlineStr">
        <is>
          <t>Hayır</t>
        </is>
      </c>
      <c r="J409" s="5" t="inlineStr">
        <is>
          <t>Drive foto</t>
        </is>
      </c>
      <c r="K409" s="5" t="inlineStr">
        <is>
          <t>VGS inox, VBS/VTS siyah [güven: high]</t>
        </is>
      </c>
    </row>
    <row r="410">
      <c r="A410" s="5" t="inlineStr">
        <is>
          <t>Tare Village Urla</t>
        </is>
      </c>
      <c r="B410" s="5" t="inlineStr">
        <is>
          <t>VSS</t>
        </is>
      </c>
      <c r="C410" s="7" t="n"/>
      <c r="D410" s="6">
        <f>IFERROR(INDEX('Kontrol Adımları'!$D:$D,MATCH(1,INDEX(('Kontrol Adımları'!$A$1:$A$400=B410)*('Kontrol Adımları'!$B$1:$B$400=C410),0),0)),"")</f>
        <v/>
      </c>
      <c r="E410" s="5" t="inlineStr">
        <is>
          <t>yatak_ortusu</t>
        </is>
      </c>
      <c r="F410" s="6">
        <f>IFERROR(INDEX('Kalem Kataloğu'!$C$1:$C$1000,MATCH(1,INDEX(('Kalem Kataloğu'!$A$1:$A$1000=A410)*('Kalem Kataloğu'!$B$1:$B$1000=E410),0),0)),"?")</f>
        <v/>
      </c>
      <c r="G410" s="6">
        <f>IFERROR(INDEX('Kalem Kataloğu'!$D$1:$D$1000,MATCH(1,INDEX(('Kalem Kataloğu'!$A$1:$A$1000=A410)*('Kalem Kataloğu'!$B$1:$B$1000=E410),0),0)),"?")</f>
        <v/>
      </c>
      <c r="H410" s="7" t="n">
        <v>1</v>
      </c>
      <c r="I410" s="7" t="inlineStr">
        <is>
          <t>Hayır</t>
        </is>
      </c>
      <c r="J410" s="5" t="inlineStr">
        <is>
          <t>Drive foto</t>
        </is>
      </c>
      <c r="K410" s="5" t="inlineStr">
        <is>
          <t xml:space="preserve"> [güven: high]</t>
        </is>
      </c>
    </row>
    <row r="411">
      <c r="A411" s="5" t="inlineStr">
        <is>
          <t>Tare Village Urla</t>
        </is>
      </c>
      <c r="B411" s="5" t="inlineStr">
        <is>
          <t>VSS</t>
        </is>
      </c>
      <c r="C411" s="7" t="n"/>
      <c r="D411" s="6">
        <f>IFERROR(INDEX('Kontrol Adımları'!$D:$D,MATCH(1,INDEX(('Kontrol Adımları'!$A$1:$A$400=B411)*('Kontrol Adımları'!$B$1:$B$400=C411),0),0)),"")</f>
        <v/>
      </c>
      <c r="E411" s="5" t="inlineStr">
        <is>
          <t>tavan_sarkit_lamba</t>
        </is>
      </c>
      <c r="F411" s="6">
        <f>IFERROR(INDEX('Kalem Kataloğu'!$C$1:$C$1000,MATCH(1,INDEX(('Kalem Kataloğu'!$A$1:$A$1000=A411)*('Kalem Kataloğu'!$B$1:$B$1000=E411),0),0)),"?")</f>
        <v/>
      </c>
      <c r="G411" s="6">
        <f>IFERROR(INDEX('Kalem Kataloğu'!$D$1:$D$1000,MATCH(1,INDEX(('Kalem Kataloğu'!$A$1:$A$1000=A411)*('Kalem Kataloğu'!$B$1:$B$1000=E411),0),0)),"?")</f>
        <v/>
      </c>
      <c r="H411" s="7" t="n"/>
      <c r="I411" s="7" t="inlineStr">
        <is>
          <t>Hayır</t>
        </is>
      </c>
      <c r="J411" s="5" t="inlineStr">
        <is>
          <t>Drive foto</t>
        </is>
      </c>
      <c r="K411" s="5" t="inlineStr">
        <is>
          <t xml:space="preserve"> [güven: medium]</t>
        </is>
      </c>
    </row>
    <row r="412">
      <c r="A412" s="5" t="inlineStr">
        <is>
          <t>Tare Village Urla</t>
        </is>
      </c>
      <c r="B412" s="5" t="inlineStr">
        <is>
          <t>VSS</t>
        </is>
      </c>
      <c r="C412" s="7" t="n"/>
      <c r="D412" s="6">
        <f>IFERROR(INDEX('Kontrol Adımları'!$D:$D,MATCH(1,INDEX(('Kontrol Adımları'!$A$1:$A$400=B412)*('Kontrol Adımları'!$B$1:$B$400=C412),0),0)),"")</f>
        <v/>
      </c>
      <c r="E412" s="5" t="inlineStr">
        <is>
          <t>sac_kurutma_makinesi</t>
        </is>
      </c>
      <c r="F412" s="6">
        <f>IFERROR(INDEX('Kalem Kataloğu'!$C$1:$C$1000,MATCH(1,INDEX(('Kalem Kataloğu'!$A$1:$A$1000=A412)*('Kalem Kataloğu'!$B$1:$B$1000=E412),0),0)),"?")</f>
        <v/>
      </c>
      <c r="G412" s="6">
        <f>IFERROR(INDEX('Kalem Kataloğu'!$D$1:$D$1000,MATCH(1,INDEX(('Kalem Kataloğu'!$A$1:$A$1000=A412)*('Kalem Kataloğu'!$B$1:$B$1000=E412),0),0)),"?")</f>
        <v/>
      </c>
      <c r="H412" s="7" t="n">
        <v>1</v>
      </c>
      <c r="I412" s="7" t="inlineStr">
        <is>
          <t>Hayır</t>
        </is>
      </c>
      <c r="J412" s="5" t="inlineStr">
        <is>
          <t>Drive foto</t>
        </is>
      </c>
      <c r="K412" s="5" t="inlineStr">
        <is>
          <t xml:space="preserve"> [güven: high]</t>
        </is>
      </c>
    </row>
    <row r="413">
      <c r="A413" s="5" t="inlineStr">
        <is>
          <t>Tare Village Urla</t>
        </is>
      </c>
      <c r="B413" s="5" t="inlineStr">
        <is>
          <t>VSS</t>
        </is>
      </c>
      <c r="C413" s="7" t="n"/>
      <c r="D413" s="6">
        <f>IFERROR(INDEX('Kontrol Adımları'!$D:$D,MATCH(1,INDEX(('Kontrol Adımları'!$A$1:$A$400=B413)*('Kontrol Adımları'!$B$1:$B$400=C413),0),0)),"")</f>
        <v/>
      </c>
      <c r="E413" s="5" t="inlineStr">
        <is>
          <t>tv</t>
        </is>
      </c>
      <c r="F413" s="6">
        <f>IFERROR(INDEX('Kalem Kataloğu'!$C$1:$C$1000,MATCH(1,INDEX(('Kalem Kataloğu'!$A$1:$A$1000=A413)*('Kalem Kataloğu'!$B$1:$B$1000=E413),0),0)),"?")</f>
        <v/>
      </c>
      <c r="G413" s="6">
        <f>IFERROR(INDEX('Kalem Kataloğu'!$D$1:$D$1000,MATCH(1,INDEX(('Kalem Kataloğu'!$A$1:$A$1000=A413)*('Kalem Kataloğu'!$B$1:$B$1000=E413),0),0)),"?")</f>
        <v/>
      </c>
      <c r="H413" s="7" t="n">
        <v>1</v>
      </c>
      <c r="I413" s="7" t="inlineStr">
        <is>
          <t>Hayır</t>
        </is>
      </c>
      <c r="J413" s="5" t="inlineStr">
        <is>
          <t>Drive foto</t>
        </is>
      </c>
      <c r="K413" s="5" t="inlineStr">
        <is>
          <t>VBS/VSS duvar tipi, VTS ayaklı [güven: high]</t>
        </is>
      </c>
    </row>
    <row r="414">
      <c r="A414" s="5" t="inlineStr">
        <is>
          <t>Tare Village Urla</t>
        </is>
      </c>
      <c r="B414" s="5" t="inlineStr">
        <is>
          <t>VSS</t>
        </is>
      </c>
      <c r="C414" s="7" t="n"/>
      <c r="D414" s="6">
        <f>IFERROR(INDEX('Kontrol Adımları'!$D:$D,MATCH(1,INDEX(('Kontrol Adımları'!$A$1:$A$400=B414)*('Kontrol Adımları'!$B$1:$B$400=C414),0),0)),"")</f>
        <v/>
      </c>
      <c r="E414" s="5" t="inlineStr">
        <is>
          <t>tv_kumandasi</t>
        </is>
      </c>
      <c r="F414" s="6">
        <f>IFERROR(INDEX('Kalem Kataloğu'!$C$1:$C$1000,MATCH(1,INDEX(('Kalem Kataloğu'!$A$1:$A$1000=A414)*('Kalem Kataloğu'!$B$1:$B$1000=E414),0),0)),"?")</f>
        <v/>
      </c>
      <c r="G414" s="6">
        <f>IFERROR(INDEX('Kalem Kataloğu'!$D$1:$D$1000,MATCH(1,INDEX(('Kalem Kataloğu'!$A$1:$A$1000=A414)*('Kalem Kataloğu'!$B$1:$B$1000=E414),0),0)),"?")</f>
        <v/>
      </c>
      <c r="H414" s="7" t="n"/>
      <c r="I414" s="7" t="inlineStr">
        <is>
          <t>Hayır</t>
        </is>
      </c>
      <c r="J414" s="5" t="inlineStr">
        <is>
          <t>Drive foto</t>
        </is>
      </c>
      <c r="K414" s="5" t="inlineStr">
        <is>
          <t xml:space="preserve"> [güven: medium]</t>
        </is>
      </c>
    </row>
    <row r="415">
      <c r="A415" s="5" t="inlineStr">
        <is>
          <t>Tare Village Urla</t>
        </is>
      </c>
      <c r="B415" s="5" t="inlineStr">
        <is>
          <t>VSS</t>
        </is>
      </c>
      <c r="C415" s="7" t="n"/>
      <c r="D415" s="6">
        <f>IFERROR(INDEX('Kontrol Adımları'!$D:$D,MATCH(1,INDEX(('Kontrol Adımları'!$A$1:$A$400=B415)*('Kontrol Adımları'!$B$1:$B$400=C415),0),0)),"")</f>
        <v/>
      </c>
      <c r="E415" s="5" t="inlineStr">
        <is>
          <t>tablo</t>
        </is>
      </c>
      <c r="F415" s="6">
        <f>IFERROR(INDEX('Kalem Kataloğu'!$C$1:$C$1000,MATCH(1,INDEX(('Kalem Kataloğu'!$A$1:$A$1000=A415)*('Kalem Kataloğu'!$B$1:$B$1000=E415),0),0)),"?")</f>
        <v/>
      </c>
      <c r="G415" s="6">
        <f>IFERROR(INDEX('Kalem Kataloğu'!$D$1:$D$1000,MATCH(1,INDEX(('Kalem Kataloğu'!$A$1:$A$1000=A415)*('Kalem Kataloğu'!$B$1:$B$1000=E415),0),0)),"?")</f>
        <v/>
      </c>
      <c r="H415" s="7" t="n">
        <v>1</v>
      </c>
      <c r="I415" s="7" t="inlineStr">
        <is>
          <t>Hayır</t>
        </is>
      </c>
      <c r="J415" s="5" t="inlineStr">
        <is>
          <t>Drive foto</t>
        </is>
      </c>
      <c r="K415" s="5" t="inlineStr">
        <is>
          <t xml:space="preserve"> [güven: medium]</t>
        </is>
      </c>
    </row>
    <row r="416">
      <c r="A416" s="5" t="inlineStr">
        <is>
          <t>Tare Village Urla</t>
        </is>
      </c>
      <c r="B416" s="5" t="inlineStr">
        <is>
          <t>VSS</t>
        </is>
      </c>
      <c r="C416" s="7" t="n"/>
      <c r="D416" s="6">
        <f>IFERROR(INDEX('Kontrol Adımları'!$D:$D,MATCH(1,INDEX(('Kontrol Adımları'!$A$1:$A$400=B416)*('Kontrol Adımları'!$B$1:$B$400=C416),0),0)),"")</f>
        <v/>
      </c>
      <c r="E416" s="5" t="inlineStr">
        <is>
          <t>lavabo_tas_canak</t>
        </is>
      </c>
      <c r="F416" s="6">
        <f>IFERROR(INDEX('Kalem Kataloğu'!$C$1:$C$1000,MATCH(1,INDEX(('Kalem Kataloğu'!$A$1:$A$1000=A416)*('Kalem Kataloğu'!$B$1:$B$1000=E416),0),0)),"?")</f>
        <v/>
      </c>
      <c r="G416" s="6">
        <f>IFERROR(INDEX('Kalem Kataloğu'!$D$1:$D$1000,MATCH(1,INDEX(('Kalem Kataloğu'!$A$1:$A$1000=A416)*('Kalem Kataloğu'!$B$1:$B$1000=E416),0),0)),"?")</f>
        <v/>
      </c>
      <c r="H416" s="7" t="n">
        <v>1</v>
      </c>
      <c r="I416" s="7" t="inlineStr">
        <is>
          <t>Hayır</t>
        </is>
      </c>
      <c r="J416" s="5" t="inlineStr">
        <is>
          <t>Drive foto</t>
        </is>
      </c>
      <c r="K416" s="5" t="inlineStr">
        <is>
          <t>Tüm odalarda aynı model [güven: high]</t>
        </is>
      </c>
    </row>
    <row r="417">
      <c r="A417" s="5" t="inlineStr">
        <is>
          <t>Tare Village Urla</t>
        </is>
      </c>
      <c r="B417" s="5" t="inlineStr">
        <is>
          <t>VSS</t>
        </is>
      </c>
      <c r="C417" s="7" t="n"/>
      <c r="D417" s="6">
        <f>IFERROR(INDEX('Kontrol Adımları'!$D:$D,MATCH(1,INDEX(('Kontrol Adımları'!$A$1:$A$400=B417)*('Kontrol Adımları'!$B$1:$B$400=C417),0),0)),"")</f>
        <v/>
      </c>
      <c r="E417" s="5" t="inlineStr">
        <is>
          <t>tel_sandalye</t>
        </is>
      </c>
      <c r="F417" s="6">
        <f>IFERROR(INDEX('Kalem Kataloğu'!$C$1:$C$1000,MATCH(1,INDEX(('Kalem Kataloğu'!$A$1:$A$1000=A417)*('Kalem Kataloğu'!$B$1:$B$1000=E417),0),0)),"?")</f>
        <v/>
      </c>
      <c r="G417" s="6">
        <f>IFERROR(INDEX('Kalem Kataloğu'!$D$1:$D$1000,MATCH(1,INDEX(('Kalem Kataloğu'!$A$1:$A$1000=A417)*('Kalem Kataloğu'!$B$1:$B$1000=E417),0),0)),"?")</f>
        <v/>
      </c>
      <c r="H417" s="7" t="n"/>
      <c r="I417" s="7" t="inlineStr">
        <is>
          <t>Hayır</t>
        </is>
      </c>
      <c r="J417" s="5" t="inlineStr">
        <is>
          <t>Drive foto</t>
        </is>
      </c>
      <c r="K417" s="5" t="inlineStr">
        <is>
          <t xml:space="preserve"> [güven: high]</t>
        </is>
      </c>
    </row>
    <row r="418">
      <c r="A418" s="5" t="inlineStr">
        <is>
          <t>Tare Village Urla</t>
        </is>
      </c>
      <c r="B418" s="5" t="inlineStr">
        <is>
          <t>VSS</t>
        </is>
      </c>
      <c r="C418" s="7" t="n"/>
      <c r="D418" s="6">
        <f>IFERROR(INDEX('Kontrol Adımları'!$D:$D,MATCH(1,INDEX(('Kontrol Adımları'!$A$1:$A$400=B418)*('Kontrol Adımları'!$B$1:$B$400=C418),0),0)),"")</f>
        <v/>
      </c>
      <c r="E418" s="5" t="inlineStr">
        <is>
          <t>tuvalet_kagidi_aparati</t>
        </is>
      </c>
      <c r="F418" s="6">
        <f>IFERROR(INDEX('Kalem Kataloğu'!$C$1:$C$1000,MATCH(1,INDEX(('Kalem Kataloğu'!$A$1:$A$1000=A418)*('Kalem Kataloğu'!$B$1:$B$1000=E418),0),0)),"?")</f>
        <v/>
      </c>
      <c r="G418" s="6">
        <f>IFERROR(INDEX('Kalem Kataloğu'!$D$1:$D$1000,MATCH(1,INDEX(('Kalem Kataloğu'!$A$1:$A$1000=A418)*('Kalem Kataloğu'!$B$1:$B$1000=E418),0),0)),"?")</f>
        <v/>
      </c>
      <c r="H418" s="7" t="n"/>
      <c r="I418" s="7" t="inlineStr">
        <is>
          <t>Hayır</t>
        </is>
      </c>
      <c r="J418" s="5" t="inlineStr">
        <is>
          <t>Drive foto</t>
        </is>
      </c>
      <c r="K418" s="5" t="inlineStr">
        <is>
          <t>VSS fotoğrafta görünmüyor [güven: high]</t>
        </is>
      </c>
    </row>
    <row r="419">
      <c r="A419" s="5" t="inlineStr">
        <is>
          <t>Tare Village Urla</t>
        </is>
      </c>
      <c r="B419" s="5" t="inlineStr">
        <is>
          <t>VSS</t>
        </is>
      </c>
      <c r="C419" s="7" t="n"/>
      <c r="D419" s="6">
        <f>IFERROR(INDEX('Kontrol Adımları'!$D:$D,MATCH(1,INDEX(('Kontrol Adımları'!$A$1:$A$400=B419)*('Kontrol Adımları'!$B$1:$B$400=C419),0),0)),"")</f>
        <v/>
      </c>
      <c r="E419" s="5" t="inlineStr">
        <is>
          <t>wc_fircasi</t>
        </is>
      </c>
      <c r="F419" s="6">
        <f>IFERROR(INDEX('Kalem Kataloğu'!$C$1:$C$1000,MATCH(1,INDEX(('Kalem Kataloğu'!$A$1:$A$1000=A419)*('Kalem Kataloğu'!$B$1:$B$1000=E419),0),0)),"?")</f>
        <v/>
      </c>
      <c r="G419" s="6">
        <f>IFERROR(INDEX('Kalem Kataloğu'!$D$1:$D$1000,MATCH(1,INDEX(('Kalem Kataloğu'!$A$1:$A$1000=A419)*('Kalem Kataloğu'!$B$1:$B$1000=E419),0),0)),"?")</f>
        <v/>
      </c>
      <c r="H419" s="7" t="n"/>
      <c r="I419" s="7" t="inlineStr">
        <is>
          <t>Hayır</t>
        </is>
      </c>
      <c r="J419" s="5" t="inlineStr">
        <is>
          <t>Drive foto</t>
        </is>
      </c>
      <c r="K419" s="5" t="inlineStr">
        <is>
          <t xml:space="preserve"> [güven: medium]</t>
        </is>
      </c>
    </row>
    <row r="420">
      <c r="A420" s="5" t="inlineStr">
        <is>
          <t>Tare Village Urla</t>
        </is>
      </c>
      <c r="B420" s="5" t="inlineStr">
        <is>
          <t>VSS</t>
        </is>
      </c>
      <c r="C420" s="7" t="n"/>
      <c r="D420" s="6">
        <f>IFERROR(INDEX('Kontrol Adımları'!$D:$D,MATCH(1,INDEX(('Kontrol Adımları'!$A$1:$A$400=B420)*('Kontrol Adımları'!$B$1:$B$400=C420),0),0)),"")</f>
        <v/>
      </c>
      <c r="E420" s="5" t="inlineStr">
        <is>
          <t>yangin_sondurucu</t>
        </is>
      </c>
      <c r="F420" s="6">
        <f>IFERROR(INDEX('Kalem Kataloğu'!$C$1:$C$1000,MATCH(1,INDEX(('Kalem Kataloğu'!$A$1:$A$1000=A420)*('Kalem Kataloğu'!$B$1:$B$1000=E420),0),0)),"?")</f>
        <v/>
      </c>
      <c r="G420" s="6">
        <f>IFERROR(INDEX('Kalem Kataloğu'!$D$1:$D$1000,MATCH(1,INDEX(('Kalem Kataloğu'!$A$1:$A$1000=A420)*('Kalem Kataloğu'!$B$1:$B$1000=E420),0),0)),"?")</f>
        <v/>
      </c>
      <c r="H420" s="7" t="n"/>
      <c r="I420" s="7" t="inlineStr">
        <is>
          <t>Hayır</t>
        </is>
      </c>
      <c r="J420" s="5" t="inlineStr">
        <is>
          <t>Drive foto</t>
        </is>
      </c>
      <c r="K420" s="5" t="inlineStr">
        <is>
          <t xml:space="preserve"> [güven: high]</t>
        </is>
      </c>
    </row>
    <row r="421">
      <c r="A421" s="5" t="inlineStr">
        <is>
          <t>Tare Village Urla</t>
        </is>
      </c>
      <c r="B421" s="5" t="inlineStr">
        <is>
          <t>VSS</t>
        </is>
      </c>
      <c r="C421" s="7" t="n"/>
      <c r="D421" s="6">
        <f>IFERROR(INDEX('Kontrol Adımları'!$D:$D,MATCH(1,INDEX(('Kontrol Adımları'!$A$1:$A$400=B421)*('Kontrol Adımları'!$B$1:$B$400=C421),0),0)),"")</f>
        <v/>
      </c>
      <c r="E421" s="5" t="inlineStr">
        <is>
          <t>saksi_bitki</t>
        </is>
      </c>
      <c r="F421" s="6">
        <f>IFERROR(INDEX('Kalem Kataloğu'!$C$1:$C$1000,MATCH(1,INDEX(('Kalem Kataloğu'!$A$1:$A$1000=A421)*('Kalem Kataloğu'!$B$1:$B$1000=E421),0),0)),"?")</f>
        <v/>
      </c>
      <c r="G421" s="6">
        <f>IFERROR(INDEX('Kalem Kataloğu'!$D$1:$D$1000,MATCH(1,INDEX(('Kalem Kataloğu'!$A$1:$A$1000=A421)*('Kalem Kataloğu'!$B$1:$B$1000=E421),0),0)),"?")</f>
        <v/>
      </c>
      <c r="H421" s="7" t="n">
        <v>1</v>
      </c>
      <c r="I421" s="7" t="inlineStr">
        <is>
          <t>Hayır</t>
        </is>
      </c>
      <c r="J421" s="5" t="inlineStr">
        <is>
          <t>Drive foto</t>
        </is>
      </c>
      <c r="K421" s="5" t="inlineStr">
        <is>
          <t>VTS bitkisi merdiven sahanlığında [güven: medium]</t>
        </is>
      </c>
    </row>
    <row r="422">
      <c r="A422" s="5" t="inlineStr">
        <is>
          <t>Tare Village Urla</t>
        </is>
      </c>
      <c r="B422" s="5" t="inlineStr">
        <is>
          <t>VSS</t>
        </is>
      </c>
      <c r="C422" s="7" t="n"/>
      <c r="D422" s="6">
        <f>IFERROR(INDEX('Kontrol Adımları'!$D:$D,MATCH(1,INDEX(('Kontrol Adımları'!$A$1:$A$400=B422)*('Kontrol Adımları'!$B$1:$B$400=C422),0),0)),"")</f>
        <v/>
      </c>
      <c r="E422" s="5" t="inlineStr">
        <is>
          <t>yastik</t>
        </is>
      </c>
      <c r="F422" s="6">
        <f>IFERROR(INDEX('Kalem Kataloğu'!$C$1:$C$1000,MATCH(1,INDEX(('Kalem Kataloğu'!$A$1:$A$1000=A422)*('Kalem Kataloğu'!$B$1:$B$1000=E422),0),0)),"?")</f>
        <v/>
      </c>
      <c r="G422" s="6">
        <f>IFERROR(INDEX('Kalem Kataloğu'!$D$1:$D$1000,MATCH(1,INDEX(('Kalem Kataloğu'!$A$1:$A$1000=A422)*('Kalem Kataloğu'!$B$1:$B$1000=E422),0),0)),"?")</f>
        <v/>
      </c>
      <c r="H422" s="7" t="n">
        <v>2</v>
      </c>
      <c r="I422" s="7" t="inlineStr">
        <is>
          <t>Hayır</t>
        </is>
      </c>
      <c r="J422" s="5" t="inlineStr">
        <is>
          <t>Drive foto</t>
        </is>
      </c>
      <c r="K422" s="5" t="inlineStr">
        <is>
          <t xml:space="preserve"> [güven: high]</t>
        </is>
      </c>
    </row>
    <row r="423">
      <c r="A423" s="5" t="inlineStr">
        <is>
          <t>Tare Village Urla</t>
        </is>
      </c>
      <c r="B423" s="5" t="inlineStr">
        <is>
          <t>VSS</t>
        </is>
      </c>
      <c r="C423" s="7" t="n"/>
      <c r="D423" s="6">
        <f>IFERROR(INDEX('Kontrol Adımları'!$D:$D,MATCH(1,INDEX(('Kontrol Adımları'!$A$1:$A$400=B423)*('Kontrol Adımları'!$B$1:$B$400=C423),0),0)),"")</f>
        <v/>
      </c>
      <c r="E423" s="5" t="inlineStr">
        <is>
          <t>yedek_tuvalet_kagidi</t>
        </is>
      </c>
      <c r="F423" s="6">
        <f>IFERROR(INDEX('Kalem Kataloğu'!$C$1:$C$1000,MATCH(1,INDEX(('Kalem Kataloğu'!$A$1:$A$1000=A423)*('Kalem Kataloğu'!$B$1:$B$1000=E423),0),0)),"?")</f>
        <v/>
      </c>
      <c r="G423" s="6">
        <f>IFERROR(INDEX('Kalem Kataloğu'!$D$1:$D$1000,MATCH(1,INDEX(('Kalem Kataloğu'!$A$1:$A$1000=A423)*('Kalem Kataloğu'!$B$1:$B$1000=E423),0),0)),"?")</f>
        <v/>
      </c>
      <c r="H423" s="7" t="n"/>
      <c r="I423" s="7" t="inlineStr">
        <is>
          <t>Hayır</t>
        </is>
      </c>
      <c r="J423" s="5" t="inlineStr">
        <is>
          <t>Drive foto</t>
        </is>
      </c>
      <c r="K423" s="5" t="inlineStr">
        <is>
          <t xml:space="preserve"> [güven: medium]</t>
        </is>
      </c>
    </row>
    <row r="424">
      <c r="A424" s="5" t="inlineStr">
        <is>
          <t>Tare Village Urla</t>
        </is>
      </c>
      <c r="B424" s="5" t="inlineStr">
        <is>
          <t>VSS</t>
        </is>
      </c>
      <c r="C424" s="7" t="n"/>
      <c r="D424" s="6">
        <f>IFERROR(INDEX('Kontrol Adımları'!$D:$D,MATCH(1,INDEX(('Kontrol Adımları'!$A$1:$A$400=B424)*('Kontrol Adımları'!$B$1:$B$400=C424),0),0)),"")</f>
        <v/>
      </c>
      <c r="E424" s="5" t="inlineStr">
        <is>
          <t>yemek_masasi</t>
        </is>
      </c>
      <c r="F424" s="6">
        <f>IFERROR(INDEX('Kalem Kataloğu'!$C$1:$C$1000,MATCH(1,INDEX(('Kalem Kataloğu'!$A$1:$A$1000=A424)*('Kalem Kataloğu'!$B$1:$B$1000=E424),0),0)),"?")</f>
        <v/>
      </c>
      <c r="G424" s="6">
        <f>IFERROR(INDEX('Kalem Kataloğu'!$D$1:$D$1000,MATCH(1,INDEX(('Kalem Kataloğu'!$A$1:$A$1000=A424)*('Kalem Kataloğu'!$B$1:$B$1000=E424),0),0)),"?")</f>
        <v/>
      </c>
      <c r="H424" s="7" t="n"/>
      <c r="I424" s="7" t="inlineStr">
        <is>
          <t>Hayır</t>
        </is>
      </c>
      <c r="J424" s="5" t="inlineStr">
        <is>
          <t>Drive foto</t>
        </is>
      </c>
      <c r="K424" s="5" t="inlineStr">
        <is>
          <t>VTS: masa + bank + 2 tel sandalye [güven: high]</t>
        </is>
      </c>
    </row>
    <row r="425">
      <c r="A425" s="5" t="inlineStr">
        <is>
          <t>Tare Village Urla</t>
        </is>
      </c>
      <c r="B425" s="5" t="inlineStr">
        <is>
          <t>VSS</t>
        </is>
      </c>
      <c r="C425" s="7" t="n"/>
      <c r="D425" s="6">
        <f>IFERROR(INDEX('Kontrol Adımları'!$D:$D,MATCH(1,INDEX(('Kontrol Adımları'!$A$1:$A$400=B425)*('Kontrol Adımları'!$B$1:$B$400=C425),0),0)),"")</f>
        <v/>
      </c>
      <c r="E425" s="5" t="inlineStr">
        <is>
          <t>ayna_yuvarlak</t>
        </is>
      </c>
      <c r="F425" s="6">
        <f>IFERROR(INDEX('Kalem Kataloğu'!$C$1:$C$1000,MATCH(1,INDEX(('Kalem Kataloğu'!$A$1:$A$1000=A425)*('Kalem Kataloğu'!$B$1:$B$1000=E425),0),0)),"?")</f>
        <v/>
      </c>
      <c r="G425" s="6">
        <f>IFERROR(INDEX('Kalem Kataloğu'!$D$1:$D$1000,MATCH(1,INDEX(('Kalem Kataloğu'!$A$1:$A$1000=A425)*('Kalem Kataloğu'!$B$1:$B$1000=E425),0),0)),"?")</f>
        <v/>
      </c>
      <c r="H425" s="7" t="n">
        <v>1</v>
      </c>
      <c r="I425" s="7" t="inlineStr">
        <is>
          <t>Hayır</t>
        </is>
      </c>
      <c r="J425" s="5" t="inlineStr">
        <is>
          <t>Drive foto</t>
        </is>
      </c>
      <c r="K425" s="5" t="inlineStr">
        <is>
          <t xml:space="preserve"> [güven: high]</t>
        </is>
      </c>
    </row>
    <row r="426">
      <c r="A426" s="5" t="inlineStr">
        <is>
          <t>Tare Village Urla</t>
        </is>
      </c>
      <c r="B426" s="5" t="inlineStr">
        <is>
          <t>VSS</t>
        </is>
      </c>
      <c r="C426" s="7" t="n"/>
      <c r="D426" s="6">
        <f>IFERROR(INDEX('Kontrol Adımları'!$D:$D,MATCH(1,INDEX(('Kontrol Adımları'!$A$1:$A$400=B426)*('Kontrol Adımları'!$B$1:$B$400=C426),0),0)),"")</f>
        <v/>
      </c>
      <c r="E426" s="5" t="inlineStr">
        <is>
          <t>cift_kisilik_yatak</t>
        </is>
      </c>
      <c r="F426" s="6">
        <f>IFERROR(INDEX('Kalem Kataloğu'!$C$1:$C$1000,MATCH(1,INDEX(('Kalem Kataloğu'!$A$1:$A$1000=A426)*('Kalem Kataloğu'!$B$1:$B$1000=E426),0),0)),"?")</f>
        <v/>
      </c>
      <c r="G426" s="6">
        <f>IFERROR(INDEX('Kalem Kataloğu'!$D$1:$D$1000,MATCH(1,INDEX(('Kalem Kataloğu'!$A$1:$A$1000=A426)*('Kalem Kataloğu'!$B$1:$B$1000=E426),0),0)),"?")</f>
        <v/>
      </c>
      <c r="H426" s="7" t="n">
        <v>1</v>
      </c>
      <c r="I426" s="7" t="inlineStr">
        <is>
          <t>Hayır</t>
        </is>
      </c>
      <c r="J426" s="5" t="inlineStr">
        <is>
          <t>Drive foto</t>
        </is>
      </c>
      <c r="K426" s="5" t="inlineStr">
        <is>
          <t xml:space="preserve"> [güven: high]</t>
        </is>
      </c>
    </row>
    <row r="427" ht="26.4" customHeight="1">
      <c r="A427" s="5" t="inlineStr">
        <is>
          <t>Tare Village Urla</t>
        </is>
      </c>
      <c r="B427" s="5" t="inlineStr">
        <is>
          <t>VSS</t>
        </is>
      </c>
      <c r="C427" s="7" t="n"/>
      <c r="D427" s="6">
        <f>IFERROR(INDEX('Kontrol Adımları'!$D:$D,MATCH(1,INDEX(('Kontrol Adımları'!$A$1:$A$400=B427)*('Kontrol Adımları'!$B$1:$B$400=C427),0),0)),"")</f>
        <v/>
      </c>
      <c r="E427" s="5" t="inlineStr">
        <is>
          <t>sivi_sabun_dispenseri</t>
        </is>
      </c>
      <c r="F427" s="6">
        <f>IFERROR(INDEX('Kalem Kataloğu'!$C$1:$C$1000,MATCH(1,INDEX(('Kalem Kataloğu'!$A$1:$A$1000=A427)*('Kalem Kataloğu'!$B$1:$B$1000=E427),0),0)),"?")</f>
        <v/>
      </c>
      <c r="G427" s="6">
        <f>IFERROR(INDEX('Kalem Kataloğu'!$D$1:$D$1000,MATCH(1,INDEX(('Kalem Kataloğu'!$A$1:$A$1000=A427)*('Kalem Kataloğu'!$B$1:$B$1000=E427),0),0)),"?")</f>
        <v/>
      </c>
      <c r="H427" s="7" t="n"/>
      <c r="I427" s="7" t="inlineStr">
        <is>
          <t>Hayır</t>
        </is>
      </c>
      <c r="J427" s="5" t="inlineStr">
        <is>
          <t>Drive foto</t>
        </is>
      </c>
      <c r="K427" s="5" t="inlineStr">
        <is>
          <t>Diğer odalarda kadrajda yok [güven: medium]</t>
        </is>
      </c>
    </row>
    <row r="428">
      <c r="A428" s="5" t="inlineStr">
        <is>
          <t>Tare Village Urla</t>
        </is>
      </c>
      <c r="B428" s="5" t="inlineStr">
        <is>
          <t>VSS</t>
        </is>
      </c>
      <c r="C428" s="7" t="n"/>
      <c r="D428" s="6">
        <f>IFERROR(INDEX('Kontrol Adımları'!$D:$D,MATCH(1,INDEX(('Kontrol Adımları'!$A$1:$A$400=B428)*('Kontrol Adımları'!$B$1:$B$400=C428),0),0)),"")</f>
        <v/>
      </c>
      <c r="E428" s="5" t="inlineStr">
        <is>
          <t>sifonyer</t>
        </is>
      </c>
      <c r="F428" s="6">
        <f>IFERROR(INDEX('Kalem Kataloğu'!$C$1:$C$1000,MATCH(1,INDEX(('Kalem Kataloğu'!$A$1:$A$1000=A428)*('Kalem Kataloğu'!$B$1:$B$1000=E428),0),0)),"?")</f>
        <v/>
      </c>
      <c r="G428" s="6">
        <f>IFERROR(INDEX('Kalem Kataloğu'!$D$1:$D$1000,MATCH(1,INDEX(('Kalem Kataloğu'!$A$1:$A$1000=A428)*('Kalem Kataloğu'!$B$1:$B$1000=E428),0),0)),"?")</f>
        <v/>
      </c>
      <c r="H428" s="7" t="n">
        <v>1</v>
      </c>
      <c r="I428" s="7" t="inlineStr">
        <is>
          <t>Hayır</t>
        </is>
      </c>
      <c r="J428" s="5" t="inlineStr">
        <is>
          <t>Drive foto</t>
        </is>
      </c>
      <c r="K428" s="5" t="inlineStr">
        <is>
          <t xml:space="preserve"> [güven: medium]</t>
        </is>
      </c>
    </row>
    <row r="429">
      <c r="A429" s="5" t="inlineStr">
        <is>
          <t>Tare Village Urla</t>
        </is>
      </c>
      <c r="B429" s="5" t="inlineStr">
        <is>
          <t>VTS</t>
        </is>
      </c>
      <c r="C429" s="7" t="n"/>
      <c r="D429" s="6">
        <f>IFERROR(INDEX('Kontrol Adımları'!$D:$D,MATCH(1,INDEX(('Kontrol Adımları'!$A$1:$A$400=B429)*('Kontrol Adımları'!$B$1:$B$400=C429),0),0)),"")</f>
        <v/>
      </c>
      <c r="E429" s="5" t="inlineStr">
        <is>
          <t>bank</t>
        </is>
      </c>
      <c r="F429" s="6">
        <f>IFERROR(INDEX('Kalem Kataloğu'!$C$1:$C$1000,MATCH(1,INDEX(('Kalem Kataloğu'!$A$1:$A$1000=A429)*('Kalem Kataloğu'!$B$1:$B$1000=E429),0),0)),"?")</f>
        <v/>
      </c>
      <c r="G429" s="6">
        <f>IFERROR(INDEX('Kalem Kataloğu'!$D$1:$D$1000,MATCH(1,INDEX(('Kalem Kataloğu'!$A$1:$A$1000=A429)*('Kalem Kataloğu'!$B$1:$B$1000=E429),0),0)),"?")</f>
        <v/>
      </c>
      <c r="H429" s="7" t="n">
        <v>1</v>
      </c>
      <c r="I429" s="7" t="inlineStr">
        <is>
          <t>Hayır</t>
        </is>
      </c>
      <c r="J429" s="5" t="inlineStr">
        <is>
          <t>Drive foto</t>
        </is>
      </c>
      <c r="K429" s="5" t="inlineStr">
        <is>
          <t xml:space="preserve"> [güven: high]</t>
        </is>
      </c>
    </row>
    <row r="430">
      <c r="A430" s="5" t="inlineStr">
        <is>
          <t>Tare Village Urla</t>
        </is>
      </c>
      <c r="B430" s="5" t="inlineStr">
        <is>
          <t>VTS</t>
        </is>
      </c>
      <c r="C430" s="7" t="n"/>
      <c r="D430" s="6">
        <f>IFERROR(INDEX('Kontrol Adımları'!$D:$D,MATCH(1,INDEX(('Kontrol Adımları'!$A$1:$A$400=B430)*('Kontrol Adımları'!$B$1:$B$400=C430),0),0)),"")</f>
        <v/>
      </c>
      <c r="E430" s="5" t="inlineStr">
        <is>
          <t>ankastre_firin</t>
        </is>
      </c>
      <c r="F430" s="6">
        <f>IFERROR(INDEX('Kalem Kataloğu'!$C$1:$C$1000,MATCH(1,INDEX(('Kalem Kataloğu'!$A$1:$A$1000=A430)*('Kalem Kataloğu'!$B$1:$B$1000=E430),0),0)),"?")</f>
        <v/>
      </c>
      <c r="G430" s="6">
        <f>IFERROR(INDEX('Kalem Kataloğu'!$D$1:$D$1000,MATCH(1,INDEX(('Kalem Kataloğu'!$A$1:$A$1000=A430)*('Kalem Kataloğu'!$B$1:$B$1000=E430),0),0)),"?")</f>
        <v/>
      </c>
      <c r="H430" s="7" t="n"/>
      <c r="I430" s="7" t="inlineStr">
        <is>
          <t>Hayır</t>
        </is>
      </c>
      <c r="J430" s="5" t="inlineStr">
        <is>
          <t>Drive foto</t>
        </is>
      </c>
      <c r="K430" s="5" t="inlineStr">
        <is>
          <t xml:space="preserve"> [güven: high]</t>
        </is>
      </c>
    </row>
    <row r="431" ht="26.4" customHeight="1">
      <c r="A431" s="5" t="inlineStr">
        <is>
          <t>Tare Village Urla</t>
        </is>
      </c>
      <c r="B431" s="5" t="inlineStr">
        <is>
          <t>VTS</t>
        </is>
      </c>
      <c r="C431" s="7" t="n"/>
      <c r="D431" s="6">
        <f>IFERROR(INDEX('Kontrol Adımları'!$D:$D,MATCH(1,INDEX(('Kontrol Adımları'!$A$1:$A$400=B431)*('Kontrol Adımları'!$B$1:$B$400=C431),0),0)),"")</f>
        <v/>
      </c>
      <c r="E431" s="5" t="inlineStr">
        <is>
          <t>buzdolabi</t>
        </is>
      </c>
      <c r="F431" s="6">
        <f>IFERROR(INDEX('Kalem Kataloğu'!$C$1:$C$1000,MATCH(1,INDEX(('Kalem Kataloğu'!$A$1:$A$1000=A431)*('Kalem Kataloğu'!$B$1:$B$1000=E431),0),0)),"?")</f>
        <v/>
      </c>
      <c r="G431" s="6">
        <f>IFERROR(INDEX('Kalem Kataloğu'!$D$1:$D$1000,MATCH(1,INDEX(('Kalem Kataloğu'!$A$1:$A$1000=A431)*('Kalem Kataloğu'!$B$1:$B$1000=E431),0),0)),"?")</f>
        <v/>
      </c>
      <c r="H431" s="7" t="n"/>
      <c r="I431" s="7" t="inlineStr">
        <is>
          <t>Hayır</t>
        </is>
      </c>
      <c r="J431" s="5" t="inlineStr">
        <is>
          <t>Drive foto</t>
        </is>
      </c>
      <c r="K431" s="5" t="inlineStr">
        <is>
          <t>VGS tam boy beyaz; diğerlerinde kadrajda yok [güven: medium]</t>
        </is>
      </c>
    </row>
    <row r="432">
      <c r="A432" s="5" t="inlineStr">
        <is>
          <t>Tare Village Urla</t>
        </is>
      </c>
      <c r="B432" s="5" t="inlineStr">
        <is>
          <t>VTS</t>
        </is>
      </c>
      <c r="C432" s="7" t="n"/>
      <c r="D432" s="6">
        <f>IFERROR(INDEX('Kontrol Adımları'!$D:$D,MATCH(1,INDEX(('Kontrol Adımları'!$A$1:$A$400=B432)*('Kontrol Adımları'!$B$1:$B$400=C432),0),0)),"")</f>
        <v/>
      </c>
      <c r="E432" s="5" t="inlineStr">
        <is>
          <t>davlumbaz</t>
        </is>
      </c>
      <c r="F432" s="6">
        <f>IFERROR(INDEX('Kalem Kataloğu'!$C$1:$C$1000,MATCH(1,INDEX(('Kalem Kataloğu'!$A$1:$A$1000=A432)*('Kalem Kataloğu'!$B$1:$B$1000=E432),0),0)),"?")</f>
        <v/>
      </c>
      <c r="G432" s="6">
        <f>IFERROR(INDEX('Kalem Kataloğu'!$D$1:$D$1000,MATCH(1,INDEX(('Kalem Kataloğu'!$A$1:$A$1000=A432)*('Kalem Kataloğu'!$B$1:$B$1000=E432),0),0)),"?")</f>
        <v/>
      </c>
      <c r="H432" s="7" t="n"/>
      <c r="I432" s="7" t="inlineStr">
        <is>
          <t>Hayır</t>
        </is>
      </c>
      <c r="J432" s="5" t="inlineStr">
        <is>
          <t>Drive foto</t>
        </is>
      </c>
      <c r="K432" s="5" t="inlineStr">
        <is>
          <t xml:space="preserve"> [güven: medium]</t>
        </is>
      </c>
    </row>
    <row r="433">
      <c r="A433" s="5" t="inlineStr">
        <is>
          <t>Tare Village Urla</t>
        </is>
      </c>
      <c r="B433" s="5" t="inlineStr">
        <is>
          <t>VTS</t>
        </is>
      </c>
      <c r="C433" s="7" t="n"/>
      <c r="D433" s="6">
        <f>IFERROR(INDEX('Kontrol Adımları'!$D:$D,MATCH(1,INDEX(('Kontrol Adımları'!$A$1:$A$400=B433)*('Kontrol Adımları'!$B$1:$B$400=C433),0),0)),"")</f>
        <v/>
      </c>
      <c r="E433" s="5" t="inlineStr">
        <is>
          <t>duvar_saati</t>
        </is>
      </c>
      <c r="F433" s="6">
        <f>IFERROR(INDEX('Kalem Kataloğu'!$C$1:$C$1000,MATCH(1,INDEX(('Kalem Kataloğu'!$A$1:$A$1000=A433)*('Kalem Kataloğu'!$B$1:$B$1000=E433),0),0)),"?")</f>
        <v/>
      </c>
      <c r="G433" s="6">
        <f>IFERROR(INDEX('Kalem Kataloğu'!$D$1:$D$1000,MATCH(1,INDEX(('Kalem Kataloğu'!$A$1:$A$1000=A433)*('Kalem Kataloğu'!$B$1:$B$1000=E433),0),0)),"?")</f>
        <v/>
      </c>
      <c r="H433" s="7" t="n"/>
      <c r="I433" s="7" t="inlineStr">
        <is>
          <t>Hayır</t>
        </is>
      </c>
      <c r="J433" s="5" t="inlineStr">
        <is>
          <t>Drive foto</t>
        </is>
      </c>
      <c r="K433" s="5" t="inlineStr">
        <is>
          <t xml:space="preserve"> [güven: high]</t>
        </is>
      </c>
    </row>
    <row r="434" ht="26.4" customHeight="1">
      <c r="A434" s="5" t="inlineStr">
        <is>
          <t>Tare Village Urla</t>
        </is>
      </c>
      <c r="B434" s="5" t="inlineStr">
        <is>
          <t>VTS</t>
        </is>
      </c>
      <c r="C434" s="7" t="n"/>
      <c r="D434" s="6">
        <f>IFERROR(INDEX('Kontrol Adımları'!$D:$D,MATCH(1,INDEX(('Kontrol Adımları'!$A$1:$A$400=B434)*('Kontrol Adımları'!$B$1:$B$400=C434),0),0)),"")</f>
        <v/>
      </c>
      <c r="E434" s="5" t="inlineStr">
        <is>
          <t>dus_kabini</t>
        </is>
      </c>
      <c r="F434" s="6">
        <f>IFERROR(INDEX('Kalem Kataloğu'!$C$1:$C$1000,MATCH(1,INDEX(('Kalem Kataloğu'!$A$1:$A$1000=A434)*('Kalem Kataloğu'!$B$1:$B$1000=E434),0),0)),"?")</f>
        <v/>
      </c>
      <c r="G434" s="6">
        <f>IFERROR(INDEX('Kalem Kataloğu'!$D$1:$D$1000,MATCH(1,INDEX(('Kalem Kataloğu'!$A$1:$A$1000=A434)*('Kalem Kataloğu'!$B$1:$B$1000=E434),0),0)),"?")</f>
        <v/>
      </c>
      <c r="H434" s="7" t="n">
        <v>1</v>
      </c>
      <c r="I434" s="7" t="inlineStr">
        <is>
          <t>Hayır</t>
        </is>
      </c>
      <c r="J434" s="5" t="inlineStr">
        <is>
          <t>Drive foto</t>
        </is>
      </c>
      <c r="K434" s="5" t="inlineStr">
        <is>
          <t>VTS ve VSS kabini daha büyük, buzlu cam [güven: high]</t>
        </is>
      </c>
    </row>
    <row r="435">
      <c r="A435" s="5" t="inlineStr">
        <is>
          <t>Tare Village Urla</t>
        </is>
      </c>
      <c r="B435" s="5" t="inlineStr">
        <is>
          <t>VTS</t>
        </is>
      </c>
      <c r="C435" s="7" t="n"/>
      <c r="D435" s="6">
        <f>IFERROR(INDEX('Kontrol Adımları'!$D:$D,MATCH(1,INDEX(('Kontrol Adımları'!$A$1:$A$400=B435)*('Kontrol Adımları'!$B$1:$B$400=C435),0),0)),"")</f>
        <v/>
      </c>
      <c r="E435" s="5" t="inlineStr">
        <is>
          <t>gardirop</t>
        </is>
      </c>
      <c r="F435" s="6">
        <f>IFERROR(INDEX('Kalem Kataloğu'!$C$1:$C$1000,MATCH(1,INDEX(('Kalem Kataloğu'!$A$1:$A$1000=A435)*('Kalem Kataloğu'!$B$1:$B$1000=E435),0),0)),"?")</f>
        <v/>
      </c>
      <c r="G435" s="6">
        <f>IFERROR(INDEX('Kalem Kataloğu'!$D$1:$D$1000,MATCH(1,INDEX(('Kalem Kataloğu'!$A$1:$A$1000=A435)*('Kalem Kataloğu'!$B$1:$B$1000=E435),0),0)),"?")</f>
        <v/>
      </c>
      <c r="H435" s="7" t="n"/>
      <c r="I435" s="7" t="inlineStr">
        <is>
          <t>Hayır</t>
        </is>
      </c>
      <c r="J435" s="5" t="inlineStr">
        <is>
          <t>Drive foto</t>
        </is>
      </c>
      <c r="K435" s="5" t="inlineStr">
        <is>
          <t xml:space="preserve"> [güven: medium]</t>
        </is>
      </c>
    </row>
    <row r="436">
      <c r="A436" s="5" t="inlineStr">
        <is>
          <t>Tare Village Urla</t>
        </is>
      </c>
      <c r="B436" s="5" t="inlineStr">
        <is>
          <t>VTS</t>
        </is>
      </c>
      <c r="C436" s="7" t="n"/>
      <c r="D436" s="6">
        <f>IFERROR(INDEX('Kontrol Adımları'!$D:$D,MATCH(1,INDEX(('Kontrol Adımları'!$A$1:$A$400=B436)*('Kontrol Adımları'!$B$1:$B$400=C436),0),0)),"")</f>
        <v/>
      </c>
      <c r="E436" s="5" t="inlineStr">
        <is>
          <t>hasir_sepet</t>
        </is>
      </c>
      <c r="F436" s="6">
        <f>IFERROR(INDEX('Kalem Kataloğu'!$C$1:$C$1000,MATCH(1,INDEX(('Kalem Kataloğu'!$A$1:$A$1000=A436)*('Kalem Kataloğu'!$B$1:$B$1000=E436),0),0)),"?")</f>
        <v/>
      </c>
      <c r="G436" s="6">
        <f>IFERROR(INDEX('Kalem Kataloğu'!$D$1:$D$1000,MATCH(1,INDEX(('Kalem Kataloğu'!$A$1:$A$1000=A436)*('Kalem Kataloğu'!$B$1:$B$1000=E436),0),0)),"?")</f>
        <v/>
      </c>
      <c r="H436" s="7" t="n">
        <v>1</v>
      </c>
      <c r="I436" s="7" t="inlineStr">
        <is>
          <t>Hayır</t>
        </is>
      </c>
      <c r="J436" s="5" t="inlineStr">
        <is>
          <t>Drive foto</t>
        </is>
      </c>
      <c r="K436" s="5" t="inlineStr">
        <is>
          <t xml:space="preserve"> [güven: high]</t>
        </is>
      </c>
    </row>
    <row r="437">
      <c r="A437" s="5" t="inlineStr">
        <is>
          <t>Tare Village Urla</t>
        </is>
      </c>
      <c r="B437" s="5" t="inlineStr">
        <is>
          <t>VTS</t>
        </is>
      </c>
      <c r="C437" s="7" t="n"/>
      <c r="D437" s="6">
        <f>IFERROR(INDEX('Kontrol Adımları'!$D:$D,MATCH(1,INDEX(('Kontrol Adımları'!$A$1:$A$400=B437)*('Kontrol Adımları'!$B$1:$B$400=C437),0),0)),"")</f>
        <v/>
      </c>
      <c r="E437" s="5" t="inlineStr">
        <is>
          <t>jut_paspas</t>
        </is>
      </c>
      <c r="F437" s="6">
        <f>IFERROR(INDEX('Kalem Kataloğu'!$C$1:$C$1000,MATCH(1,INDEX(('Kalem Kataloğu'!$A$1:$A$1000=A437)*('Kalem Kataloğu'!$B$1:$B$1000=E437),0),0)),"?")</f>
        <v/>
      </c>
      <c r="G437" s="6">
        <f>IFERROR(INDEX('Kalem Kataloğu'!$D$1:$D$1000,MATCH(1,INDEX(('Kalem Kataloğu'!$A$1:$A$1000=A437)*('Kalem Kataloğu'!$B$1:$B$1000=E437),0),0)),"?")</f>
        <v/>
      </c>
      <c r="H437" s="7" t="n">
        <v>2</v>
      </c>
      <c r="I437" s="7" t="inlineStr">
        <is>
          <t>Hayır</t>
        </is>
      </c>
      <c r="J437" s="5" t="inlineStr">
        <is>
          <t>Drive foto</t>
        </is>
      </c>
      <c r="K437" s="5" t="inlineStr">
        <is>
          <t>Görülen adet; tam sayı odada teyit [güven: medium]</t>
        </is>
      </c>
    </row>
    <row r="438">
      <c r="A438" s="5" t="inlineStr">
        <is>
          <t>Tare Village Urla</t>
        </is>
      </c>
      <c r="B438" s="5" t="inlineStr">
        <is>
          <t>VTS</t>
        </is>
      </c>
      <c r="C438" s="7" t="n"/>
      <c r="D438" s="6">
        <f>IFERROR(INDEX('Kontrol Adımları'!$D:$D,MATCH(1,INDEX(('Kontrol Adımları'!$A$1:$A$400=B438)*('Kontrol Adımları'!$B$1:$B$400=C438),0),0)),"")</f>
        <v/>
      </c>
      <c r="E438" s="5" t="inlineStr">
        <is>
          <t>dis_masa</t>
        </is>
      </c>
      <c r="F438" s="6">
        <f>IFERROR(INDEX('Kalem Kataloğu'!$C$1:$C$1000,MATCH(1,INDEX(('Kalem Kataloğu'!$A$1:$A$1000=A438)*('Kalem Kataloğu'!$B$1:$B$1000=E438),0),0)),"?")</f>
        <v/>
      </c>
      <c r="G438" s="6">
        <f>IFERROR(INDEX('Kalem Kataloğu'!$D$1:$D$1000,MATCH(1,INDEX(('Kalem Kataloğu'!$A$1:$A$1000=A438)*('Kalem Kataloğu'!$B$1:$B$1000=E438),0),0)),"?")</f>
        <v/>
      </c>
      <c r="H438" s="7" t="n">
        <v>1</v>
      </c>
      <c r="I438" s="7" t="inlineStr">
        <is>
          <t>Hayır</t>
        </is>
      </c>
      <c r="J438" s="5" t="inlineStr">
        <is>
          <t>Drive foto</t>
        </is>
      </c>
      <c r="K438" s="5" t="inlineStr">
        <is>
          <t xml:space="preserve"> [güven: high]</t>
        </is>
      </c>
    </row>
    <row r="439" ht="26.4" customHeight="1">
      <c r="A439" s="5" t="inlineStr">
        <is>
          <t>Tare Village Urla</t>
        </is>
      </c>
      <c r="B439" s="5" t="inlineStr">
        <is>
          <t>VTS</t>
        </is>
      </c>
      <c r="C439" s="7" t="n"/>
      <c r="D439" s="6">
        <f>IFERROR(INDEX('Kontrol Adımları'!$D:$D,MATCH(1,INDEX(('Kontrol Adımları'!$A$1:$A$400=B439)*('Kontrol Adımları'!$B$1:$B$400=C439),0),0)),"")</f>
        <v/>
      </c>
      <c r="E439" s="5" t="inlineStr">
        <is>
          <t>dis_sandalye</t>
        </is>
      </c>
      <c r="F439" s="6">
        <f>IFERROR(INDEX('Kalem Kataloğu'!$C$1:$C$1000,MATCH(1,INDEX(('Kalem Kataloğu'!$A$1:$A$1000=A439)*('Kalem Kataloğu'!$B$1:$B$1000=E439),0),0)),"?")</f>
        <v/>
      </c>
      <c r="G439" s="6">
        <f>IFERROR(INDEX('Kalem Kataloğu'!$D$1:$D$1000,MATCH(1,INDEX(('Kalem Kataloğu'!$A$1:$A$1000=A439)*('Kalem Kataloğu'!$B$1:$B$1000=E439),0),0)),"?")</f>
        <v/>
      </c>
      <c r="H439" s="7" t="n">
        <v>2</v>
      </c>
      <c r="I439" s="7" t="inlineStr">
        <is>
          <t>Hayır</t>
        </is>
      </c>
      <c r="J439" s="5" t="inlineStr">
        <is>
          <t>Drive foto</t>
        </is>
      </c>
      <c r="K439" s="5" t="inlineStr">
        <is>
          <t>VBS 4 sandalye; VTS 2 sandalye + 2 katlanır koltuk [güven: medium]</t>
        </is>
      </c>
    </row>
    <row r="440">
      <c r="A440" s="5" t="inlineStr">
        <is>
          <t>Tare Village Urla</t>
        </is>
      </c>
      <c r="B440" s="5" t="inlineStr">
        <is>
          <t>VTS</t>
        </is>
      </c>
      <c r="C440" s="7" t="n"/>
      <c r="D440" s="6">
        <f>IFERROR(INDEX('Kontrol Adımları'!$D:$D,MATCH(1,INDEX(('Kontrol Adımları'!$A$1:$A$400=B440)*('Kontrol Adımları'!$B$1:$B$400=C440),0),0)),"")</f>
        <v/>
      </c>
      <c r="E440" s="5" t="inlineStr">
        <is>
          <t>dis_katlanir_koltuk</t>
        </is>
      </c>
      <c r="F440" s="6">
        <f>IFERROR(INDEX('Kalem Kataloğu'!$C$1:$C$1000,MATCH(1,INDEX(('Kalem Kataloğu'!$A$1:$A$1000=A440)*('Kalem Kataloğu'!$B$1:$B$1000=E440),0),0)),"?")</f>
        <v/>
      </c>
      <c r="G440" s="6">
        <f>IFERROR(INDEX('Kalem Kataloğu'!$D$1:$D$1000,MATCH(1,INDEX(('Kalem Kataloğu'!$A$1:$A$1000=A440)*('Kalem Kataloğu'!$B$1:$B$1000=E440),0),0)),"?")</f>
        <v/>
      </c>
      <c r="H440" s="7" t="n">
        <v>2</v>
      </c>
      <c r="I440" s="7" t="inlineStr">
        <is>
          <t>Hayır</t>
        </is>
      </c>
      <c r="J440" s="5" t="inlineStr">
        <is>
          <t>Drive foto</t>
        </is>
      </c>
      <c r="K440" s="5" t="inlineStr">
        <is>
          <t xml:space="preserve"> [güven: medium]</t>
        </is>
      </c>
    </row>
    <row r="441">
      <c r="A441" s="5" t="inlineStr">
        <is>
          <t>Tare Village Urla</t>
        </is>
      </c>
      <c r="B441" s="5" t="inlineStr">
        <is>
          <t>VTS</t>
        </is>
      </c>
      <c r="C441" s="7" t="n"/>
      <c r="D441" s="6">
        <f>IFERROR(INDEX('Kontrol Adımları'!$D:$D,MATCH(1,INDEX(('Kontrol Adımları'!$A$1:$A$400=B441)*('Kontrol Adımları'!$B$1:$B$400=C441),0),0)),"")</f>
        <v/>
      </c>
      <c r="E441" s="5" t="inlineStr">
        <is>
          <t>kagit_havlu</t>
        </is>
      </c>
      <c r="F441" s="6">
        <f>IFERROR(INDEX('Kalem Kataloğu'!$C$1:$C$1000,MATCH(1,INDEX(('Kalem Kataloğu'!$A$1:$A$1000=A441)*('Kalem Kataloğu'!$B$1:$B$1000=E441),0),0)),"?")</f>
        <v/>
      </c>
      <c r="G441" s="6">
        <f>IFERROR(INDEX('Kalem Kataloğu'!$D$1:$D$1000,MATCH(1,INDEX(('Kalem Kataloğu'!$A$1:$A$1000=A441)*('Kalem Kataloğu'!$B$1:$B$1000=E441),0),0)),"?")</f>
        <v/>
      </c>
      <c r="H441" s="7" t="n"/>
      <c r="I441" s="7" t="inlineStr">
        <is>
          <t>Hayır</t>
        </is>
      </c>
      <c r="J441" s="5" t="inlineStr">
        <is>
          <t>Drive foto</t>
        </is>
      </c>
      <c r="K441" s="5" t="inlineStr">
        <is>
          <t xml:space="preserve"> [güven: medium]</t>
        </is>
      </c>
    </row>
    <row r="442">
      <c r="A442" s="5" t="inlineStr">
        <is>
          <t>Tare Village Urla</t>
        </is>
      </c>
      <c r="B442" s="5" t="inlineStr">
        <is>
          <t>VTS</t>
        </is>
      </c>
      <c r="C442" s="7" t="n"/>
      <c r="D442" s="6">
        <f>IFERROR(INDEX('Kontrol Adımları'!$D:$D,MATCH(1,INDEX(('Kontrol Adımları'!$A$1:$A$400=B442)*('Kontrol Adımları'!$B$1:$B$400=C442),0),0)),"")</f>
        <v/>
      </c>
      <c r="E442" s="5" t="inlineStr">
        <is>
          <t>klima</t>
        </is>
      </c>
      <c r="F442" s="6">
        <f>IFERROR(INDEX('Kalem Kataloğu'!$C$1:$C$1000,MATCH(1,INDEX(('Kalem Kataloğu'!$A$1:$A$1000=A442)*('Kalem Kataloğu'!$B$1:$B$1000=E442),0),0)),"?")</f>
        <v/>
      </c>
      <c r="G442" s="6">
        <f>IFERROR(INDEX('Kalem Kataloğu'!$D$1:$D$1000,MATCH(1,INDEX(('Kalem Kataloğu'!$A$1:$A$1000=A442)*('Kalem Kataloğu'!$B$1:$B$1000=E442),0),0)),"?")</f>
        <v/>
      </c>
      <c r="H442" s="7" t="n">
        <v>1</v>
      </c>
      <c r="I442" s="7" t="inlineStr">
        <is>
          <t>Hayır</t>
        </is>
      </c>
      <c r="J442" s="5" t="inlineStr">
        <is>
          <t>Drive foto</t>
        </is>
      </c>
      <c r="K442" s="5" t="inlineStr">
        <is>
          <t>VGS fotoğrafta görünmüyor [güven: high]</t>
        </is>
      </c>
    </row>
    <row r="443">
      <c r="A443" s="5" t="inlineStr">
        <is>
          <t>Tare Village Urla</t>
        </is>
      </c>
      <c r="B443" s="5" t="inlineStr">
        <is>
          <t>VTS</t>
        </is>
      </c>
      <c r="C443" s="7" t="n"/>
      <c r="D443" s="6">
        <f>IFERROR(INDEX('Kontrol Adımları'!$D:$D,MATCH(1,INDEX(('Kontrol Adımları'!$A$1:$A$400=B443)*('Kontrol Adımları'!$B$1:$B$400=C443),0),0)),"")</f>
        <v/>
      </c>
      <c r="E443" s="5" t="inlineStr">
        <is>
          <t>klozet</t>
        </is>
      </c>
      <c r="F443" s="6">
        <f>IFERROR(INDEX('Kalem Kataloğu'!$C$1:$C$1000,MATCH(1,INDEX(('Kalem Kataloğu'!$A$1:$A$1000=A443)*('Kalem Kataloğu'!$B$1:$B$1000=E443),0),0)),"?")</f>
        <v/>
      </c>
      <c r="G443" s="6">
        <f>IFERROR(INDEX('Kalem Kataloğu'!$D$1:$D$1000,MATCH(1,INDEX(('Kalem Kataloğu'!$A$1:$A$1000=A443)*('Kalem Kataloğu'!$B$1:$B$1000=E443),0),0)),"?")</f>
        <v/>
      </c>
      <c r="H443" s="7" t="n">
        <v>1</v>
      </c>
      <c r="I443" s="7" t="inlineStr">
        <is>
          <t>Hayır</t>
        </is>
      </c>
      <c r="J443" s="5" t="inlineStr">
        <is>
          <t>Drive foto</t>
        </is>
      </c>
      <c r="K443" s="5" t="inlineStr">
        <is>
          <t xml:space="preserve"> [güven: high]</t>
        </is>
      </c>
    </row>
    <row r="444">
      <c r="A444" s="5" t="inlineStr">
        <is>
          <t>Tare Village Urla</t>
        </is>
      </c>
      <c r="B444" s="5" t="inlineStr">
        <is>
          <t>VTS</t>
        </is>
      </c>
      <c r="C444" s="7" t="n"/>
      <c r="D444" s="6">
        <f>IFERROR(INDEX('Kontrol Adımları'!$D:$D,MATCH(1,INDEX(('Kontrol Adımları'!$A$1:$A$400=B444)*('Kontrol Adımları'!$B$1:$B$400=C444),0),0)),"")</f>
        <v/>
      </c>
      <c r="E444" s="5" t="inlineStr">
        <is>
          <t>komodin</t>
        </is>
      </c>
      <c r="F444" s="6">
        <f>IFERROR(INDEX('Kalem Kataloğu'!$C$1:$C$1000,MATCH(1,INDEX(('Kalem Kataloğu'!$A$1:$A$1000=A444)*('Kalem Kataloğu'!$B$1:$B$1000=E444),0),0)),"?")</f>
        <v/>
      </c>
      <c r="G444" s="6">
        <f>IFERROR(INDEX('Kalem Kataloğu'!$D$1:$D$1000,MATCH(1,INDEX(('Kalem Kataloğu'!$A$1:$A$1000=A444)*('Kalem Kataloğu'!$B$1:$B$1000=E444),0),0)),"?")</f>
        <v/>
      </c>
      <c r="H444" s="7" t="n">
        <v>1</v>
      </c>
      <c r="I444" s="7" t="inlineStr">
        <is>
          <t>Hayır</t>
        </is>
      </c>
      <c r="J444" s="5" t="inlineStr">
        <is>
          <t>Drive foto</t>
        </is>
      </c>
      <c r="K444" s="5" t="inlineStr">
        <is>
          <t>VBS fotoğrafta tek taraf görünüyor [güven: medium]</t>
        </is>
      </c>
    </row>
    <row r="445">
      <c r="A445" s="5" t="inlineStr">
        <is>
          <t>Tare Village Urla</t>
        </is>
      </c>
      <c r="B445" s="5" t="inlineStr">
        <is>
          <t>VTS</t>
        </is>
      </c>
      <c r="C445" s="7" t="n"/>
      <c r="D445" s="6">
        <f>IFERROR(INDEX('Kontrol Adımları'!$D:$D,MATCH(1,INDEX(('Kontrol Adımları'!$A$1:$A$400=B445)*('Kontrol Adımları'!$B$1:$B$400=C445),0),0)),"")</f>
        <v/>
      </c>
      <c r="E445" s="5" t="inlineStr">
        <is>
          <t>kose_koltuk</t>
        </is>
      </c>
      <c r="F445" s="6">
        <f>IFERROR(INDEX('Kalem Kataloğu'!$C$1:$C$1000,MATCH(1,INDEX(('Kalem Kataloğu'!$A$1:$A$1000=A445)*('Kalem Kataloğu'!$B$1:$B$1000=E445),0),0)),"?")</f>
        <v/>
      </c>
      <c r="G445" s="6">
        <f>IFERROR(INDEX('Kalem Kataloğu'!$D$1:$D$1000,MATCH(1,INDEX(('Kalem Kataloğu'!$A$1:$A$1000=A445)*('Kalem Kataloğu'!$B$1:$B$1000=E445),0),0)),"?")</f>
        <v/>
      </c>
      <c r="H445" s="7" t="n">
        <v>1</v>
      </c>
      <c r="I445" s="7" t="inlineStr">
        <is>
          <t>Hayır</t>
        </is>
      </c>
      <c r="J445" s="5" t="inlineStr">
        <is>
          <t>Drive foto</t>
        </is>
      </c>
      <c r="K445" s="5" t="inlineStr">
        <is>
          <t>VSS ve VTS düz kanepe [güven: high]</t>
        </is>
      </c>
    </row>
    <row r="446">
      <c r="A446" s="5" t="inlineStr">
        <is>
          <t>Tare Village Urla</t>
        </is>
      </c>
      <c r="B446" s="5" t="inlineStr">
        <is>
          <t>VTS</t>
        </is>
      </c>
      <c r="C446" s="7" t="n"/>
      <c r="D446" s="6">
        <f>IFERROR(INDEX('Kontrol Adımları'!$D:$D,MATCH(1,INDEX(('Kontrol Adımları'!$A$1:$A$400=B446)*('Kontrol Adımları'!$B$1:$B$400=C446),0),0)),"")</f>
        <v/>
      </c>
      <c r="E446" s="5" t="inlineStr">
        <is>
          <t>kul_tablasi</t>
        </is>
      </c>
      <c r="F446" s="6">
        <f>IFERROR(INDEX('Kalem Kataloğu'!$C$1:$C$1000,MATCH(1,INDEX(('Kalem Kataloğu'!$A$1:$A$1000=A446)*('Kalem Kataloğu'!$B$1:$B$1000=E446),0),0)),"?")</f>
        <v/>
      </c>
      <c r="G446" s="6">
        <f>IFERROR(INDEX('Kalem Kataloğu'!$D$1:$D$1000,MATCH(1,INDEX(('Kalem Kataloğu'!$A$1:$A$1000=A446)*('Kalem Kataloğu'!$B$1:$B$1000=E446),0),0)),"?")</f>
        <v/>
      </c>
      <c r="H446" s="7" t="n"/>
      <c r="I446" s="7" t="inlineStr">
        <is>
          <t>Hayır</t>
        </is>
      </c>
      <c r="J446" s="5" t="inlineStr">
        <is>
          <t>Drive foto</t>
        </is>
      </c>
      <c r="K446" s="5" t="inlineStr">
        <is>
          <t xml:space="preserve"> [güven: medium]</t>
        </is>
      </c>
    </row>
    <row r="447">
      <c r="A447" s="5" t="inlineStr">
        <is>
          <t>Tare Village Urla</t>
        </is>
      </c>
      <c r="B447" s="5" t="inlineStr">
        <is>
          <t>VTS</t>
        </is>
      </c>
      <c r="C447" s="7" t="n"/>
      <c r="D447" s="6">
        <f>IFERROR(INDEX('Kontrol Adımları'!$D:$D,MATCH(1,INDEX(('Kontrol Adımları'!$A$1:$A$400=B447)*('Kontrol Adımları'!$B$1:$B$400=C447),0),0)),"")</f>
        <v/>
      </c>
      <c r="E447" s="5" t="inlineStr">
        <is>
          <t>mutfak_cop_kovasi</t>
        </is>
      </c>
      <c r="F447" s="6">
        <f>IFERROR(INDEX('Kalem Kataloğu'!$C$1:$C$1000,MATCH(1,INDEX(('Kalem Kataloğu'!$A$1:$A$1000=A447)*('Kalem Kataloğu'!$B$1:$B$1000=E447),0),0)),"?")</f>
        <v/>
      </c>
      <c r="G447" s="6">
        <f>IFERROR(INDEX('Kalem Kataloğu'!$D$1:$D$1000,MATCH(1,INDEX(('Kalem Kataloğu'!$A$1:$A$1000=A447)*('Kalem Kataloğu'!$B$1:$B$1000=E447),0),0)),"?")</f>
        <v/>
      </c>
      <c r="H447" s="7" t="n"/>
      <c r="I447" s="7" t="inlineStr">
        <is>
          <t>Hayır</t>
        </is>
      </c>
      <c r="J447" s="5" t="inlineStr">
        <is>
          <t>Drive foto</t>
        </is>
      </c>
      <c r="K447" s="5" t="inlineStr">
        <is>
          <t xml:space="preserve"> [güven: high]</t>
        </is>
      </c>
    </row>
    <row r="448" ht="26.4" customHeight="1">
      <c r="A448" s="5" t="inlineStr">
        <is>
          <t>Tare Village Urla</t>
        </is>
      </c>
      <c r="B448" s="5" t="inlineStr">
        <is>
          <t>VTS</t>
        </is>
      </c>
      <c r="C448" s="7" t="n"/>
      <c r="D448" s="6">
        <f>IFERROR(INDEX('Kontrol Adımları'!$D:$D,MATCH(1,INDEX(('Kontrol Adımları'!$A$1:$A$400=B448)*('Kontrol Adımları'!$B$1:$B$400=C448),0),0)),"")</f>
        <v/>
      </c>
      <c r="E448" s="5" t="inlineStr">
        <is>
          <t>ocak</t>
        </is>
      </c>
      <c r="F448" s="6">
        <f>IFERROR(INDEX('Kalem Kataloğu'!$C$1:$C$1000,MATCH(1,INDEX(('Kalem Kataloğu'!$A$1:$A$1000=A448)*('Kalem Kataloğu'!$B$1:$B$1000=E448),0),0)),"?")</f>
        <v/>
      </c>
      <c r="G448" s="6">
        <f>IFERROR(INDEX('Kalem Kataloğu'!$D$1:$D$1000,MATCH(1,INDEX(('Kalem Kataloğu'!$A$1:$A$1000=A448)*('Kalem Kataloğu'!$B$1:$B$1000=E448),0),0)),"?")</f>
        <v/>
      </c>
      <c r="H448" s="7" t="n"/>
      <c r="I448" s="7" t="inlineStr">
        <is>
          <t>Hayır</t>
        </is>
      </c>
      <c r="J448" s="5" t="inlineStr">
        <is>
          <t>Drive foto</t>
        </is>
      </c>
      <c r="K448" s="5" t="inlineStr">
        <is>
          <t>VBS ankastre 2 göz; VSS portatif 2 göz cam ocak [güven: medium]</t>
        </is>
      </c>
    </row>
    <row r="449">
      <c r="A449" s="5" t="inlineStr">
        <is>
          <t>Tare Village Urla</t>
        </is>
      </c>
      <c r="B449" s="5" t="inlineStr">
        <is>
          <t>VTS</t>
        </is>
      </c>
      <c r="C449" s="7" t="n"/>
      <c r="D449" s="6">
        <f>IFERROR(INDEX('Kontrol Adımları'!$D:$D,MATCH(1,INDEX(('Kontrol Adımları'!$A$1:$A$400=B449)*('Kontrol Adımları'!$B$1:$B$400=C449),0),0)),"")</f>
        <v/>
      </c>
      <c r="E449" s="5" t="inlineStr">
        <is>
          <t>orta_sehpa</t>
        </is>
      </c>
      <c r="F449" s="6">
        <f>IFERROR(INDEX('Kalem Kataloğu'!$C$1:$C$1000,MATCH(1,INDEX(('Kalem Kataloğu'!$A$1:$A$1000=A449)*('Kalem Kataloğu'!$B$1:$B$1000=E449),0),0)),"?")</f>
        <v/>
      </c>
      <c r="G449" s="6">
        <f>IFERROR(INDEX('Kalem Kataloğu'!$D$1:$D$1000,MATCH(1,INDEX(('Kalem Kataloğu'!$A$1:$A$1000=A449)*('Kalem Kataloğu'!$B$1:$B$1000=E449),0),0)),"?")</f>
        <v/>
      </c>
      <c r="H449" s="7" t="n">
        <v>1</v>
      </c>
      <c r="I449" s="7" t="inlineStr">
        <is>
          <t>Hayır</t>
        </is>
      </c>
      <c r="J449" s="5" t="inlineStr">
        <is>
          <t>Drive foto</t>
        </is>
      </c>
      <c r="K449" s="5" t="inlineStr">
        <is>
          <t xml:space="preserve"> [güven: high]</t>
        </is>
      </c>
    </row>
    <row r="450">
      <c r="A450" s="5" t="inlineStr">
        <is>
          <t>Tare Village Urla</t>
        </is>
      </c>
      <c r="B450" s="5" t="inlineStr">
        <is>
          <t>VTS</t>
        </is>
      </c>
      <c r="C450" s="7" t="n"/>
      <c r="D450" s="6">
        <f>IFERROR(INDEX('Kontrol Adımları'!$D:$D,MATCH(1,INDEX(('Kontrol Adımları'!$A$1:$A$400=B450)*('Kontrol Adımları'!$B$1:$B$400=C450),0),0)),"")</f>
        <v/>
      </c>
      <c r="E450" s="5" t="inlineStr">
        <is>
          <t>banyo_cop_kovasi</t>
        </is>
      </c>
      <c r="F450" s="6">
        <f>IFERROR(INDEX('Kalem Kataloğu'!$C$1:$C$1000,MATCH(1,INDEX(('Kalem Kataloğu'!$A$1:$A$1000=A450)*('Kalem Kataloğu'!$B$1:$B$1000=E450),0),0)),"?")</f>
        <v/>
      </c>
      <c r="G450" s="6">
        <f>IFERROR(INDEX('Kalem Kataloğu'!$D$1:$D$1000,MATCH(1,INDEX(('Kalem Kataloğu'!$A$1:$A$1000=A450)*('Kalem Kataloğu'!$B$1:$B$1000=E450),0),0)),"?")</f>
        <v/>
      </c>
      <c r="H450" s="7" t="n">
        <v>1</v>
      </c>
      <c r="I450" s="7" t="inlineStr">
        <is>
          <t>Hayır</t>
        </is>
      </c>
      <c r="J450" s="5" t="inlineStr">
        <is>
          <t>Drive foto</t>
        </is>
      </c>
      <c r="K450" s="5" t="inlineStr">
        <is>
          <t>VGS inox, VBS/VTS siyah [güven: high]</t>
        </is>
      </c>
    </row>
    <row r="451">
      <c r="A451" s="5" t="inlineStr">
        <is>
          <t>Tare Village Urla</t>
        </is>
      </c>
      <c r="B451" s="5" t="inlineStr">
        <is>
          <t>VTS</t>
        </is>
      </c>
      <c r="C451" s="7" t="n"/>
      <c r="D451" s="6">
        <f>IFERROR(INDEX('Kontrol Adımları'!$D:$D,MATCH(1,INDEX(('Kontrol Adımları'!$A$1:$A$400=B451)*('Kontrol Adımları'!$B$1:$B$400=C451),0),0)),"")</f>
        <v/>
      </c>
      <c r="E451" s="5" t="inlineStr">
        <is>
          <t>yatak_ortusu</t>
        </is>
      </c>
      <c r="F451" s="6">
        <f>IFERROR(INDEX('Kalem Kataloğu'!$C$1:$C$1000,MATCH(1,INDEX(('Kalem Kataloğu'!$A$1:$A$1000=A451)*('Kalem Kataloğu'!$B$1:$B$1000=E451),0),0)),"?")</f>
        <v/>
      </c>
      <c r="G451" s="6">
        <f>IFERROR(INDEX('Kalem Kataloğu'!$D$1:$D$1000,MATCH(1,INDEX(('Kalem Kataloğu'!$A$1:$A$1000=A451)*('Kalem Kataloğu'!$B$1:$B$1000=E451),0),0)),"?")</f>
        <v/>
      </c>
      <c r="H451" s="7" t="n">
        <v>1</v>
      </c>
      <c r="I451" s="7" t="inlineStr">
        <is>
          <t>Hayır</t>
        </is>
      </c>
      <c r="J451" s="5" t="inlineStr">
        <is>
          <t>Drive foto</t>
        </is>
      </c>
      <c r="K451" s="5" t="inlineStr">
        <is>
          <t xml:space="preserve"> [güven: high]</t>
        </is>
      </c>
    </row>
    <row r="452">
      <c r="A452" s="5" t="inlineStr">
        <is>
          <t>Tare Village Urla</t>
        </is>
      </c>
      <c r="B452" s="5" t="inlineStr">
        <is>
          <t>VTS</t>
        </is>
      </c>
      <c r="C452" s="7" t="n"/>
      <c r="D452" s="6">
        <f>IFERROR(INDEX('Kontrol Adımları'!$D:$D,MATCH(1,INDEX(('Kontrol Adımları'!$A$1:$A$400=B452)*('Kontrol Adımları'!$B$1:$B$400=C452),0),0)),"")</f>
        <v/>
      </c>
      <c r="E452" s="5" t="inlineStr">
        <is>
          <t>tavan_sarkit_lamba</t>
        </is>
      </c>
      <c r="F452" s="6">
        <f>IFERROR(INDEX('Kalem Kataloğu'!$C$1:$C$1000,MATCH(1,INDEX(('Kalem Kataloğu'!$A$1:$A$1000=A452)*('Kalem Kataloğu'!$B$1:$B$1000=E452),0),0)),"?")</f>
        <v/>
      </c>
      <c r="G452" s="6">
        <f>IFERROR(INDEX('Kalem Kataloğu'!$D$1:$D$1000,MATCH(1,INDEX(('Kalem Kataloğu'!$A$1:$A$1000=A452)*('Kalem Kataloğu'!$B$1:$B$1000=E452),0),0)),"?")</f>
        <v/>
      </c>
      <c r="H452" s="7" t="n"/>
      <c r="I452" s="7" t="inlineStr">
        <is>
          <t>Hayır</t>
        </is>
      </c>
      <c r="J452" s="5" t="inlineStr">
        <is>
          <t>Drive foto</t>
        </is>
      </c>
      <c r="K452" s="5" t="inlineStr">
        <is>
          <t xml:space="preserve"> [güven: medium]</t>
        </is>
      </c>
    </row>
    <row r="453">
      <c r="A453" s="5" t="inlineStr">
        <is>
          <t>Tare Village Urla</t>
        </is>
      </c>
      <c r="B453" s="5" t="inlineStr">
        <is>
          <t>VTS</t>
        </is>
      </c>
      <c r="C453" s="7" t="n"/>
      <c r="D453" s="6">
        <f>IFERROR(INDEX('Kontrol Adımları'!$D:$D,MATCH(1,INDEX(('Kontrol Adımları'!$A$1:$A$400=B453)*('Kontrol Adımları'!$B$1:$B$400=C453),0),0)),"")</f>
        <v/>
      </c>
      <c r="E453" s="5" t="inlineStr">
        <is>
          <t>sac_kurutma_makinesi</t>
        </is>
      </c>
      <c r="F453" s="6">
        <f>IFERROR(INDEX('Kalem Kataloğu'!$C$1:$C$1000,MATCH(1,INDEX(('Kalem Kataloğu'!$A$1:$A$1000=A453)*('Kalem Kataloğu'!$B$1:$B$1000=E453),0),0)),"?")</f>
        <v/>
      </c>
      <c r="G453" s="6">
        <f>IFERROR(INDEX('Kalem Kataloğu'!$D$1:$D$1000,MATCH(1,INDEX(('Kalem Kataloğu'!$A$1:$A$1000=A453)*('Kalem Kataloğu'!$B$1:$B$1000=E453),0),0)),"?")</f>
        <v/>
      </c>
      <c r="H453" s="7" t="n"/>
      <c r="I453" s="7" t="inlineStr">
        <is>
          <t>Hayır</t>
        </is>
      </c>
      <c r="J453" s="5" t="inlineStr">
        <is>
          <t>Drive foto</t>
        </is>
      </c>
      <c r="K453" s="5" t="inlineStr">
        <is>
          <t xml:space="preserve"> [güven: high]</t>
        </is>
      </c>
    </row>
    <row r="454">
      <c r="A454" s="5" t="inlineStr">
        <is>
          <t>Tare Village Urla</t>
        </is>
      </c>
      <c r="B454" s="5" t="inlineStr">
        <is>
          <t>VTS</t>
        </is>
      </c>
      <c r="C454" s="7" t="n"/>
      <c r="D454" s="6">
        <f>IFERROR(INDEX('Kontrol Adımları'!$D:$D,MATCH(1,INDEX(('Kontrol Adımları'!$A$1:$A$400=B454)*('Kontrol Adımları'!$B$1:$B$400=C454),0),0)),"")</f>
        <v/>
      </c>
      <c r="E454" s="5" t="inlineStr">
        <is>
          <t>tv</t>
        </is>
      </c>
      <c r="F454" s="6">
        <f>IFERROR(INDEX('Kalem Kataloğu'!$C$1:$C$1000,MATCH(1,INDEX(('Kalem Kataloğu'!$A$1:$A$1000=A454)*('Kalem Kataloğu'!$B$1:$B$1000=E454),0),0)),"?")</f>
        <v/>
      </c>
      <c r="G454" s="6">
        <f>IFERROR(INDEX('Kalem Kataloğu'!$D$1:$D$1000,MATCH(1,INDEX(('Kalem Kataloğu'!$A$1:$A$1000=A454)*('Kalem Kataloğu'!$B$1:$B$1000=E454),0),0)),"?")</f>
        <v/>
      </c>
      <c r="H454" s="7" t="n">
        <v>1</v>
      </c>
      <c r="I454" s="7" t="inlineStr">
        <is>
          <t>Hayır</t>
        </is>
      </c>
      <c r="J454" s="5" t="inlineStr">
        <is>
          <t>Drive foto</t>
        </is>
      </c>
      <c r="K454" s="5" t="inlineStr">
        <is>
          <t>VBS/VSS duvar tipi, VTS ayaklı [güven: high]</t>
        </is>
      </c>
    </row>
    <row r="455">
      <c r="A455" s="5" t="inlineStr">
        <is>
          <t>Tare Village Urla</t>
        </is>
      </c>
      <c r="B455" s="5" t="inlineStr">
        <is>
          <t>VTS</t>
        </is>
      </c>
      <c r="C455" s="7" t="n"/>
      <c r="D455" s="6">
        <f>IFERROR(INDEX('Kontrol Adımları'!$D:$D,MATCH(1,INDEX(('Kontrol Adımları'!$A$1:$A$400=B455)*('Kontrol Adımları'!$B$1:$B$400=C455),0),0)),"")</f>
        <v/>
      </c>
      <c r="E455" s="5" t="inlineStr">
        <is>
          <t>tv_kumandasi</t>
        </is>
      </c>
      <c r="F455" s="6">
        <f>IFERROR(INDEX('Kalem Kataloğu'!$C$1:$C$1000,MATCH(1,INDEX(('Kalem Kataloğu'!$A$1:$A$1000=A455)*('Kalem Kataloğu'!$B$1:$B$1000=E455),0),0)),"?")</f>
        <v/>
      </c>
      <c r="G455" s="6">
        <f>IFERROR(INDEX('Kalem Kataloğu'!$D$1:$D$1000,MATCH(1,INDEX(('Kalem Kataloğu'!$A$1:$A$1000=A455)*('Kalem Kataloğu'!$B$1:$B$1000=E455),0),0)),"?")</f>
        <v/>
      </c>
      <c r="H455" s="7" t="n"/>
      <c r="I455" s="7" t="inlineStr">
        <is>
          <t>Hayır</t>
        </is>
      </c>
      <c r="J455" s="5" t="inlineStr">
        <is>
          <t>Drive foto</t>
        </is>
      </c>
      <c r="K455" s="5" t="inlineStr">
        <is>
          <t xml:space="preserve"> [güven: medium]</t>
        </is>
      </c>
    </row>
    <row r="456">
      <c r="A456" s="5" t="inlineStr">
        <is>
          <t>Tare Village Urla</t>
        </is>
      </c>
      <c r="B456" s="5" t="inlineStr">
        <is>
          <t>VTS</t>
        </is>
      </c>
      <c r="C456" s="7" t="n"/>
      <c r="D456" s="6">
        <f>IFERROR(INDEX('Kontrol Adımları'!$D:$D,MATCH(1,INDEX(('Kontrol Adımları'!$A$1:$A$400=B456)*('Kontrol Adımları'!$B$1:$B$400=C456),0),0)),"")</f>
        <v/>
      </c>
      <c r="E456" s="5" t="inlineStr">
        <is>
          <t>tablo</t>
        </is>
      </c>
      <c r="F456" s="6">
        <f>IFERROR(INDEX('Kalem Kataloğu'!$C$1:$C$1000,MATCH(1,INDEX(('Kalem Kataloğu'!$A$1:$A$1000=A456)*('Kalem Kataloğu'!$B$1:$B$1000=E456),0),0)),"?")</f>
        <v/>
      </c>
      <c r="G456" s="6">
        <f>IFERROR(INDEX('Kalem Kataloğu'!$D$1:$D$1000,MATCH(1,INDEX(('Kalem Kataloğu'!$A$1:$A$1000=A456)*('Kalem Kataloğu'!$B$1:$B$1000=E456),0),0)),"?")</f>
        <v/>
      </c>
      <c r="H456" s="7" t="n">
        <v>2</v>
      </c>
      <c r="I456" s="7" t="inlineStr">
        <is>
          <t>Hayır</t>
        </is>
      </c>
      <c r="J456" s="5" t="inlineStr">
        <is>
          <t>Drive foto</t>
        </is>
      </c>
      <c r="K456" s="5" t="inlineStr">
        <is>
          <t xml:space="preserve"> [güven: medium]</t>
        </is>
      </c>
    </row>
    <row r="457">
      <c r="A457" s="5" t="inlineStr">
        <is>
          <t>Tare Village Urla</t>
        </is>
      </c>
      <c r="B457" s="5" t="inlineStr">
        <is>
          <t>VTS</t>
        </is>
      </c>
      <c r="C457" s="7" t="n"/>
      <c r="D457" s="6">
        <f>IFERROR(INDEX('Kontrol Adımları'!$D:$D,MATCH(1,INDEX(('Kontrol Adımları'!$A$1:$A$400=B457)*('Kontrol Adımları'!$B$1:$B$400=C457),0),0)),"")</f>
        <v/>
      </c>
      <c r="E457" s="5" t="inlineStr">
        <is>
          <t>lavabo_tas_canak</t>
        </is>
      </c>
      <c r="F457" s="6">
        <f>IFERROR(INDEX('Kalem Kataloğu'!$C$1:$C$1000,MATCH(1,INDEX(('Kalem Kataloğu'!$A$1:$A$1000=A457)*('Kalem Kataloğu'!$B$1:$B$1000=E457),0),0)),"?")</f>
        <v/>
      </c>
      <c r="G457" s="6">
        <f>IFERROR(INDEX('Kalem Kataloğu'!$D$1:$D$1000,MATCH(1,INDEX(('Kalem Kataloğu'!$A$1:$A$1000=A457)*('Kalem Kataloğu'!$B$1:$B$1000=E457),0),0)),"?")</f>
        <v/>
      </c>
      <c r="H457" s="7" t="n">
        <v>1</v>
      </c>
      <c r="I457" s="7" t="inlineStr">
        <is>
          <t>Hayır</t>
        </is>
      </c>
      <c r="J457" s="5" t="inlineStr">
        <is>
          <t>Drive foto</t>
        </is>
      </c>
      <c r="K457" s="5" t="inlineStr">
        <is>
          <t>Tüm odalarda aynı model [güven: high]</t>
        </is>
      </c>
    </row>
    <row r="458">
      <c r="A458" s="5" t="inlineStr">
        <is>
          <t>Tare Village Urla</t>
        </is>
      </c>
      <c r="B458" s="5" t="inlineStr">
        <is>
          <t>VTS</t>
        </is>
      </c>
      <c r="C458" s="7" t="n"/>
      <c r="D458" s="6">
        <f>IFERROR(INDEX('Kontrol Adımları'!$D:$D,MATCH(1,INDEX(('Kontrol Adımları'!$A$1:$A$400=B458)*('Kontrol Adımları'!$B$1:$B$400=C458),0),0)),"")</f>
        <v/>
      </c>
      <c r="E458" s="5" t="inlineStr">
        <is>
          <t>tel_sandalye</t>
        </is>
      </c>
      <c r="F458" s="6">
        <f>IFERROR(INDEX('Kalem Kataloğu'!$C$1:$C$1000,MATCH(1,INDEX(('Kalem Kataloğu'!$A$1:$A$1000=A458)*('Kalem Kataloğu'!$B$1:$B$1000=E458),0),0)),"?")</f>
        <v/>
      </c>
      <c r="G458" s="6">
        <f>IFERROR(INDEX('Kalem Kataloğu'!$D$1:$D$1000,MATCH(1,INDEX(('Kalem Kataloğu'!$A$1:$A$1000=A458)*('Kalem Kataloğu'!$B$1:$B$1000=E458),0),0)),"?")</f>
        <v/>
      </c>
      <c r="H458" s="7" t="n">
        <v>2</v>
      </c>
      <c r="I458" s="7" t="inlineStr">
        <is>
          <t>Hayır</t>
        </is>
      </c>
      <c r="J458" s="5" t="inlineStr">
        <is>
          <t>Drive foto</t>
        </is>
      </c>
      <c r="K458" s="5" t="inlineStr">
        <is>
          <t xml:space="preserve"> [güven: high]</t>
        </is>
      </c>
    </row>
    <row r="459">
      <c r="A459" s="5" t="inlineStr">
        <is>
          <t>Tare Village Urla</t>
        </is>
      </c>
      <c r="B459" s="5" t="inlineStr">
        <is>
          <t>VTS</t>
        </is>
      </c>
      <c r="C459" s="7" t="n"/>
      <c r="D459" s="6">
        <f>IFERROR(INDEX('Kontrol Adımları'!$D:$D,MATCH(1,INDEX(('Kontrol Adımları'!$A$1:$A$400=B459)*('Kontrol Adımları'!$B$1:$B$400=C459),0),0)),"")</f>
        <v/>
      </c>
      <c r="E459" s="5" t="inlineStr">
        <is>
          <t>tuvalet_kagidi_aparati</t>
        </is>
      </c>
      <c r="F459" s="6">
        <f>IFERROR(INDEX('Kalem Kataloğu'!$C$1:$C$1000,MATCH(1,INDEX(('Kalem Kataloğu'!$A$1:$A$1000=A459)*('Kalem Kataloğu'!$B$1:$B$1000=E459),0),0)),"?")</f>
        <v/>
      </c>
      <c r="G459" s="6">
        <f>IFERROR(INDEX('Kalem Kataloğu'!$D$1:$D$1000,MATCH(1,INDEX(('Kalem Kataloğu'!$A$1:$A$1000=A459)*('Kalem Kataloğu'!$B$1:$B$1000=E459),0),0)),"?")</f>
        <v/>
      </c>
      <c r="H459" s="7" t="n">
        <v>1</v>
      </c>
      <c r="I459" s="7" t="inlineStr">
        <is>
          <t>Hayır</t>
        </is>
      </c>
      <c r="J459" s="5" t="inlineStr">
        <is>
          <t>Drive foto</t>
        </is>
      </c>
      <c r="K459" s="5" t="inlineStr">
        <is>
          <t>VSS fotoğrafta görünmüyor [güven: high]</t>
        </is>
      </c>
    </row>
    <row r="460">
      <c r="A460" s="5" t="inlineStr">
        <is>
          <t>Tare Village Urla</t>
        </is>
      </c>
      <c r="B460" s="5" t="inlineStr">
        <is>
          <t>VTS</t>
        </is>
      </c>
      <c r="C460" s="7" t="n"/>
      <c r="D460" s="6">
        <f>IFERROR(INDEX('Kontrol Adımları'!$D:$D,MATCH(1,INDEX(('Kontrol Adımları'!$A$1:$A$400=B460)*('Kontrol Adımları'!$B$1:$B$400=C460),0),0)),"")</f>
        <v/>
      </c>
      <c r="E460" s="5" t="inlineStr">
        <is>
          <t>wc_fircasi</t>
        </is>
      </c>
      <c r="F460" s="6">
        <f>IFERROR(INDEX('Kalem Kataloğu'!$C$1:$C$1000,MATCH(1,INDEX(('Kalem Kataloğu'!$A$1:$A$1000=A460)*('Kalem Kataloğu'!$B$1:$B$1000=E460),0),0)),"?")</f>
        <v/>
      </c>
      <c r="G460" s="6">
        <f>IFERROR(INDEX('Kalem Kataloğu'!$D$1:$D$1000,MATCH(1,INDEX(('Kalem Kataloğu'!$A$1:$A$1000=A460)*('Kalem Kataloğu'!$B$1:$B$1000=E460),0),0)),"?")</f>
        <v/>
      </c>
      <c r="H460" s="7" t="n"/>
      <c r="I460" s="7" t="inlineStr">
        <is>
          <t>Hayır</t>
        </is>
      </c>
      <c r="J460" s="5" t="inlineStr">
        <is>
          <t>Drive foto</t>
        </is>
      </c>
      <c r="K460" s="5" t="inlineStr">
        <is>
          <t xml:space="preserve"> [güven: medium]</t>
        </is>
      </c>
    </row>
    <row r="461">
      <c r="A461" s="5" t="inlineStr">
        <is>
          <t>Tare Village Urla</t>
        </is>
      </c>
      <c r="B461" s="5" t="inlineStr">
        <is>
          <t>VTS</t>
        </is>
      </c>
      <c r="C461" s="7" t="n"/>
      <c r="D461" s="6">
        <f>IFERROR(INDEX('Kontrol Adımları'!$D:$D,MATCH(1,INDEX(('Kontrol Adımları'!$A$1:$A$400=B461)*('Kontrol Adımları'!$B$1:$B$400=C461),0),0)),"")</f>
        <v/>
      </c>
      <c r="E461" s="5" t="inlineStr">
        <is>
          <t>yangin_sondurucu</t>
        </is>
      </c>
      <c r="F461" s="6">
        <f>IFERROR(INDEX('Kalem Kataloğu'!$C$1:$C$1000,MATCH(1,INDEX(('Kalem Kataloğu'!$A$1:$A$1000=A461)*('Kalem Kataloğu'!$B$1:$B$1000=E461),0),0)),"?")</f>
        <v/>
      </c>
      <c r="G461" s="6">
        <f>IFERROR(INDEX('Kalem Kataloğu'!$D$1:$D$1000,MATCH(1,INDEX(('Kalem Kataloğu'!$A$1:$A$1000=A461)*('Kalem Kataloğu'!$B$1:$B$1000=E461),0),0)),"?")</f>
        <v/>
      </c>
      <c r="H461" s="7" t="n"/>
      <c r="I461" s="7" t="inlineStr">
        <is>
          <t>Hayır</t>
        </is>
      </c>
      <c r="J461" s="5" t="inlineStr">
        <is>
          <t>Drive foto</t>
        </is>
      </c>
      <c r="K461" s="5" t="inlineStr">
        <is>
          <t xml:space="preserve"> [güven: high]</t>
        </is>
      </c>
    </row>
    <row r="462">
      <c r="A462" s="5" t="inlineStr">
        <is>
          <t>Tare Village Urla</t>
        </is>
      </c>
      <c r="B462" s="5" t="inlineStr">
        <is>
          <t>VTS</t>
        </is>
      </c>
      <c r="C462" s="7" t="n"/>
      <c r="D462" s="6">
        <f>IFERROR(INDEX('Kontrol Adımları'!$D:$D,MATCH(1,INDEX(('Kontrol Adımları'!$A$1:$A$400=B462)*('Kontrol Adımları'!$B$1:$B$400=C462),0),0)),"")</f>
        <v/>
      </c>
      <c r="E462" s="5" t="inlineStr">
        <is>
          <t>saksi_bitki</t>
        </is>
      </c>
      <c r="F462" s="6">
        <f>IFERROR(INDEX('Kalem Kataloğu'!$C$1:$C$1000,MATCH(1,INDEX(('Kalem Kataloğu'!$A$1:$A$1000=A462)*('Kalem Kataloğu'!$B$1:$B$1000=E462),0),0)),"?")</f>
        <v/>
      </c>
      <c r="G462" s="6">
        <f>IFERROR(INDEX('Kalem Kataloğu'!$D$1:$D$1000,MATCH(1,INDEX(('Kalem Kataloğu'!$A$1:$A$1000=A462)*('Kalem Kataloğu'!$B$1:$B$1000=E462),0),0)),"?")</f>
        <v/>
      </c>
      <c r="H462" s="7" t="n">
        <v>1</v>
      </c>
      <c r="I462" s="7" t="inlineStr">
        <is>
          <t>Hayır</t>
        </is>
      </c>
      <c r="J462" s="5" t="inlineStr">
        <is>
          <t>Drive foto</t>
        </is>
      </c>
      <c r="K462" s="5" t="inlineStr">
        <is>
          <t>VTS bitkisi merdiven sahanlığında [güven: medium]</t>
        </is>
      </c>
    </row>
    <row r="463">
      <c r="A463" s="5" t="inlineStr">
        <is>
          <t>Tare Village Urla</t>
        </is>
      </c>
      <c r="B463" s="5" t="inlineStr">
        <is>
          <t>VTS</t>
        </is>
      </c>
      <c r="C463" s="7" t="n"/>
      <c r="D463" s="6">
        <f>IFERROR(INDEX('Kontrol Adımları'!$D:$D,MATCH(1,INDEX(('Kontrol Adımları'!$A$1:$A$400=B463)*('Kontrol Adımları'!$B$1:$B$400=C463),0),0)),"")</f>
        <v/>
      </c>
      <c r="E463" s="5" t="inlineStr">
        <is>
          <t>yastik</t>
        </is>
      </c>
      <c r="F463" s="6">
        <f>IFERROR(INDEX('Kalem Kataloğu'!$C$1:$C$1000,MATCH(1,INDEX(('Kalem Kataloğu'!$A$1:$A$1000=A463)*('Kalem Kataloğu'!$B$1:$B$1000=E463),0),0)),"?")</f>
        <v/>
      </c>
      <c r="G463" s="6">
        <f>IFERROR(INDEX('Kalem Kataloğu'!$D$1:$D$1000,MATCH(1,INDEX(('Kalem Kataloğu'!$A$1:$A$1000=A463)*('Kalem Kataloğu'!$B$1:$B$1000=E463),0),0)),"?")</f>
        <v/>
      </c>
      <c r="H463" s="7" t="n">
        <v>2</v>
      </c>
      <c r="I463" s="7" t="inlineStr">
        <is>
          <t>Hayır</t>
        </is>
      </c>
      <c r="J463" s="5" t="inlineStr">
        <is>
          <t>Drive foto</t>
        </is>
      </c>
      <c r="K463" s="5" t="inlineStr">
        <is>
          <t xml:space="preserve"> [güven: high]</t>
        </is>
      </c>
    </row>
    <row r="464">
      <c r="A464" s="5" t="inlineStr">
        <is>
          <t>Tare Village Urla</t>
        </is>
      </c>
      <c r="B464" s="5" t="inlineStr">
        <is>
          <t>VTS</t>
        </is>
      </c>
      <c r="C464" s="7" t="n"/>
      <c r="D464" s="6">
        <f>IFERROR(INDEX('Kontrol Adımları'!$D:$D,MATCH(1,INDEX(('Kontrol Adımları'!$A$1:$A$400=B464)*('Kontrol Adımları'!$B$1:$B$400=C464),0),0)),"")</f>
        <v/>
      </c>
      <c r="E464" s="5" t="inlineStr">
        <is>
          <t>yedek_tuvalet_kagidi</t>
        </is>
      </c>
      <c r="F464" s="6">
        <f>IFERROR(INDEX('Kalem Kataloğu'!$C$1:$C$1000,MATCH(1,INDEX(('Kalem Kataloğu'!$A$1:$A$1000=A464)*('Kalem Kataloğu'!$B$1:$B$1000=E464),0),0)),"?")</f>
        <v/>
      </c>
      <c r="G464" s="6">
        <f>IFERROR(INDEX('Kalem Kataloğu'!$D$1:$D$1000,MATCH(1,INDEX(('Kalem Kataloğu'!$A$1:$A$1000=A464)*('Kalem Kataloğu'!$B$1:$B$1000=E464),0),0)),"?")</f>
        <v/>
      </c>
      <c r="H464" s="7" t="n"/>
      <c r="I464" s="7" t="inlineStr">
        <is>
          <t>Hayır</t>
        </is>
      </c>
      <c r="J464" s="5" t="inlineStr">
        <is>
          <t>Drive foto</t>
        </is>
      </c>
      <c r="K464" s="5" t="inlineStr">
        <is>
          <t xml:space="preserve"> [güven: medium]</t>
        </is>
      </c>
    </row>
    <row r="465">
      <c r="A465" s="5" t="inlineStr">
        <is>
          <t>Tare Village Urla</t>
        </is>
      </c>
      <c r="B465" s="5" t="inlineStr">
        <is>
          <t>VTS</t>
        </is>
      </c>
      <c r="C465" s="7" t="n"/>
      <c r="D465" s="6">
        <f>IFERROR(INDEX('Kontrol Adımları'!$D:$D,MATCH(1,INDEX(('Kontrol Adımları'!$A$1:$A$400=B465)*('Kontrol Adımları'!$B$1:$B$400=C465),0),0)),"")</f>
        <v/>
      </c>
      <c r="E465" s="5" t="inlineStr">
        <is>
          <t>yemek_masasi</t>
        </is>
      </c>
      <c r="F465" s="6">
        <f>IFERROR(INDEX('Kalem Kataloğu'!$C$1:$C$1000,MATCH(1,INDEX(('Kalem Kataloğu'!$A$1:$A$1000=A465)*('Kalem Kataloğu'!$B$1:$B$1000=E465),0),0)),"?")</f>
        <v/>
      </c>
      <c r="G465" s="6">
        <f>IFERROR(INDEX('Kalem Kataloğu'!$D$1:$D$1000,MATCH(1,INDEX(('Kalem Kataloğu'!$A$1:$A$1000=A465)*('Kalem Kataloğu'!$B$1:$B$1000=E465),0),0)),"?")</f>
        <v/>
      </c>
      <c r="H465" s="7" t="n">
        <v>1</v>
      </c>
      <c r="I465" s="7" t="inlineStr">
        <is>
          <t>Hayır</t>
        </is>
      </c>
      <c r="J465" s="5" t="inlineStr">
        <is>
          <t>Drive foto</t>
        </is>
      </c>
      <c r="K465" s="5" t="inlineStr">
        <is>
          <t>VTS: masa + bank + 2 tel sandalye [güven: high]</t>
        </is>
      </c>
    </row>
    <row r="466">
      <c r="A466" s="5" t="inlineStr">
        <is>
          <t>Tare Village Urla</t>
        </is>
      </c>
      <c r="B466" s="5" t="inlineStr">
        <is>
          <t>VTS</t>
        </is>
      </c>
      <c r="C466" s="7" t="n"/>
      <c r="D466" s="6">
        <f>IFERROR(INDEX('Kontrol Adımları'!$D:$D,MATCH(1,INDEX(('Kontrol Adımları'!$A$1:$A$400=B466)*('Kontrol Adımları'!$B$1:$B$400=C466),0),0)),"")</f>
        <v/>
      </c>
      <c r="E466" s="5" t="inlineStr">
        <is>
          <t>ayna_yuvarlak</t>
        </is>
      </c>
      <c r="F466" s="6">
        <f>IFERROR(INDEX('Kalem Kataloğu'!$C$1:$C$1000,MATCH(1,INDEX(('Kalem Kataloğu'!$A$1:$A$1000=A466)*('Kalem Kataloğu'!$B$1:$B$1000=E466),0),0)),"?")</f>
        <v/>
      </c>
      <c r="G466" s="6">
        <f>IFERROR(INDEX('Kalem Kataloğu'!$D$1:$D$1000,MATCH(1,INDEX(('Kalem Kataloğu'!$A$1:$A$1000=A466)*('Kalem Kataloğu'!$B$1:$B$1000=E466),0),0)),"?")</f>
        <v/>
      </c>
      <c r="H466" s="7" t="n">
        <v>1</v>
      </c>
      <c r="I466" s="7" t="inlineStr">
        <is>
          <t>Hayır</t>
        </is>
      </c>
      <c r="J466" s="5" t="inlineStr">
        <is>
          <t>Drive foto</t>
        </is>
      </c>
      <c r="K466" s="5" t="inlineStr">
        <is>
          <t xml:space="preserve"> [güven: high]</t>
        </is>
      </c>
    </row>
    <row r="467">
      <c r="A467" s="5" t="inlineStr">
        <is>
          <t>Tare Village Urla</t>
        </is>
      </c>
      <c r="B467" s="5" t="inlineStr">
        <is>
          <t>VTS</t>
        </is>
      </c>
      <c r="C467" s="7" t="n"/>
      <c r="D467" s="6">
        <f>IFERROR(INDEX('Kontrol Adımları'!$D:$D,MATCH(1,INDEX(('Kontrol Adımları'!$A$1:$A$400=B467)*('Kontrol Adımları'!$B$1:$B$400=C467),0),0)),"")</f>
        <v/>
      </c>
      <c r="E467" s="5" t="inlineStr">
        <is>
          <t>cift_kisilik_yatak</t>
        </is>
      </c>
      <c r="F467" s="6">
        <f>IFERROR(INDEX('Kalem Kataloğu'!$C$1:$C$1000,MATCH(1,INDEX(('Kalem Kataloğu'!$A$1:$A$1000=A467)*('Kalem Kataloğu'!$B$1:$B$1000=E467),0),0)),"?")</f>
        <v/>
      </c>
      <c r="G467" s="6">
        <f>IFERROR(INDEX('Kalem Kataloğu'!$D$1:$D$1000,MATCH(1,INDEX(('Kalem Kataloğu'!$A$1:$A$1000=A467)*('Kalem Kataloğu'!$B$1:$B$1000=E467),0),0)),"?")</f>
        <v/>
      </c>
      <c r="H467" s="7" t="n">
        <v>1</v>
      </c>
      <c r="I467" s="7" t="inlineStr">
        <is>
          <t>Hayır</t>
        </is>
      </c>
      <c r="J467" s="5" t="inlineStr">
        <is>
          <t>Drive foto</t>
        </is>
      </c>
      <c r="K467" s="5" t="inlineStr">
        <is>
          <t xml:space="preserve"> [güven: high]</t>
        </is>
      </c>
    </row>
    <row r="468" ht="26.4" customHeight="1">
      <c r="A468" s="5" t="inlineStr">
        <is>
          <t>Tare Village Urla</t>
        </is>
      </c>
      <c r="B468" s="5" t="inlineStr">
        <is>
          <t>VTS</t>
        </is>
      </c>
      <c r="C468" s="7" t="n"/>
      <c r="D468" s="6">
        <f>IFERROR(INDEX('Kontrol Adımları'!$D:$D,MATCH(1,INDEX(('Kontrol Adımları'!$A$1:$A$400=B468)*('Kontrol Adımları'!$B$1:$B$400=C468),0),0)),"")</f>
        <v/>
      </c>
      <c r="E468" s="5" t="inlineStr">
        <is>
          <t>sivi_sabun_dispenseri</t>
        </is>
      </c>
      <c r="F468" s="6">
        <f>IFERROR(INDEX('Kalem Kataloğu'!$C$1:$C$1000,MATCH(1,INDEX(('Kalem Kataloğu'!$A$1:$A$1000=A468)*('Kalem Kataloğu'!$B$1:$B$1000=E468),0),0)),"?")</f>
        <v/>
      </c>
      <c r="G468" s="6">
        <f>IFERROR(INDEX('Kalem Kataloğu'!$D$1:$D$1000,MATCH(1,INDEX(('Kalem Kataloğu'!$A$1:$A$1000=A468)*('Kalem Kataloğu'!$B$1:$B$1000=E468),0),0)),"?")</f>
        <v/>
      </c>
      <c r="H468" s="7" t="n"/>
      <c r="I468" s="7" t="inlineStr">
        <is>
          <t>Hayır</t>
        </is>
      </c>
      <c r="J468" s="5" t="inlineStr">
        <is>
          <t>Drive foto</t>
        </is>
      </c>
      <c r="K468" s="5" t="inlineStr">
        <is>
          <t>Diğer odalarda kadrajda yok [güven: medium]</t>
        </is>
      </c>
    </row>
    <row r="469">
      <c r="A469" s="5" t="inlineStr">
        <is>
          <t>Tare Village Urla</t>
        </is>
      </c>
      <c r="B469" s="5" t="inlineStr">
        <is>
          <t>VTS</t>
        </is>
      </c>
      <c r="C469" s="7" t="n"/>
      <c r="D469" s="6">
        <f>IFERROR(INDEX('Kontrol Adımları'!$D:$D,MATCH(1,INDEX(('Kontrol Adımları'!$A$1:$A$400=B469)*('Kontrol Adımları'!$B$1:$B$400=C469),0),0)),"")</f>
        <v/>
      </c>
      <c r="E469" s="5" t="inlineStr">
        <is>
          <t>sifonyer</t>
        </is>
      </c>
      <c r="F469" s="6">
        <f>IFERROR(INDEX('Kalem Kataloğu'!$C$1:$C$1000,MATCH(1,INDEX(('Kalem Kataloğu'!$A$1:$A$1000=A469)*('Kalem Kataloğu'!$B$1:$B$1000=E469),0),0)),"?")</f>
        <v/>
      </c>
      <c r="G469" s="6">
        <f>IFERROR(INDEX('Kalem Kataloğu'!$D$1:$D$1000,MATCH(1,INDEX(('Kalem Kataloğu'!$A$1:$A$1000=A469)*('Kalem Kataloğu'!$B$1:$B$1000=E469),0),0)),"?")</f>
        <v/>
      </c>
      <c r="H469" s="7" t="n"/>
      <c r="I469" s="7" t="inlineStr">
        <is>
          <t>Hayır</t>
        </is>
      </c>
      <c r="J469" s="5" t="inlineStr">
        <is>
          <t>Drive foto</t>
        </is>
      </c>
      <c r="K469" s="5" t="inlineStr">
        <is>
          <t xml:space="preserve"> [güven: medium]</t>
        </is>
      </c>
    </row>
    <row r="470">
      <c r="A470" s="5" t="inlineStr">
        <is>
          <t>Tiny Houses</t>
        </is>
      </c>
      <c r="B470" s="5" t="inlineStr">
        <is>
          <t>TNY</t>
        </is>
      </c>
      <c r="C470" s="7" t="n"/>
      <c r="D470" s="6">
        <f>IFERROR(INDEX('Kontrol Adımları'!$D:$D,MATCH(1,INDEX(('Kontrol Adımları'!$A$1:$A$400=B470)*('Kontrol Adımları'!$B$1:$B$400=C470),0),0)),"")</f>
        <v/>
      </c>
      <c r="E470" s="5" t="inlineStr">
        <is>
          <t>loft_yatak</t>
        </is>
      </c>
      <c r="F470" s="6">
        <f>IFERROR(INDEX('Kalem Kataloğu'!$C$1:$C$1000,MATCH(1,INDEX(('Kalem Kataloğu'!$A$1:$A$1000=A470)*('Kalem Kataloğu'!$B$1:$B$1000=E470),0),0)),"?")</f>
        <v/>
      </c>
      <c r="G470" s="6">
        <f>IFERROR(INDEX('Kalem Kataloğu'!$D$1:$D$1000,MATCH(1,INDEX(('Kalem Kataloğu'!$A$1:$A$1000=A470)*('Kalem Kataloğu'!$B$1:$B$1000=E470),0),0)),"?")</f>
        <v/>
      </c>
      <c r="H470" s="7" t="n">
        <v>1</v>
      </c>
      <c r="I470" s="7" t="inlineStr">
        <is>
          <t>Hayır</t>
        </is>
      </c>
      <c r="J470" s="5" t="inlineStr">
        <is>
          <t>Drive foto</t>
        </is>
      </c>
      <c r="K470" s="5" t="inlineStr">
        <is>
          <t>Çift kişilik şilte zeminde [güven: high]</t>
        </is>
      </c>
    </row>
    <row r="471" ht="26.4" customHeight="1">
      <c r="A471" s="5" t="inlineStr">
        <is>
          <t>Tiny Houses</t>
        </is>
      </c>
      <c r="B471" s="5" t="inlineStr">
        <is>
          <t>TNY</t>
        </is>
      </c>
      <c r="C471" s="7" t="n"/>
      <c r="D471" s="6">
        <f>IFERROR(INDEX('Kontrol Adımları'!$D:$D,MATCH(1,INDEX(('Kontrol Adımları'!$A$1:$A$400=B471)*('Kontrol Adımları'!$B$1:$B$400=C471),0),0)),"")</f>
        <v/>
      </c>
      <c r="E471" s="5" t="inlineStr">
        <is>
          <t>bahce_masa</t>
        </is>
      </c>
      <c r="F471" s="6">
        <f>IFERROR(INDEX('Kalem Kataloğu'!$C$1:$C$1000,MATCH(1,INDEX(('Kalem Kataloğu'!$A$1:$A$1000=A471)*('Kalem Kataloğu'!$B$1:$B$1000=E471),0),0)),"?")</f>
        <v/>
      </c>
      <c r="G471" s="6">
        <f>IFERROR(INDEX('Kalem Kataloğu'!$D$1:$D$1000,MATCH(1,INDEX(('Kalem Kataloğu'!$A$1:$A$1000=A471)*('Kalem Kataloğu'!$B$1:$B$1000=E471),0),0)),"?")</f>
        <v/>
      </c>
      <c r="H471" s="7" t="n">
        <v>1</v>
      </c>
      <c r="I471" s="7" t="inlineStr">
        <is>
          <t>Hayır</t>
        </is>
      </c>
      <c r="J471" s="5" t="inlineStr">
        <is>
          <t>Drive foto</t>
        </is>
      </c>
      <c r="K471" s="5" t="inlineStr">
        <is>
          <t>Ünitelere göre masa tipi farklı (beyaz plastik sandalyeler de var: 2601) [güven: medium]</t>
        </is>
      </c>
    </row>
    <row r="472" ht="26.4" customHeight="1">
      <c r="A472" s="5" t="inlineStr">
        <is>
          <t>Tiny Houses</t>
        </is>
      </c>
      <c r="B472" s="5" t="inlineStr">
        <is>
          <t>TNY</t>
        </is>
      </c>
      <c r="C472" s="7" t="n"/>
      <c r="D472" s="6">
        <f>IFERROR(INDEX('Kontrol Adımları'!$D:$D,MATCH(1,INDEX(('Kontrol Adımları'!$A$1:$A$400=B472)*('Kontrol Adımları'!$B$1:$B$400=C472),0),0)),"")</f>
        <v/>
      </c>
      <c r="E472" s="5" t="inlineStr">
        <is>
          <t>bahce_sandalye</t>
        </is>
      </c>
      <c r="F472" s="6">
        <f>IFERROR(INDEX('Kalem Kataloğu'!$C$1:$C$1000,MATCH(1,INDEX(('Kalem Kataloğu'!$A$1:$A$1000=A472)*('Kalem Kataloğu'!$B$1:$B$1000=E472),0),0)),"?")</f>
        <v/>
      </c>
      <c r="G472" s="6">
        <f>IFERROR(INDEX('Kalem Kataloğu'!$D$1:$D$1000,MATCH(1,INDEX(('Kalem Kataloğu'!$A$1:$A$1000=A472)*('Kalem Kataloğu'!$B$1:$B$1000=E472),0),0)),"?")</f>
        <v/>
      </c>
      <c r="H472" s="7" t="n"/>
      <c r="I472" s="7" t="inlineStr">
        <is>
          <t>Hayır</t>
        </is>
      </c>
      <c r="J472" s="5" t="inlineStr">
        <is>
          <t>Drive foto</t>
        </is>
      </c>
      <c r="K472" s="5" t="inlineStr">
        <is>
          <t>2607: 4 rattan sandalye; diğer ünitelerde beyaz plastik — ünite başına teyit [güven: medium]</t>
        </is>
      </c>
    </row>
    <row r="473">
      <c r="A473" s="5" t="inlineStr">
        <is>
          <t>Tiny Houses</t>
        </is>
      </c>
      <c r="B473" s="5" t="inlineStr">
        <is>
          <t>TNY</t>
        </is>
      </c>
      <c r="C473" s="7" t="n"/>
      <c r="D473" s="6">
        <f>IFERROR(INDEX('Kontrol Adımları'!$D:$D,MATCH(1,INDEX(('Kontrol Adımları'!$A$1:$A$400=B473)*('Kontrol Adımları'!$B$1:$B$400=C473),0),0)),"")</f>
        <v/>
      </c>
      <c r="E473" s="5" t="inlineStr">
        <is>
          <t>banyo_paspasi</t>
        </is>
      </c>
      <c r="F473" s="6">
        <f>IFERROR(INDEX('Kalem Kataloğu'!$C$1:$C$1000,MATCH(1,INDEX(('Kalem Kataloğu'!$A$1:$A$1000=A473)*('Kalem Kataloğu'!$B$1:$B$1000=E473),0),0)),"?")</f>
        <v/>
      </c>
      <c r="G473" s="6">
        <f>IFERROR(INDEX('Kalem Kataloğu'!$D$1:$D$1000,MATCH(1,INDEX(('Kalem Kataloğu'!$A$1:$A$1000=A473)*('Kalem Kataloğu'!$B$1:$B$1000=E473),0),0)),"?")</f>
        <v/>
      </c>
      <c r="H473" s="7" t="n">
        <v>1</v>
      </c>
      <c r="I473" s="7" t="inlineStr">
        <is>
          <t>Hayır</t>
        </is>
      </c>
      <c r="J473" s="5" t="inlineStr">
        <is>
          <t>Drive foto</t>
        </is>
      </c>
      <c r="K473" s="5" t="inlineStr">
        <is>
          <t xml:space="preserve"> [güven: high]</t>
        </is>
      </c>
    </row>
    <row r="474">
      <c r="A474" s="5" t="inlineStr">
        <is>
          <t>Tiny Houses</t>
        </is>
      </c>
      <c r="B474" s="5" t="inlineStr">
        <is>
          <t>TNY</t>
        </is>
      </c>
      <c r="C474" s="7" t="n"/>
      <c r="D474" s="6">
        <f>IFERROR(INDEX('Kontrol Adımları'!$D:$D,MATCH(1,INDEX(('Kontrol Adımları'!$A$1:$A$400=B474)*('Kontrol Adımları'!$B$1:$B$400=C474),0),0)),"")</f>
        <v/>
      </c>
      <c r="E474" s="5" t="inlineStr">
        <is>
          <t>orta_sehpa</t>
        </is>
      </c>
      <c r="F474" s="6">
        <f>IFERROR(INDEX('Kalem Kataloğu'!$C$1:$C$1000,MATCH(1,INDEX(('Kalem Kataloğu'!$A$1:$A$1000=A474)*('Kalem Kataloğu'!$B$1:$B$1000=E474),0),0)),"?")</f>
        <v/>
      </c>
      <c r="G474" s="6">
        <f>IFERROR(INDEX('Kalem Kataloğu'!$D$1:$D$1000,MATCH(1,INDEX(('Kalem Kataloğu'!$A$1:$A$1000=A474)*('Kalem Kataloğu'!$B$1:$B$1000=E474),0),0)),"?")</f>
        <v/>
      </c>
      <c r="H474" s="7" t="n">
        <v>1</v>
      </c>
      <c r="I474" s="7" t="inlineStr">
        <is>
          <t>Hayır</t>
        </is>
      </c>
      <c r="J474" s="5" t="inlineStr">
        <is>
          <t>Drive foto</t>
        </is>
      </c>
      <c r="K474" s="5" t="inlineStr">
        <is>
          <t xml:space="preserve"> [güven: high]</t>
        </is>
      </c>
    </row>
    <row r="475">
      <c r="A475" s="5" t="inlineStr">
        <is>
          <t>Tiny Houses</t>
        </is>
      </c>
      <c r="B475" s="5" t="inlineStr">
        <is>
          <t>TNY</t>
        </is>
      </c>
      <c r="C475" s="7" t="n"/>
      <c r="D475" s="6">
        <f>IFERROR(INDEX('Kontrol Adımları'!$D:$D,MATCH(1,INDEX(('Kontrol Adımları'!$A$1:$A$400=B475)*('Kontrol Adımları'!$B$1:$B$400=C475),0),0)),"")</f>
        <v/>
      </c>
      <c r="E475" s="5" t="inlineStr">
        <is>
          <t>evye_batarya</t>
        </is>
      </c>
      <c r="F475" s="6">
        <f>IFERROR(INDEX('Kalem Kataloğu'!$C$1:$C$1000,MATCH(1,INDEX(('Kalem Kataloğu'!$A$1:$A$1000=A475)*('Kalem Kataloğu'!$B$1:$B$1000=E475),0),0)),"?")</f>
        <v/>
      </c>
      <c r="G475" s="6">
        <f>IFERROR(INDEX('Kalem Kataloğu'!$D$1:$D$1000,MATCH(1,INDEX(('Kalem Kataloğu'!$A$1:$A$1000=A475)*('Kalem Kataloğu'!$B$1:$B$1000=E475),0),0)),"?")</f>
        <v/>
      </c>
      <c r="H475" s="7" t="n">
        <v>1</v>
      </c>
      <c r="I475" s="7" t="inlineStr">
        <is>
          <t>Hayır</t>
        </is>
      </c>
      <c r="J475" s="5" t="inlineStr">
        <is>
          <t>Drive foto</t>
        </is>
      </c>
      <c r="K475" s="5" t="inlineStr">
        <is>
          <t xml:space="preserve"> [güven: high]</t>
        </is>
      </c>
    </row>
    <row r="476" ht="26.4" customHeight="1">
      <c r="A476" s="5" t="inlineStr">
        <is>
          <t>Tiny Houses</t>
        </is>
      </c>
      <c r="B476" s="5" t="inlineStr">
        <is>
          <t>TNY</t>
        </is>
      </c>
      <c r="C476" s="7" t="n"/>
      <c r="D476" s="6">
        <f>IFERROR(INDEX('Kontrol Adımları'!$D:$D,MATCH(1,INDEX(('Kontrol Adımları'!$A$1:$A$400=B476)*('Kontrol Adımları'!$B$1:$B$400=C476),0),0)),"")</f>
        <v/>
      </c>
      <c r="E476" s="5" t="inlineStr">
        <is>
          <t>hali</t>
        </is>
      </c>
      <c r="F476" s="6">
        <f>IFERROR(INDEX('Kalem Kataloğu'!$C$1:$C$1000,MATCH(1,INDEX(('Kalem Kataloğu'!$A$1:$A$1000=A476)*('Kalem Kataloğu'!$B$1:$B$1000=E476),0),0)),"?")</f>
        <v/>
      </c>
      <c r="G476" s="6">
        <f>IFERROR(INDEX('Kalem Kataloğu'!$D$1:$D$1000,MATCH(1,INDEX(('Kalem Kataloğu'!$A$1:$A$1000=A476)*('Kalem Kataloğu'!$B$1:$B$1000=E476),0),0)),"?")</f>
        <v/>
      </c>
      <c r="H476" s="7" t="n"/>
      <c r="I476" s="7" t="inlineStr">
        <is>
          <t>Hayır</t>
        </is>
      </c>
      <c r="J476" s="5" t="inlineStr">
        <is>
          <t>Drive foto</t>
        </is>
      </c>
      <c r="K476" s="5" t="inlineStr">
        <is>
          <t>Loft ve yatak yanında; adet ünite başına teyit [güven: medium]</t>
        </is>
      </c>
    </row>
    <row r="477">
      <c r="A477" s="5" t="inlineStr">
        <is>
          <t>Tiny Houses</t>
        </is>
      </c>
      <c r="B477" s="5" t="inlineStr">
        <is>
          <t>TNY</t>
        </is>
      </c>
      <c r="C477" s="7" t="n"/>
      <c r="D477" s="6">
        <f>IFERROR(INDEX('Kontrol Adımları'!$D:$D,MATCH(1,INDEX(('Kontrol Adımları'!$A$1:$A$400=B477)*('Kontrol Adımları'!$B$1:$B$400=C477),0),0)),"")</f>
        <v/>
      </c>
      <c r="E477" s="5" t="inlineStr">
        <is>
          <t>duvar_tv</t>
        </is>
      </c>
      <c r="F477" s="6">
        <f>IFERROR(INDEX('Kalem Kataloğu'!$C$1:$C$1000,MATCH(1,INDEX(('Kalem Kataloğu'!$A$1:$A$1000=A477)*('Kalem Kataloğu'!$B$1:$B$1000=E477),0),0)),"?")</f>
        <v/>
      </c>
      <c r="G477" s="6">
        <f>IFERROR(INDEX('Kalem Kataloğu'!$D$1:$D$1000,MATCH(1,INDEX(('Kalem Kataloğu'!$A$1:$A$1000=A477)*('Kalem Kataloğu'!$B$1:$B$1000=E477),0),0)),"?")</f>
        <v/>
      </c>
      <c r="H477" s="7" t="n">
        <v>1</v>
      </c>
      <c r="I477" s="7" t="inlineStr">
        <is>
          <t>Hayır</t>
        </is>
      </c>
      <c r="J477" s="5" t="inlineStr">
        <is>
          <t>Drive foto</t>
        </is>
      </c>
      <c r="K477" s="5" t="inlineStr">
        <is>
          <t xml:space="preserve"> [güven: high]</t>
        </is>
      </c>
    </row>
    <row r="478">
      <c r="A478" s="5" t="inlineStr">
        <is>
          <t>Tiny Houses</t>
        </is>
      </c>
      <c r="B478" s="5" t="inlineStr">
        <is>
          <t>TNY</t>
        </is>
      </c>
      <c r="C478" s="7" t="n"/>
      <c r="D478" s="6">
        <f>IFERROR(INDEX('Kontrol Adımları'!$D:$D,MATCH(1,INDEX(('Kontrol Adımları'!$A$1:$A$400=B478)*('Kontrol Adımları'!$B$1:$B$400=C478),0),0)),"")</f>
        <v/>
      </c>
      <c r="E478" s="5" t="inlineStr">
        <is>
          <t>hasir_supla</t>
        </is>
      </c>
      <c r="F478" s="6">
        <f>IFERROR(INDEX('Kalem Kataloğu'!$C$1:$C$1000,MATCH(1,INDEX(('Kalem Kataloğu'!$A$1:$A$1000=A478)*('Kalem Kataloğu'!$B$1:$B$1000=E478),0),0)),"?")</f>
        <v/>
      </c>
      <c r="G478" s="6">
        <f>IFERROR(INDEX('Kalem Kataloğu'!$D$1:$D$1000,MATCH(1,INDEX(('Kalem Kataloğu'!$A$1:$A$1000=A478)*('Kalem Kataloğu'!$B$1:$B$1000=E478),0),0)),"?")</f>
        <v/>
      </c>
      <c r="H478" s="7" t="n">
        <v>1</v>
      </c>
      <c r="I478" s="7" t="inlineStr">
        <is>
          <t>Hayır</t>
        </is>
      </c>
      <c r="J478" s="5" t="inlineStr">
        <is>
          <t>Drive foto</t>
        </is>
      </c>
      <c r="K478" s="5" t="inlineStr">
        <is>
          <t xml:space="preserve"> [güven: high]</t>
        </is>
      </c>
    </row>
    <row r="479">
      <c r="A479" s="5" t="inlineStr">
        <is>
          <t>Tiny Houses</t>
        </is>
      </c>
      <c r="B479" s="5" t="inlineStr">
        <is>
          <t>TNY</t>
        </is>
      </c>
      <c r="C479" s="7" t="n"/>
      <c r="D479" s="6">
        <f>IFERROR(INDEX('Kontrol Adımları'!$D:$D,MATCH(1,INDEX(('Kontrol Adımları'!$A$1:$A$400=B479)*('Kontrol Adımları'!$B$1:$B$400=C479),0),0)),"")</f>
        <v/>
      </c>
      <c r="E479" s="5" t="inlineStr">
        <is>
          <t>isikli_ayna</t>
        </is>
      </c>
      <c r="F479" s="6">
        <f>IFERROR(INDEX('Kalem Kataloğu'!$C$1:$C$1000,MATCH(1,INDEX(('Kalem Kataloğu'!$A$1:$A$1000=A479)*('Kalem Kataloğu'!$B$1:$B$1000=E479),0),0)),"?")</f>
        <v/>
      </c>
      <c r="G479" s="6">
        <f>IFERROR(INDEX('Kalem Kataloğu'!$D$1:$D$1000,MATCH(1,INDEX(('Kalem Kataloğu'!$A$1:$A$1000=A479)*('Kalem Kataloğu'!$B$1:$B$1000=E479),0),0)),"?")</f>
        <v/>
      </c>
      <c r="H479" s="7" t="n">
        <v>1</v>
      </c>
      <c r="I479" s="7" t="inlineStr">
        <is>
          <t>Hayır</t>
        </is>
      </c>
      <c r="J479" s="5" t="inlineStr">
        <is>
          <t>Drive foto</t>
        </is>
      </c>
      <c r="K479" s="5" t="inlineStr">
        <is>
          <t xml:space="preserve"> [güven: high]</t>
        </is>
      </c>
    </row>
    <row r="480">
      <c r="A480" s="5" t="inlineStr">
        <is>
          <t>Tiny Houses</t>
        </is>
      </c>
      <c r="B480" s="5" t="inlineStr">
        <is>
          <t>TNY</t>
        </is>
      </c>
      <c r="C480" s="7" t="n"/>
      <c r="D480" s="6">
        <f>IFERROR(INDEX('Kontrol Adımları'!$D:$D,MATCH(1,INDEX(('Kontrol Adımları'!$A$1:$A$400=B480)*('Kontrol Adımları'!$B$1:$B$400=C480),0),0)),"")</f>
        <v/>
      </c>
      <c r="E480" s="5" t="inlineStr">
        <is>
          <t>kanepe</t>
        </is>
      </c>
      <c r="F480" s="6">
        <f>IFERROR(INDEX('Kalem Kataloğu'!$C$1:$C$1000,MATCH(1,INDEX(('Kalem Kataloğu'!$A$1:$A$1000=A480)*('Kalem Kataloğu'!$B$1:$B$1000=E480),0),0)),"?")</f>
        <v/>
      </c>
      <c r="G480" s="6">
        <f>IFERROR(INDEX('Kalem Kataloğu'!$D$1:$D$1000,MATCH(1,INDEX(('Kalem Kataloğu'!$A$1:$A$1000=A480)*('Kalem Kataloğu'!$B$1:$B$1000=E480),0),0)),"?")</f>
        <v/>
      </c>
      <c r="H480" s="7" t="n">
        <v>1</v>
      </c>
      <c r="I480" s="7" t="inlineStr">
        <is>
          <t>Hayır</t>
        </is>
      </c>
      <c r="J480" s="5" t="inlineStr">
        <is>
          <t>Drive foto</t>
        </is>
      </c>
      <c r="K480" s="5" t="inlineStr">
        <is>
          <t xml:space="preserve"> [güven: high]</t>
        </is>
      </c>
    </row>
    <row r="481">
      <c r="A481" s="5" t="inlineStr">
        <is>
          <t>Tiny Houses</t>
        </is>
      </c>
      <c r="B481" s="5" t="inlineStr">
        <is>
          <t>TNY</t>
        </is>
      </c>
      <c r="C481" s="7" t="n"/>
      <c r="D481" s="6">
        <f>IFERROR(INDEX('Kontrol Adımları'!$D:$D,MATCH(1,INDEX(('Kontrol Adımları'!$A$1:$A$400=B481)*('Kontrol Adımları'!$B$1:$B$400=C481),0),0)),"")</f>
        <v/>
      </c>
      <c r="E481" s="5" t="inlineStr">
        <is>
          <t>klozet</t>
        </is>
      </c>
      <c r="F481" s="6">
        <f>IFERROR(INDEX('Kalem Kataloğu'!$C$1:$C$1000,MATCH(1,INDEX(('Kalem Kataloğu'!$A$1:$A$1000=A481)*('Kalem Kataloğu'!$B$1:$B$1000=E481),0),0)),"?")</f>
        <v/>
      </c>
      <c r="G481" s="6">
        <f>IFERROR(INDEX('Kalem Kataloğu'!$D$1:$D$1000,MATCH(1,INDEX(('Kalem Kataloğu'!$A$1:$A$1000=A481)*('Kalem Kataloğu'!$B$1:$B$1000=E481),0),0)),"?")</f>
        <v/>
      </c>
      <c r="H481" s="7" t="n">
        <v>1</v>
      </c>
      <c r="I481" s="7" t="inlineStr">
        <is>
          <t>Hayır</t>
        </is>
      </c>
      <c r="J481" s="5" t="inlineStr">
        <is>
          <t>Drive foto</t>
        </is>
      </c>
      <c r="K481" s="5" t="inlineStr">
        <is>
          <t>Kenarda kısmen görünüyor [güven: medium]</t>
        </is>
      </c>
    </row>
    <row r="482">
      <c r="A482" s="5" t="inlineStr">
        <is>
          <t>Tiny Houses</t>
        </is>
      </c>
      <c r="B482" s="5" t="inlineStr">
        <is>
          <t>TNY</t>
        </is>
      </c>
      <c r="C482" s="7" t="n"/>
      <c r="D482" s="6">
        <f>IFERROR(INDEX('Kontrol Adımları'!$D:$D,MATCH(1,INDEX(('Kontrol Adımları'!$A$1:$A$400=B482)*('Kontrol Adımları'!$B$1:$B$400=C482),0),0)),"")</f>
        <v/>
      </c>
      <c r="E482" s="5" t="inlineStr">
        <is>
          <t>kumanda</t>
        </is>
      </c>
      <c r="F482" s="6">
        <f>IFERROR(INDEX('Kalem Kataloğu'!$C$1:$C$1000,MATCH(1,INDEX(('Kalem Kataloğu'!$A$1:$A$1000=A482)*('Kalem Kataloğu'!$B$1:$B$1000=E482),0),0)),"?")</f>
        <v/>
      </c>
      <c r="G482" s="6">
        <f>IFERROR(INDEX('Kalem Kataloğu'!$D$1:$D$1000,MATCH(1,INDEX(('Kalem Kataloğu'!$A$1:$A$1000=A482)*('Kalem Kataloğu'!$B$1:$B$1000=E482),0),0)),"?")</f>
        <v/>
      </c>
      <c r="H482" s="7" t="n">
        <v>2</v>
      </c>
      <c r="I482" s="7" t="inlineStr">
        <is>
          <t>Hayır</t>
        </is>
      </c>
      <c r="J482" s="5" t="inlineStr">
        <is>
          <t>Drive foto</t>
        </is>
      </c>
      <c r="K482" s="5" t="inlineStr">
        <is>
          <t xml:space="preserve"> [güven: high]</t>
        </is>
      </c>
    </row>
    <row r="483">
      <c r="A483" s="5" t="inlineStr">
        <is>
          <t>Tiny Houses</t>
        </is>
      </c>
      <c r="B483" s="5" t="inlineStr">
        <is>
          <t>TNY</t>
        </is>
      </c>
      <c r="C483" s="7" t="n"/>
      <c r="D483" s="6">
        <f>IFERROR(INDEX('Kontrol Adımları'!$D:$D,MATCH(1,INDEX(('Kontrol Adımları'!$A$1:$A$400=B483)*('Kontrol Adımları'!$B$1:$B$400=C483),0),0)),"")</f>
        <v/>
      </c>
      <c r="E483" s="5" t="inlineStr">
        <is>
          <t>lavabo_dolabi</t>
        </is>
      </c>
      <c r="F483" s="6">
        <f>IFERROR(INDEX('Kalem Kataloğu'!$C$1:$C$1000,MATCH(1,INDEX(('Kalem Kataloğu'!$A$1:$A$1000=A483)*('Kalem Kataloğu'!$B$1:$B$1000=E483),0),0)),"?")</f>
        <v/>
      </c>
      <c r="G483" s="6">
        <f>IFERROR(INDEX('Kalem Kataloğu'!$D$1:$D$1000,MATCH(1,INDEX(('Kalem Kataloğu'!$A$1:$A$1000=A483)*('Kalem Kataloğu'!$B$1:$B$1000=E483),0),0)),"?")</f>
        <v/>
      </c>
      <c r="H483" s="7" t="n">
        <v>1</v>
      </c>
      <c r="I483" s="7" t="inlineStr">
        <is>
          <t>Hayır</t>
        </is>
      </c>
      <c r="J483" s="5" t="inlineStr">
        <is>
          <t>Drive foto</t>
        </is>
      </c>
      <c r="K483" s="5" t="inlineStr">
        <is>
          <t xml:space="preserve"> [güven: high]</t>
        </is>
      </c>
    </row>
    <row r="484">
      <c r="A484" s="5" t="inlineStr">
        <is>
          <t>Tiny Houses</t>
        </is>
      </c>
      <c r="B484" s="5" t="inlineStr">
        <is>
          <t>TNY</t>
        </is>
      </c>
      <c r="C484" s="7" t="n"/>
      <c r="D484" s="6">
        <f>IFERROR(INDEX('Kontrol Adımları'!$D:$D,MATCH(1,INDEX(('Kontrol Adımları'!$A$1:$A$400=B484)*('Kontrol Adımları'!$B$1:$B$400=C484),0),0)),"")</f>
        <v/>
      </c>
      <c r="E484" s="5" t="inlineStr">
        <is>
          <t>dus_kabini</t>
        </is>
      </c>
      <c r="F484" s="6">
        <f>IFERROR(INDEX('Kalem Kataloğu'!$C$1:$C$1000,MATCH(1,INDEX(('Kalem Kataloğu'!$A$1:$A$1000=A484)*('Kalem Kataloğu'!$B$1:$B$1000=E484),0),0)),"?")</f>
        <v/>
      </c>
      <c r="G484" s="6">
        <f>IFERROR(INDEX('Kalem Kataloğu'!$D$1:$D$1000,MATCH(1,INDEX(('Kalem Kataloğu'!$A$1:$A$1000=A484)*('Kalem Kataloğu'!$B$1:$B$1000=E484),0),0)),"?")</f>
        <v/>
      </c>
      <c r="H484" s="7" t="n">
        <v>1</v>
      </c>
      <c r="I484" s="7" t="inlineStr">
        <is>
          <t>Hayır</t>
        </is>
      </c>
      <c r="J484" s="5" t="inlineStr">
        <is>
          <t>Drive foto</t>
        </is>
      </c>
      <c r="K484" s="5" t="inlineStr">
        <is>
          <t xml:space="preserve"> [güven: high]</t>
        </is>
      </c>
    </row>
    <row r="485">
      <c r="A485" s="5" t="inlineStr">
        <is>
          <t>Tiny Houses</t>
        </is>
      </c>
      <c r="B485" s="5" t="inlineStr">
        <is>
          <t>TNY</t>
        </is>
      </c>
      <c r="C485" s="7" t="n"/>
      <c r="D485" s="6">
        <f>IFERROR(INDEX('Kontrol Adımları'!$D:$D,MATCH(1,INDEX(('Kontrol Adımları'!$A$1:$A$400=B485)*('Kontrol Adımları'!$B$1:$B$400=C485),0),0)),"")</f>
        <v/>
      </c>
      <c r="E485" s="5" t="inlineStr">
        <is>
          <t>klima</t>
        </is>
      </c>
      <c r="F485" s="6">
        <f>IFERROR(INDEX('Kalem Kataloğu'!$C$1:$C$1000,MATCH(1,INDEX(('Kalem Kataloğu'!$A$1:$A$1000=A485)*('Kalem Kataloğu'!$B$1:$B$1000=E485),0),0)),"?")</f>
        <v/>
      </c>
      <c r="G485" s="6">
        <f>IFERROR(INDEX('Kalem Kataloğu'!$D$1:$D$1000,MATCH(1,INDEX(('Kalem Kataloğu'!$A$1:$A$1000=A485)*('Kalem Kataloğu'!$B$1:$B$1000=E485),0),0)),"?")</f>
        <v/>
      </c>
      <c r="H485" s="7" t="n">
        <v>1</v>
      </c>
      <c r="I485" s="7" t="inlineStr">
        <is>
          <t>Hayır</t>
        </is>
      </c>
      <c r="J485" s="5" t="inlineStr">
        <is>
          <t>Drive foto</t>
        </is>
      </c>
      <c r="K485" s="5" t="inlineStr">
        <is>
          <t xml:space="preserve"> [güven: high]</t>
        </is>
      </c>
    </row>
    <row r="486">
      <c r="A486" s="5" t="inlineStr">
        <is>
          <t>Tiny Houses</t>
        </is>
      </c>
      <c r="B486" s="5" t="inlineStr">
        <is>
          <t>TNY</t>
        </is>
      </c>
      <c r="C486" s="7" t="n"/>
      <c r="D486" s="6">
        <f>IFERROR(INDEX('Kontrol Adımları'!$D:$D,MATCH(1,INDEX(('Kontrol Adımları'!$A$1:$A$400=B486)*('Kontrol Adımları'!$B$1:$B$400=C486),0),0)),"")</f>
        <v/>
      </c>
      <c r="E486" s="5" t="inlineStr">
        <is>
          <t>sivi_sabun</t>
        </is>
      </c>
      <c r="F486" s="6">
        <f>IFERROR(INDEX('Kalem Kataloğu'!$C$1:$C$1000,MATCH(1,INDEX(('Kalem Kataloğu'!$A$1:$A$1000=A486)*('Kalem Kataloğu'!$B$1:$B$1000=E486),0),0)),"?")</f>
        <v/>
      </c>
      <c r="G486" s="6">
        <f>IFERROR(INDEX('Kalem Kataloğu'!$D$1:$D$1000,MATCH(1,INDEX(('Kalem Kataloğu'!$A$1:$A$1000=A486)*('Kalem Kataloğu'!$B$1:$B$1000=E486),0),0)),"?")</f>
        <v/>
      </c>
      <c r="H486" s="7" t="n">
        <v>1</v>
      </c>
      <c r="I486" s="7" t="inlineStr">
        <is>
          <t>Hayır</t>
        </is>
      </c>
      <c r="J486" s="5" t="inlineStr">
        <is>
          <t>Drive foto</t>
        </is>
      </c>
      <c r="K486" s="5" t="inlineStr">
        <is>
          <t xml:space="preserve"> [güven: high]</t>
        </is>
      </c>
    </row>
    <row r="487" ht="39.6" customHeight="1">
      <c r="A487" s="5" t="inlineStr">
        <is>
          <t>Tiny Houses</t>
        </is>
      </c>
      <c r="B487" s="5" t="inlineStr">
        <is>
          <t>TNY</t>
        </is>
      </c>
      <c r="C487" s="7" t="n"/>
      <c r="D487" s="6">
        <f>IFERROR(INDEX('Kontrol Adımları'!$D:$D,MATCH(1,INDEX(('Kontrol Adımları'!$A$1:$A$400=B487)*('Kontrol Adımları'!$B$1:$B$400=C487),0),0)),"")</f>
        <v/>
      </c>
      <c r="E487" s="5" t="inlineStr">
        <is>
          <t>mini_ocak</t>
        </is>
      </c>
      <c r="F487" s="6">
        <f>IFERROR(INDEX('Kalem Kataloğu'!$C$1:$C$1000,MATCH(1,INDEX(('Kalem Kataloğu'!$A$1:$A$1000=A487)*('Kalem Kataloğu'!$B$1:$B$1000=E487),0),0)),"?")</f>
        <v/>
      </c>
      <c r="G487" s="6">
        <f>IFERROR(INDEX('Kalem Kataloğu'!$D$1:$D$1000,MATCH(1,INDEX(('Kalem Kataloğu'!$A$1:$A$1000=A487)*('Kalem Kataloğu'!$B$1:$B$1000=E487),0),0)),"?")</f>
        <v/>
      </c>
      <c r="H487" s="7" t="n">
        <v>1</v>
      </c>
      <c r="I487" s="7" t="inlineStr">
        <is>
          <t>Hayır</t>
        </is>
      </c>
      <c r="J487" s="5" t="inlineStr">
        <is>
          <t>Drive foto</t>
        </is>
      </c>
      <c r="K487" s="5" t="inlineStr">
        <is>
          <t>Özellik dosyasında Tiny House için Ocak "-" ama fotoğrafta tezgahta tek göz ocak var — teyit [güven: medium]</t>
        </is>
      </c>
    </row>
    <row r="488">
      <c r="A488" s="5" t="inlineStr">
        <is>
          <t>Tiny Houses</t>
        </is>
      </c>
      <c r="B488" s="5" t="inlineStr">
        <is>
          <t>TNY</t>
        </is>
      </c>
      <c r="C488" s="7" t="n"/>
      <c r="D488" s="6">
        <f>IFERROR(INDEX('Kontrol Adımları'!$D:$D,MATCH(1,INDEX(('Kontrol Adımları'!$A$1:$A$400=B488)*('Kontrol Adımları'!$B$1:$B$400=C488),0),0)),"")</f>
        <v/>
      </c>
      <c r="E488" s="5" t="inlineStr">
        <is>
          <t>tuvalet_kagidi</t>
        </is>
      </c>
      <c r="F488" s="6">
        <f>IFERROR(INDEX('Kalem Kataloğu'!$C$1:$C$1000,MATCH(1,INDEX(('Kalem Kataloğu'!$A$1:$A$1000=A488)*('Kalem Kataloğu'!$B$1:$B$1000=E488),0),0)),"?")</f>
        <v/>
      </c>
      <c r="G488" s="6">
        <f>IFERROR(INDEX('Kalem Kataloğu'!$D$1:$D$1000,MATCH(1,INDEX(('Kalem Kataloğu'!$A$1:$A$1000=A488)*('Kalem Kataloğu'!$B$1:$B$1000=E488),0),0)),"?")</f>
        <v/>
      </c>
      <c r="H488" s="7" t="n">
        <v>1</v>
      </c>
      <c r="I488" s="7" t="inlineStr">
        <is>
          <t>Hayır</t>
        </is>
      </c>
      <c r="J488" s="5" t="inlineStr">
        <is>
          <t>Drive foto</t>
        </is>
      </c>
      <c r="K488" s="5" t="inlineStr">
        <is>
          <t xml:space="preserve"> [güven: high]</t>
        </is>
      </c>
    </row>
    <row r="489">
      <c r="A489" s="5" t="inlineStr">
        <is>
          <t>Tiny Houses</t>
        </is>
      </c>
      <c r="B489" s="5" t="inlineStr">
        <is>
          <t>TNY</t>
        </is>
      </c>
      <c r="C489" s="7" t="n"/>
      <c r="D489" s="6">
        <f>IFERROR(INDEX('Kontrol Adımları'!$D:$D,MATCH(1,INDEX(('Kontrol Adımları'!$A$1:$A$400=B489)*('Kontrol Adımları'!$B$1:$B$400=C489),0),0)),"")</f>
        <v/>
      </c>
      <c r="E489" s="5" t="inlineStr">
        <is>
          <t>tuvalet_kagidi_aparati</t>
        </is>
      </c>
      <c r="F489" s="6">
        <f>IFERROR(INDEX('Kalem Kataloğu'!$C$1:$C$1000,MATCH(1,INDEX(('Kalem Kataloğu'!$A$1:$A$1000=A489)*('Kalem Kataloğu'!$B$1:$B$1000=E489),0),0)),"?")</f>
        <v/>
      </c>
      <c r="G489" s="6">
        <f>IFERROR(INDEX('Kalem Kataloğu'!$D$1:$D$1000,MATCH(1,INDEX(('Kalem Kataloğu'!$A$1:$A$1000=A489)*('Kalem Kataloğu'!$B$1:$B$1000=E489),0),0)),"?")</f>
        <v/>
      </c>
      <c r="H489" s="7" t="n">
        <v>1</v>
      </c>
      <c r="I489" s="7" t="inlineStr">
        <is>
          <t>Hayır</t>
        </is>
      </c>
      <c r="J489" s="5" t="inlineStr">
        <is>
          <t>Drive foto</t>
        </is>
      </c>
      <c r="K489" s="5" t="inlineStr">
        <is>
          <t xml:space="preserve"> [güven: high]</t>
        </is>
      </c>
    </row>
    <row r="490">
      <c r="A490" s="5" t="inlineStr">
        <is>
          <t>Tiny Houses</t>
        </is>
      </c>
      <c r="B490" s="5" t="inlineStr">
        <is>
          <t>TNY</t>
        </is>
      </c>
      <c r="C490" s="7" t="n"/>
      <c r="D490" s="6">
        <f>IFERROR(INDEX('Kontrol Adımları'!$D:$D,MATCH(1,INDEX(('Kontrol Adımları'!$A$1:$A$400=B490)*('Kontrol Adımları'!$B$1:$B$400=C490),0),0)),"")</f>
        <v/>
      </c>
      <c r="E490" s="5" t="inlineStr">
        <is>
          <t>yangin_sondurucu</t>
        </is>
      </c>
      <c r="F490" s="6">
        <f>IFERROR(INDEX('Kalem Kataloğu'!$C$1:$C$1000,MATCH(1,INDEX(('Kalem Kataloğu'!$A$1:$A$1000=A490)*('Kalem Kataloğu'!$B$1:$B$1000=E490),0),0)),"?")</f>
        <v/>
      </c>
      <c r="G490" s="6">
        <f>IFERROR(INDEX('Kalem Kataloğu'!$D$1:$D$1000,MATCH(1,INDEX(('Kalem Kataloğu'!$A$1:$A$1000=A490)*('Kalem Kataloğu'!$B$1:$B$1000=E490),0),0)),"?")</f>
        <v/>
      </c>
      <c r="H490" s="7" t="n">
        <v>1</v>
      </c>
      <c r="I490" s="7" t="inlineStr">
        <is>
          <t>Hayır</t>
        </is>
      </c>
      <c r="J490" s="5" t="inlineStr">
        <is>
          <t>Drive foto</t>
        </is>
      </c>
      <c r="K490" s="5" t="inlineStr">
        <is>
          <t>Deck yanında kırmızı tüp [güven: medium]</t>
        </is>
      </c>
    </row>
    <row r="491" ht="26.4" customHeight="1">
      <c r="A491" s="5" t="inlineStr">
        <is>
          <t>Tiny Houses</t>
        </is>
      </c>
      <c r="B491" s="5" t="inlineStr">
        <is>
          <t>TNY</t>
        </is>
      </c>
      <c r="C491" s="7" t="n"/>
      <c r="D491" s="6">
        <f>IFERROR(INDEX('Kontrol Adımları'!$D:$D,MATCH(1,INDEX(('Kontrol Adımları'!$A$1:$A$400=B491)*('Kontrol Adımları'!$B$1:$B$400=C491),0),0)),"")</f>
        <v/>
      </c>
      <c r="E491" s="5" t="inlineStr">
        <is>
          <t>yastik</t>
        </is>
      </c>
      <c r="F491" s="6">
        <f>IFERROR(INDEX('Kalem Kataloğu'!$C$1:$C$1000,MATCH(1,INDEX(('Kalem Kataloğu'!$A$1:$A$1000=A491)*('Kalem Kataloğu'!$B$1:$B$1000=E491),0),0)),"?")</f>
        <v/>
      </c>
      <c r="G491" s="6">
        <f>IFERROR(INDEX('Kalem Kataloğu'!$D$1:$D$1000,MATCH(1,INDEX(('Kalem Kataloğu'!$A$1:$A$1000=A491)*('Kalem Kataloğu'!$B$1:$B$1000=E491),0),0)),"?")</f>
        <v/>
      </c>
      <c r="H491" s="7" t="n"/>
      <c r="I491" s="7" t="inlineStr">
        <is>
          <t>Hayır</t>
        </is>
      </c>
      <c r="J491" s="5" t="inlineStr">
        <is>
          <t>Drive foto</t>
        </is>
      </c>
      <c r="K491" s="5" t="inlineStr">
        <is>
          <t>Her yatakta 2; toplam üniteye göre 2-4 [güven: medium]</t>
        </is>
      </c>
    </row>
    <row r="492">
      <c r="A492" s="5" t="inlineStr">
        <is>
          <t>Tiny Houses</t>
        </is>
      </c>
      <c r="B492" s="5" t="inlineStr">
        <is>
          <t>TNY</t>
        </is>
      </c>
      <c r="C492" s="7" t="n"/>
      <c r="D492" s="6">
        <f>IFERROR(INDEX('Kontrol Adımları'!$D:$D,MATCH(1,INDEX(('Kontrol Adımları'!$A$1:$A$400=B492)*('Kontrol Adımları'!$B$1:$B$400=C492),0),0)),"")</f>
        <v/>
      </c>
      <c r="E492" s="5" t="inlineStr">
        <is>
          <t>zebra_perde</t>
        </is>
      </c>
      <c r="F492" s="6">
        <f>IFERROR(INDEX('Kalem Kataloğu'!$C$1:$C$1000,MATCH(1,INDEX(('Kalem Kataloğu'!$A$1:$A$1000=A492)*('Kalem Kataloğu'!$B$1:$B$1000=E492),0),0)),"?")</f>
        <v/>
      </c>
      <c r="G492" s="6">
        <f>IFERROR(INDEX('Kalem Kataloğu'!$D$1:$D$1000,MATCH(1,INDEX(('Kalem Kataloğu'!$A$1:$A$1000=A492)*('Kalem Kataloğu'!$B$1:$B$1000=E492),0),0)),"?")</f>
        <v/>
      </c>
      <c r="H492" s="7" t="n"/>
      <c r="I492" s="7" t="inlineStr">
        <is>
          <t>Hayır</t>
        </is>
      </c>
      <c r="J492" s="5" t="inlineStr">
        <is>
          <t>Drive foto</t>
        </is>
      </c>
      <c r="K492" s="5" t="inlineStr">
        <is>
          <t>Pencere sayısı kadar [güven: medium]</t>
        </is>
      </c>
    </row>
    <row r="493" ht="26.4" customHeight="1">
      <c r="A493" s="5" t="inlineStr">
        <is>
          <t>Tiny Houses</t>
        </is>
      </c>
      <c r="B493" s="5" t="inlineStr">
        <is>
          <t>TNY</t>
        </is>
      </c>
      <c r="C493" s="7" t="n"/>
      <c r="D493" s="6">
        <f>IFERROR(INDEX('Kontrol Adımları'!$D:$D,MATCH(1,INDEX(('Kontrol Adımları'!$A$1:$A$400=B493)*('Kontrol Adımları'!$B$1:$B$400=C493),0),0)),"")</f>
        <v/>
      </c>
      <c r="E493" s="5" t="inlineStr">
        <is>
          <t>cift_kisilik_yatak</t>
        </is>
      </c>
      <c r="F493" s="6">
        <f>IFERROR(INDEX('Kalem Kataloğu'!$C$1:$C$1000,MATCH(1,INDEX(('Kalem Kataloğu'!$A$1:$A$1000=A493)*('Kalem Kataloğu'!$B$1:$B$1000=E493),0),0)),"?")</f>
        <v/>
      </c>
      <c r="G493" s="6">
        <f>IFERROR(INDEX('Kalem Kataloğu'!$D$1:$D$1000,MATCH(1,INDEX(('Kalem Kataloğu'!$A$1:$A$1000=A493)*('Kalem Kataloğu'!$B$1:$B$1000=E493),0),0)),"?")</f>
        <v/>
      </c>
      <c r="H493" s="7" t="n"/>
      <c r="I493" s="7" t="inlineStr">
        <is>
          <t>Hayır</t>
        </is>
      </c>
      <c r="J493" s="5" t="inlineStr">
        <is>
          <t>Drive foto</t>
        </is>
      </c>
      <c r="K493" s="5" t="inlineStr">
        <is>
          <t>Bazı ünitelerde alt katta yatak odası var (2725); her ünitede var mı teyit [güven: medium]</t>
        </is>
      </c>
    </row>
  </sheetData>
  <autoFilter ref="A1:K493"/>
  <dataValidations count="1">
    <dataValidation sqref="I2:I1000" showDropDown="0" showInputMessage="0" showErrorMessage="0" allowBlank="1" type="list">
      <formula1>"Evet,Hayır"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Oteller!$A$2:$A$30</xm:f>
          </x14:formula1>
          <xm:sqref>A2:A1000</xm:sqref>
        </x14:dataValidation>
        <x14:dataValidation type="list" allowBlank="1">
          <x14:formula1>
            <xm:f>'Oda Tipleri'!$A$2:$A$40</xm:f>
          </x14:formula1>
          <xm:sqref>B2:B1000</xm:sqref>
        </x14:dataValidation>
      </x14:dataValidations>
    </ext>
  </extLst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10" customWidth="1" min="2" max="2"/>
    <col width="7" customWidth="1" min="3" max="3"/>
    <col width="24" customWidth="1" min="4" max="4"/>
    <col width="20" customWidth="1" min="5" max="5"/>
    <col width="32" customWidth="1" min="6" max="6"/>
    <col width="14" customWidth="1" min="7" max="7"/>
    <col width="10" customWidth="1" min="8" max="9"/>
    <col width="20" customWidth="1" min="10" max="10"/>
    <col width="44" customWidth="1" min="11" max="11"/>
  </cols>
  <sheetData>
    <row r="1" ht="30" customHeight="1">
      <c r="A1" s="4" t="inlineStr">
        <is>
          <t>Tesis</t>
        </is>
      </c>
      <c r="B1" s="4" t="inlineStr">
        <is>
          <t>Oda Tipi Kodu</t>
        </is>
      </c>
      <c r="C1" s="4" t="inlineStr">
        <is>
          <t>Adım No</t>
        </is>
      </c>
      <c r="D1" s="4" t="inlineStr">
        <is>
          <t>Adım Adı (otomatik)</t>
        </is>
      </c>
      <c r="E1" s="4" t="inlineStr">
        <is>
          <t>Kalem Kodu</t>
        </is>
      </c>
      <c r="F1" s="4" t="inlineStr">
        <is>
          <t>Kalem Adı (otomatik)</t>
        </is>
      </c>
      <c r="G1" s="4" t="inlineStr">
        <is>
          <t>Tür (otomatik)</t>
        </is>
      </c>
      <c r="H1" s="4" t="inlineStr">
        <is>
          <t>Olması Gereken Adet</t>
        </is>
      </c>
      <c r="I1" s="4" t="inlineStr">
        <is>
          <t>Doğrulandı mı</t>
        </is>
      </c>
      <c r="J1" s="4" t="inlineStr">
        <is>
          <t>Kaynak</t>
        </is>
      </c>
      <c r="K1" s="4" t="inlineStr">
        <is>
          <t>Not</t>
        </is>
      </c>
    </row>
    <row r="2" ht="26.4" customHeight="1">
      <c r="A2" s="5" t="inlineStr">
        <is>
          <t>Tare Houses Hotel</t>
        </is>
      </c>
      <c r="B2" s="5" t="inlineStr">
        <is>
          <t>X1</t>
        </is>
      </c>
      <c r="C2" s="7" t="n"/>
      <c r="D2" s="6">
        <f>IFERROR(INDEX('Kontrol Adımları'!$D:$D,MATCH(1,INDEX(('Kontrol Adımları'!$A$1:$A$400=B2)*('Kontrol Adımları'!$B$1:$B$400=C2),0),0)),"")</f>
        <v/>
      </c>
      <c r="E2" s="5" t="inlineStr">
        <is>
          <t>wooden_bowl</t>
        </is>
      </c>
      <c r="F2" s="6">
        <f>IFERROR(INDEX('Kalem Kataloğu'!$C$1:$C$1000,MATCH(1,INDEX(('Kalem Kataloğu'!$A$1:$A$1000=A2)*('Kalem Kataloğu'!$B$1:$B$1000=E2),0),0)),"?")</f>
        <v/>
      </c>
      <c r="G2" s="6">
        <f>IFERROR(INDEX('Kalem Kataloğu'!$D$1:$D$1000,MATCH(1,INDEX(('Kalem Kataloğu'!$A$1:$A$1000=A2)*('Kalem Kataloğu'!$B$1:$B$1000=E2),0),0)),"?")</f>
        <v/>
      </c>
      <c r="H2" s="7" t="n">
        <v>1</v>
      </c>
      <c r="I2" s="7" t="inlineStr">
        <is>
          <t>Hayır</t>
        </is>
      </c>
      <c r="J2" s="5" t="inlineStr">
        <is>
          <t>X3 ile aynı varsayıldı</t>
        </is>
      </c>
      <c r="K2" s="5" t="inlineStr">
        <is>
          <t>Mutfak seti Tare Houses tiplerinde ortak görünüyor (Drive Mutfak Gereçleri). Odada say.</t>
        </is>
      </c>
    </row>
    <row r="3">
      <c r="A3" s="5" t="inlineStr">
        <is>
          <t>Tare Houses Hotel</t>
        </is>
      </c>
      <c r="B3" s="5" t="inlineStr">
        <is>
          <t>X1</t>
        </is>
      </c>
      <c r="C3" s="7" t="n"/>
      <c r="D3" s="6">
        <f>IFERROR(INDEX('Kontrol Adımları'!$D:$D,MATCH(1,INDEX(('Kontrol Adımları'!$A$1:$A$400=B3)*('Kontrol Adımları'!$B$1:$B$400=C3),0),0)),"")</f>
        <v/>
      </c>
      <c r="E3" s="5" t="inlineStr">
        <is>
          <t>dish_rack</t>
        </is>
      </c>
      <c r="F3" s="6">
        <f>IFERROR(INDEX('Kalem Kataloğu'!$C$1:$C$1000,MATCH(1,INDEX(('Kalem Kataloğu'!$A$1:$A$1000=A3)*('Kalem Kataloğu'!$B$1:$B$1000=E3),0),0)),"?")</f>
        <v/>
      </c>
      <c r="G3" s="6">
        <f>IFERROR(INDEX('Kalem Kataloğu'!$D$1:$D$1000,MATCH(1,INDEX(('Kalem Kataloğu'!$A$1:$A$1000=A3)*('Kalem Kataloğu'!$B$1:$B$1000=E3),0),0)),"?")</f>
        <v/>
      </c>
      <c r="H3" s="7" t="n">
        <v>1</v>
      </c>
      <c r="I3" s="7" t="inlineStr">
        <is>
          <t>Hayır</t>
        </is>
      </c>
      <c r="J3" s="5" t="inlineStr">
        <is>
          <t>Drive foto (Tem. 2024)</t>
        </is>
      </c>
      <c r="K3" s="5" t="inlineStr">
        <is>
          <t xml:space="preserve"> [güven: yüksek]</t>
        </is>
      </c>
    </row>
    <row r="4" ht="66" customHeight="1">
      <c r="A4" s="5" t="inlineStr">
        <is>
          <t>Tare Houses Hotel</t>
        </is>
      </c>
      <c r="B4" s="5" t="inlineStr">
        <is>
          <t>X1</t>
        </is>
      </c>
      <c r="C4" s="7" t="n"/>
      <c r="D4" s="6">
        <f>IFERROR(INDEX('Kontrol Adımları'!$D:$D,MATCH(1,INDEX(('Kontrol Adımları'!$A$1:$A$400=B4)*('Kontrol Adımları'!$B$1:$B$400=C4),0),0)),"")</f>
        <v/>
      </c>
      <c r="E4" s="5" t="inlineStr">
        <is>
          <t>dinner_plate</t>
        </is>
      </c>
      <c r="F4" s="6">
        <f>IFERROR(INDEX('Kalem Kataloğu'!$C$1:$C$1000,MATCH(1,INDEX(('Kalem Kataloğu'!$A$1:$A$1000=A4)*('Kalem Kataloğu'!$B$1:$B$1000=E4),0),0)),"?")</f>
        <v/>
      </c>
      <c r="G4" s="6">
        <f>IFERROR(INDEX('Kalem Kataloğu'!$D$1:$D$1000,MATCH(1,INDEX(('Kalem Kataloğu'!$A$1:$A$1000=A4)*('Kalem Kataloğu'!$B$1:$B$1000=E4),0),0)),"?")</f>
        <v/>
      </c>
      <c r="H4" s="7" t="n">
        <v>4</v>
      </c>
      <c r="I4" s="7" t="inlineStr">
        <is>
          <t>Hayır</t>
        </is>
      </c>
      <c r="J4" s="5" t="inlineStr">
        <is>
          <t>Drive foto (Tem. 2024)</t>
        </is>
      </c>
      <c r="K4" s="5" t="inlineStr">
        <is>
          <t>Dolapta 4'lü yığın. Excel X3: "Büyük tabak (gri)" 4 → uyumlu. Mutfak Gereçleri klasörü oda numarası belirtmiyor (Temmuz 2024 çekimi); tüm TH tiplerinde aynı mutfak seti olduğu varsayıldı, X3 değeri 18.10.2026 videosundan. [güven: orta]</t>
        </is>
      </c>
    </row>
    <row r="5" ht="26.4" customHeight="1">
      <c r="A5" s="5" t="inlineStr">
        <is>
          <t>Tare Houses Hotel</t>
        </is>
      </c>
      <c r="B5" s="5" t="inlineStr">
        <is>
          <t>X1</t>
        </is>
      </c>
      <c r="C5" s="7" t="n"/>
      <c r="D5" s="6">
        <f>IFERROR(INDEX('Kontrol Adımları'!$D:$D,MATCH(1,INDEX(('Kontrol Adımları'!$A$1:$A$400=B5)*('Kontrol Adımları'!$B$1:$B$400=C5),0),0)),"")</f>
        <v/>
      </c>
      <c r="E5" s="5" t="inlineStr">
        <is>
          <t>sponge_caddy</t>
        </is>
      </c>
      <c r="F5" s="6">
        <f>IFERROR(INDEX('Kalem Kataloğu'!$C$1:$C$1000,MATCH(1,INDEX(('Kalem Kataloğu'!$A$1:$A$1000=A5)*('Kalem Kataloğu'!$B$1:$B$1000=E5),0),0)),"?")</f>
        <v/>
      </c>
      <c r="G5" s="6">
        <f>IFERROR(INDEX('Kalem Kataloğu'!$D$1:$D$1000,MATCH(1,INDEX(('Kalem Kataloğu'!$A$1:$A$1000=A5)*('Kalem Kataloğu'!$B$1:$B$1000=E5),0),0)),"?")</f>
        <v/>
      </c>
      <c r="H5" s="7" t="n">
        <v>1</v>
      </c>
      <c r="I5" s="7" t="inlineStr">
        <is>
          <t>Hayır</t>
        </is>
      </c>
      <c r="J5" s="5" t="inlineStr">
        <is>
          <t>Drive foto (Tem. 2024)</t>
        </is>
      </c>
      <c r="K5" s="5" t="inlineStr">
        <is>
          <t>Excel X3: fırça+sünger+deterjan standı 1. Sünger sarf. [güven: yüksek]</t>
        </is>
      </c>
    </row>
    <row r="6" ht="66" customHeight="1">
      <c r="A6" s="5" t="inlineStr">
        <is>
          <t>Tare Houses Hotel</t>
        </is>
      </c>
      <c r="B6" s="5" t="inlineStr">
        <is>
          <t>X1</t>
        </is>
      </c>
      <c r="C6" s="7" t="n"/>
      <c r="D6" s="6">
        <f>IFERROR(INDEX('Kontrol Adımları'!$D:$D,MATCH(1,INDEX(('Kontrol Adımları'!$A$1:$A$400=B6)*('Kontrol Adımları'!$B$1:$B$400=C6),0),0)),"")</f>
        <v/>
      </c>
      <c r="E6" s="5" t="inlineStr">
        <is>
          <t>bowl</t>
        </is>
      </c>
      <c r="F6" s="6">
        <f>IFERROR(INDEX('Kalem Kataloğu'!$C$1:$C$1000,MATCH(1,INDEX(('Kalem Kataloğu'!$A$1:$A$1000=A6)*('Kalem Kataloğu'!$B$1:$B$1000=E6),0),0)),"?")</f>
        <v/>
      </c>
      <c r="G6" s="6">
        <f>IFERROR(INDEX('Kalem Kataloğu'!$D$1:$D$1000,MATCH(1,INDEX(('Kalem Kataloğu'!$A$1:$A$1000=A6)*('Kalem Kataloğu'!$B$1:$B$1000=E6),0),0)),"?")</f>
        <v/>
      </c>
      <c r="H6" s="7" t="n">
        <v>4</v>
      </c>
      <c r="I6" s="7" t="inlineStr">
        <is>
          <t>Hayır</t>
        </is>
      </c>
      <c r="J6" s="5" t="inlineStr">
        <is>
          <t>Drive foto (Tem. 2024)</t>
        </is>
      </c>
      <c r="K6" s="5" t="inlineStr">
        <is>
          <t>Dolapta 4'lü yığın. Excel X3 "Kase (yeşil)" 4 → uyumlu (renk farkı algısal). Mutfak Gereçleri klasörü oda numarası belirtmiyor (Temmuz 2024 çekimi); tüm TH tiplerinde aynı mutfak seti olduğu varsayıldı, X3 değeri 18.10.2026 videosundan. [güven: orta]</t>
        </is>
      </c>
    </row>
    <row r="7" ht="26.4" customHeight="1">
      <c r="A7" s="5" t="inlineStr">
        <is>
          <t>Tare Houses Hotel</t>
        </is>
      </c>
      <c r="B7" s="5" t="inlineStr">
        <is>
          <t>X1</t>
        </is>
      </c>
      <c r="C7" s="7" t="n"/>
      <c r="D7" s="6">
        <f>IFERROR(INDEX('Kontrol Adımları'!$D:$D,MATCH(1,INDEX(('Kontrol Adımları'!$A$1:$A$400=B7)*('Kontrol Adımları'!$B$1:$B$400=C7),0),0)),"")</f>
        <v/>
      </c>
      <c r="E7" s="5" t="inlineStr">
        <is>
          <t>cutting_board</t>
        </is>
      </c>
      <c r="F7" s="6">
        <f>IFERROR(INDEX('Kalem Kataloğu'!$C$1:$C$1000,MATCH(1,INDEX(('Kalem Kataloğu'!$A$1:$A$1000=A7)*('Kalem Kataloğu'!$B$1:$B$1000=E7),0),0)),"?")</f>
        <v/>
      </c>
      <c r="G7" s="6">
        <f>IFERROR(INDEX('Kalem Kataloğu'!$D$1:$D$1000,MATCH(1,INDEX(('Kalem Kataloğu'!$A$1:$A$1000=A7)*('Kalem Kataloğu'!$B$1:$B$1000=E7),0),0)),"?")</f>
        <v/>
      </c>
      <c r="H7" s="7" t="n">
        <v>1</v>
      </c>
      <c r="I7" s="7" t="inlineStr">
        <is>
          <t>Hayır</t>
        </is>
      </c>
      <c r="J7" s="5" t="inlineStr">
        <is>
          <t>Drive foto (Tem. 2024)</t>
        </is>
      </c>
      <c r="K7" s="5" t="inlineStr">
        <is>
          <t>Bıçak seti kutusunun altında. Excel X3: kesme tahtası 1. [güven: orta]</t>
        </is>
      </c>
    </row>
    <row r="8" ht="66" customHeight="1">
      <c r="A8" s="5" t="inlineStr">
        <is>
          <t>Tare Houses Hotel</t>
        </is>
      </c>
      <c r="B8" s="5" t="inlineStr">
        <is>
          <t>X1</t>
        </is>
      </c>
      <c r="C8" s="7" t="n"/>
      <c r="D8" s="6">
        <f>IFERROR(INDEX('Kontrol Adımları'!$D:$D,MATCH(1,INDEX(('Kontrol Adımları'!$A$1:$A$400=B8)*('Kontrol Adımları'!$B$1:$B$400=C8),0),0)),"")</f>
        <v/>
      </c>
      <c r="E8" s="5" t="inlineStr">
        <is>
          <t>knife_set</t>
        </is>
      </c>
      <c r="F8" s="6">
        <f>IFERROR(INDEX('Kalem Kataloğu'!$C$1:$C$1000,MATCH(1,INDEX(('Kalem Kataloğu'!$A$1:$A$1000=A8)*('Kalem Kataloğu'!$B$1:$B$1000=E8),0),0)),"?")</f>
        <v/>
      </c>
      <c r="G8" s="6">
        <f>IFERROR(INDEX('Kalem Kataloğu'!$D$1:$D$1000,MATCH(1,INDEX(('Kalem Kataloğu'!$A$1:$A$1000=A8)*('Kalem Kataloğu'!$B$1:$B$1000=E8),0),0)),"?")</f>
        <v/>
      </c>
      <c r="H8" s="7" t="n">
        <v>1</v>
      </c>
      <c r="I8" s="7" t="inlineStr">
        <is>
          <t>Hayır</t>
        </is>
      </c>
      <c r="J8" s="5" t="inlineStr">
        <is>
          <t>Drive foto (Tem. 2024)</t>
        </is>
      </c>
      <c r="K8" s="5" t="inlineStr">
        <is>
          <t>Excel X3: Kiyomi bıçak seti 1. Kutu içi 7 parça tam mı kontrol edilmeli. Mutfak Gereçleri klasörü oda numarası belirtmiyor (Temmuz 2024 çekimi); tüm TH tiplerinde aynı mutfak seti olduğu varsayıldı, X3 değeri 18.10.2026 videosundan. [güven: yüksek]</t>
        </is>
      </c>
    </row>
    <row r="9" ht="26.4" customHeight="1">
      <c r="A9" s="5" t="inlineStr">
        <is>
          <t>Tare Houses Hotel</t>
        </is>
      </c>
      <c r="B9" s="5" t="inlineStr">
        <is>
          <t>X1</t>
        </is>
      </c>
      <c r="C9" s="7" t="n"/>
      <c r="D9" s="6">
        <f>IFERROR(INDEX('Kontrol Adımları'!$D:$D,MATCH(1,INDEX(('Kontrol Adımları'!$A$1:$A$400=B9)*('Kontrol Adımları'!$B$1:$B$400=C9),0),0)),"")</f>
        <v/>
      </c>
      <c r="E9" s="5" t="inlineStr">
        <is>
          <t>saucepan</t>
        </is>
      </c>
      <c r="F9" s="6">
        <f>IFERROR(INDEX('Kalem Kataloğu'!$C$1:$C$1000,MATCH(1,INDEX(('Kalem Kataloğu'!$A$1:$A$1000=A9)*('Kalem Kataloğu'!$B$1:$B$1000=E9),0),0)),"?")</f>
        <v/>
      </c>
      <c r="G9" s="6">
        <f>IFERROR(INDEX('Kalem Kataloğu'!$D$1:$D$1000,MATCH(1,INDEX(('Kalem Kataloğu'!$A$1:$A$1000=A9)*('Kalem Kataloğu'!$B$1:$B$1000=E9),0),0)),"?")</f>
        <v/>
      </c>
      <c r="H9" s="7" t="n">
        <v>1</v>
      </c>
      <c r="I9" s="7" t="inlineStr">
        <is>
          <t>Hayır</t>
        </is>
      </c>
      <c r="J9" s="5" t="inlineStr">
        <is>
          <t>X3 ile aynı varsayıldı</t>
        </is>
      </c>
      <c r="K9" s="5" t="inlineStr">
        <is>
          <t>Mutfak seti Tare Houses tiplerinde ortak görünüyor (Drive Mutfak Gereçleri). Odada say.</t>
        </is>
      </c>
    </row>
    <row r="10" ht="26.4" customHeight="1">
      <c r="A10" s="5" t="inlineStr">
        <is>
          <t>Tare Houses Hotel</t>
        </is>
      </c>
      <c r="B10" s="5" t="inlineStr">
        <is>
          <t>X1</t>
        </is>
      </c>
      <c r="C10" s="7" t="n"/>
      <c r="D10" s="6">
        <f>IFERROR(INDEX('Kontrol Adımları'!$D:$D,MATCH(1,INDEX(('Kontrol Adımları'!$A$1:$A$400=B10)*('Kontrol Adımları'!$B$1:$B$400=C10),0),0)),"")</f>
        <v/>
      </c>
      <c r="E10" s="5" t="inlineStr">
        <is>
          <t>mug</t>
        </is>
      </c>
      <c r="F10" s="6">
        <f>IFERROR(INDEX('Kalem Kataloğu'!$C$1:$C$1000,MATCH(1,INDEX(('Kalem Kataloğu'!$A$1:$A$1000=A10)*('Kalem Kataloğu'!$B$1:$B$1000=E10),0),0)),"?")</f>
        <v/>
      </c>
      <c r="G10" s="6">
        <f>IFERROR(INDEX('Kalem Kataloğu'!$D$1:$D$1000,MATCH(1,INDEX(('Kalem Kataloğu'!$A$1:$A$1000=A10)*('Kalem Kataloğu'!$B$1:$B$1000=E10),0),0)),"?")</f>
        <v/>
      </c>
      <c r="H10" s="7" t="n">
        <v>2</v>
      </c>
      <c r="I10" s="7" t="inlineStr">
        <is>
          <t>Hayır</t>
        </is>
      </c>
      <c r="J10" s="5" t="inlineStr">
        <is>
          <t>X3 ile aynı varsayıldı</t>
        </is>
      </c>
      <c r="K10" s="5" t="inlineStr">
        <is>
          <t>Mutfak seti Tare Houses tiplerinde ortak görünüyor (Drive Mutfak Gereçleri). Odada say.</t>
        </is>
      </c>
    </row>
    <row r="11" ht="66" customHeight="1">
      <c r="A11" s="5" t="inlineStr">
        <is>
          <t>Tare Houses Hotel</t>
        </is>
      </c>
      <c r="B11" s="5" t="inlineStr">
        <is>
          <t>X1</t>
        </is>
      </c>
      <c r="C11" s="7" t="n"/>
      <c r="D11" s="6">
        <f>IFERROR(INDEX('Kontrol Adımları'!$D:$D,MATCH(1,INDEX(('Kontrol Adımları'!$A$1:$A$400=B11)*('Kontrol Adımları'!$B$1:$B$400=C11),0),0)),"")</f>
        <v/>
      </c>
      <c r="E11" s="5" t="inlineStr">
        <is>
          <t>side_plate</t>
        </is>
      </c>
      <c r="F11" s="6">
        <f>IFERROR(INDEX('Kalem Kataloğu'!$C$1:$C$1000,MATCH(1,INDEX(('Kalem Kataloğu'!$A$1:$A$1000=A11)*('Kalem Kataloğu'!$B$1:$B$1000=E11),0),0)),"?")</f>
        <v/>
      </c>
      <c r="G11" s="6">
        <f>IFERROR(INDEX('Kalem Kataloğu'!$D$1:$D$1000,MATCH(1,INDEX(('Kalem Kataloğu'!$A$1:$A$1000=A11)*('Kalem Kataloğu'!$B$1:$B$1000=E11),0),0)),"?")</f>
        <v/>
      </c>
      <c r="H11" s="7" t="n">
        <v>4</v>
      </c>
      <c r="I11" s="7" t="inlineStr">
        <is>
          <t>Hayır</t>
        </is>
      </c>
      <c r="J11" s="5" t="inlineStr">
        <is>
          <t>Drive foto (Tem. 2024)</t>
        </is>
      </c>
      <c r="K11" s="5" t="inlineStr">
        <is>
          <t>Dolapta 4'lü yığın. Excel X3: "Küçük tabak (gri)" 4 → uyumlu. Mutfak Gereçleri klasörü oda numarası belirtmiyor (Temmuz 2024 çekimi); tüm TH tiplerinde aynı mutfak seti olduğu varsayıldı, X3 değeri 18.10.2026 videosundan. [güven: orta]</t>
        </is>
      </c>
    </row>
    <row r="12" ht="26.4" customHeight="1">
      <c r="A12" s="5" t="inlineStr">
        <is>
          <t>Tare Houses Hotel</t>
        </is>
      </c>
      <c r="B12" s="5" t="inlineStr">
        <is>
          <t>X1</t>
        </is>
      </c>
      <c r="C12" s="7" t="n"/>
      <c r="D12" s="6">
        <f>IFERROR(INDEX('Kontrol Adımları'!$D:$D,MATCH(1,INDEX(('Kontrol Adımları'!$A$1:$A$400=B12)*('Kontrol Adımları'!$B$1:$B$400=C12),0),0)),"")</f>
        <v/>
      </c>
      <c r="E12" s="5" t="inlineStr">
        <is>
          <t>small_plate_green</t>
        </is>
      </c>
      <c r="F12" s="6">
        <f>IFERROR(INDEX('Kalem Kataloğu'!$C$1:$C$1000,MATCH(1,INDEX(('Kalem Kataloğu'!$A$1:$A$1000=A12)*('Kalem Kataloğu'!$B$1:$B$1000=E12),0),0)),"?")</f>
        <v/>
      </c>
      <c r="G12" s="6">
        <f>IFERROR(INDEX('Kalem Kataloğu'!$D$1:$D$1000,MATCH(1,INDEX(('Kalem Kataloğu'!$A$1:$A$1000=A12)*('Kalem Kataloğu'!$B$1:$B$1000=E12),0),0)),"?")</f>
        <v/>
      </c>
      <c r="H12" s="7" t="n">
        <v>4</v>
      </c>
      <c r="I12" s="7" t="inlineStr">
        <is>
          <t>Hayır</t>
        </is>
      </c>
      <c r="J12" s="5" t="inlineStr">
        <is>
          <t>X3 ile aynı varsayıldı</t>
        </is>
      </c>
      <c r="K12" s="5" t="inlineStr">
        <is>
          <t>Mutfak seti Tare Houses tiplerinde ortak görünüyor (Drive Mutfak Gereçleri). Odada say.</t>
        </is>
      </c>
    </row>
    <row r="13" ht="26.4" customHeight="1">
      <c r="A13" s="5" t="inlineStr">
        <is>
          <t>Tare Houses Hotel</t>
        </is>
      </c>
      <c r="B13" s="5" t="inlineStr">
        <is>
          <t>X1</t>
        </is>
      </c>
      <c r="C13" s="7" t="n"/>
      <c r="D13" s="6">
        <f>IFERROR(INDEX('Kontrol Adımları'!$D:$D,MATCH(1,INDEX(('Kontrol Adımları'!$A$1:$A$400=B13)*('Kontrol Adımları'!$B$1:$B$400=C13),0),0)),"")</f>
        <v/>
      </c>
      <c r="E13" s="5" t="inlineStr">
        <is>
          <t>trivet</t>
        </is>
      </c>
      <c r="F13" s="6">
        <f>IFERROR(INDEX('Kalem Kataloğu'!$C$1:$C$1000,MATCH(1,INDEX(('Kalem Kataloğu'!$A$1:$A$1000=A13)*('Kalem Kataloğu'!$B$1:$B$1000=E13),0),0)),"?")</f>
        <v/>
      </c>
      <c r="G13" s="6">
        <f>IFERROR(INDEX('Kalem Kataloğu'!$D$1:$D$1000,MATCH(1,INDEX(('Kalem Kataloğu'!$A$1:$A$1000=A13)*('Kalem Kataloğu'!$B$1:$B$1000=E13),0),0)),"?")</f>
        <v/>
      </c>
      <c r="H13" s="7" t="n">
        <v>1</v>
      </c>
      <c r="I13" s="7" t="inlineStr">
        <is>
          <t>Hayır</t>
        </is>
      </c>
      <c r="J13" s="5" t="inlineStr">
        <is>
          <t>X3 ile aynı varsayıldı</t>
        </is>
      </c>
      <c r="K13" s="5" t="inlineStr">
        <is>
          <t>Mutfak seti Tare Houses tiplerinde ortak görünüyor (Drive Mutfak Gereçleri). Odada say.</t>
        </is>
      </c>
    </row>
    <row r="14" ht="52.8" customHeight="1">
      <c r="A14" s="5" t="inlineStr">
        <is>
          <t>Tare Houses Hotel</t>
        </is>
      </c>
      <c r="B14" s="5" t="inlineStr">
        <is>
          <t>X1</t>
        </is>
      </c>
      <c r="C14" s="7" t="n"/>
      <c r="D14" s="6">
        <f>IFERROR(INDEX('Kontrol Adımları'!$D:$D,MATCH(1,INDEX(('Kontrol Adımları'!$A$1:$A$400=B14)*('Kontrol Adımları'!$B$1:$B$400=C14),0),0)),"")</f>
        <v/>
      </c>
      <c r="E14" s="5" t="inlineStr">
        <is>
          <t>silicone_slotted</t>
        </is>
      </c>
      <c r="F14" s="6">
        <f>IFERROR(INDEX('Kalem Kataloğu'!$C$1:$C$1000,MATCH(1,INDEX(('Kalem Kataloğu'!$A$1:$A$1000=A14)*('Kalem Kataloğu'!$B$1:$B$1000=E14),0),0)),"?")</f>
        <v/>
      </c>
      <c r="G14" s="6">
        <f>IFERROR(INDEX('Kalem Kataloğu'!$D$1:$D$1000,MATCH(1,INDEX(('Kalem Kataloğu'!$A$1:$A$1000=A14)*('Kalem Kataloğu'!$B$1:$B$1000=E14),0),0)),"?")</f>
        <v/>
      </c>
      <c r="H14" s="7" t="n">
        <v>1</v>
      </c>
      <c r="I14" s="7" t="inlineStr">
        <is>
          <t>Hayır</t>
        </is>
      </c>
      <c r="J14" s="5" t="inlineStr">
        <is>
          <t>Drive foto (Tem. 2024)</t>
        </is>
      </c>
      <c r="K14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15" ht="52.8" customHeight="1">
      <c r="A15" s="5" t="inlineStr">
        <is>
          <t>Tare Houses Hotel</t>
        </is>
      </c>
      <c r="B15" s="5" t="inlineStr">
        <is>
          <t>X1</t>
        </is>
      </c>
      <c r="C15" s="7" t="n"/>
      <c r="D15" s="6">
        <f>IFERROR(INDEX('Kontrol Adımları'!$D:$D,MATCH(1,INDEX(('Kontrol Adımları'!$A$1:$A$400=B15)*('Kontrol Adımları'!$B$1:$B$400=C15),0),0)),"")</f>
        <v/>
      </c>
      <c r="E15" s="5" t="inlineStr">
        <is>
          <t>silicone_spoon</t>
        </is>
      </c>
      <c r="F15" s="6">
        <f>IFERROR(INDEX('Kalem Kataloğu'!$C$1:$C$1000,MATCH(1,INDEX(('Kalem Kataloğu'!$A$1:$A$1000=A15)*('Kalem Kataloğu'!$B$1:$B$1000=E15),0),0)),"?")</f>
        <v/>
      </c>
      <c r="G15" s="6">
        <f>IFERROR(INDEX('Kalem Kataloğu'!$D$1:$D$1000,MATCH(1,INDEX(('Kalem Kataloğu'!$A$1:$A$1000=A15)*('Kalem Kataloğu'!$B$1:$B$1000=E15),0),0)),"?")</f>
        <v/>
      </c>
      <c r="H15" s="7" t="n">
        <v>1</v>
      </c>
      <c r="I15" s="7" t="inlineStr">
        <is>
          <t>Hayır</t>
        </is>
      </c>
      <c r="J15" s="5" t="inlineStr">
        <is>
          <t>Drive foto (Tem. 2024)</t>
        </is>
      </c>
      <c r="K15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16" ht="66" customHeight="1">
      <c r="A16" s="5" t="inlineStr">
        <is>
          <t>Tare Houses Hotel</t>
        </is>
      </c>
      <c r="B16" s="5" t="inlineStr">
        <is>
          <t>X1</t>
        </is>
      </c>
      <c r="C16" s="7" t="n"/>
      <c r="D16" s="6">
        <f>IFERROR(INDEX('Kontrol Adımları'!$D:$D,MATCH(1,INDEX(('Kontrol Adımları'!$A$1:$A$400=B16)*('Kontrol Adımları'!$B$1:$B$400=C16),0),0)),"")</f>
        <v/>
      </c>
      <c r="E16" s="5" t="inlineStr">
        <is>
          <t>sauce_bowl</t>
        </is>
      </c>
      <c r="F16" s="6">
        <f>IFERROR(INDEX('Kalem Kataloğu'!$C$1:$C$1000,MATCH(1,INDEX(('Kalem Kataloğu'!$A$1:$A$1000=A16)*('Kalem Kataloğu'!$B$1:$B$1000=E16),0),0)),"?")</f>
        <v/>
      </c>
      <c r="G16" s="6">
        <f>IFERROR(INDEX('Kalem Kataloğu'!$D$1:$D$1000,MATCH(1,INDEX(('Kalem Kataloğu'!$A$1:$A$1000=A16)*('Kalem Kataloğu'!$B$1:$B$1000=E16),0),0)),"?")</f>
        <v/>
      </c>
      <c r="H16" s="7" t="n">
        <v>4</v>
      </c>
      <c r="I16" s="7" t="inlineStr">
        <is>
          <t>Hayır</t>
        </is>
      </c>
      <c r="J16" s="5" t="inlineStr">
        <is>
          <t>Drive foto (Tem. 2024)</t>
        </is>
      </c>
      <c r="K16" s="5" t="inlineStr">
        <is>
          <t>Fotoğrafta 4'lü yığın. Excel X3 "Sos kasesi (krem)" 4 → uyumlu. Mutfak Gereçleri klasörü oda numarası belirtmiyor (Temmuz 2024 çekimi); tüm TH tiplerinde aynı mutfak seti olduğu varsayıldı, X3 değeri 18.10.2026 videosundan. [güven: orta]</t>
        </is>
      </c>
    </row>
    <row r="17" ht="66" customHeight="1">
      <c r="A17" s="5" t="inlineStr">
        <is>
          <t>Tare Houses Hotel</t>
        </is>
      </c>
      <c r="B17" s="5" t="inlineStr">
        <is>
          <t>X1</t>
        </is>
      </c>
      <c r="C17" s="7" t="n"/>
      <c r="D17" s="6">
        <f>IFERROR(INDEX('Kontrol Adımları'!$D:$D,MATCH(1,INDEX(('Kontrol Adımları'!$A$1:$A$400=B17)*('Kontrol Adımları'!$B$1:$B$400=C17),0),0)),"")</f>
        <v/>
      </c>
      <c r="E17" s="5" t="inlineStr">
        <is>
          <t>water_glass</t>
        </is>
      </c>
      <c r="F17" s="6">
        <f>IFERROR(INDEX('Kalem Kataloğu'!$C$1:$C$1000,MATCH(1,INDEX(('Kalem Kataloğu'!$A$1:$A$1000=A17)*('Kalem Kataloğu'!$B$1:$B$1000=E17),0),0)),"?")</f>
        <v/>
      </c>
      <c r="G17" s="6">
        <f>IFERROR(INDEX('Kalem Kataloğu'!$D$1:$D$1000,MATCH(1,INDEX(('Kalem Kataloğu'!$A$1:$A$1000=A17)*('Kalem Kataloğu'!$B$1:$B$1000=E17),0),0)),"?")</f>
        <v/>
      </c>
      <c r="H17" s="7" t="n">
        <v>4</v>
      </c>
      <c r="I17" s="7" t="inlineStr">
        <is>
          <t>Hayır</t>
        </is>
      </c>
      <c r="J17" s="5" t="inlineStr">
        <is>
          <t>Drive foto (Tem. 2024)</t>
        </is>
      </c>
      <c r="K17" s="5" t="inlineStr">
        <is>
          <t>Fotoğrafta 4. Excel X3: 4 (doğrulanmadı). Mutfak Gereçleri klasörü oda numarası belirtmiyor (Temmuz 2024 çekimi); tüm TH tiplerinde aynı mutfak seti olduğu varsayıldı, X3 değeri 18.10.2026 videosundan. [güven: orta]</t>
        </is>
      </c>
    </row>
    <row r="18" ht="26.4" customHeight="1">
      <c r="A18" s="5" t="inlineStr">
        <is>
          <t>Tare Houses Hotel</t>
        </is>
      </c>
      <c r="B18" s="5" t="inlineStr">
        <is>
          <t>X1</t>
        </is>
      </c>
      <c r="C18" s="7" t="n"/>
      <c r="D18" s="6">
        <f>IFERROR(INDEX('Kontrol Adımları'!$D:$D,MATCH(1,INDEX(('Kontrol Adımları'!$A$1:$A$400=B18)*('Kontrol Adımları'!$B$1:$B$400=C18),0),0)),"")</f>
        <v/>
      </c>
      <c r="E18" s="5" t="inlineStr">
        <is>
          <t>frying_pan</t>
        </is>
      </c>
      <c r="F18" s="6">
        <f>IFERROR(INDEX('Kalem Kataloğu'!$C$1:$C$1000,MATCH(1,INDEX(('Kalem Kataloğu'!$A$1:$A$1000=A18)*('Kalem Kataloğu'!$B$1:$B$1000=E18),0),0)),"?")</f>
        <v/>
      </c>
      <c r="G18" s="6">
        <f>IFERROR(INDEX('Kalem Kataloğu'!$D$1:$D$1000,MATCH(1,INDEX(('Kalem Kataloğu'!$A$1:$A$1000=A18)*('Kalem Kataloğu'!$B$1:$B$1000=E18),0),0)),"?")</f>
        <v/>
      </c>
      <c r="H18" s="7" t="n">
        <v>1</v>
      </c>
      <c r="I18" s="7" t="inlineStr">
        <is>
          <t>Hayır</t>
        </is>
      </c>
      <c r="J18" s="5" t="inlineStr">
        <is>
          <t>X3 ile aynı varsayıldı</t>
        </is>
      </c>
      <c r="K18" s="5" t="inlineStr">
        <is>
          <t>Mutfak seti Tare Houses tiplerinde ortak görünüyor (Drive Mutfak Gereçleri). Odada say.</t>
        </is>
      </c>
    </row>
    <row r="19" ht="26.4" customHeight="1">
      <c r="A19" s="5" t="inlineStr">
        <is>
          <t>Tare Houses Hotel</t>
        </is>
      </c>
      <c r="B19" s="5" t="inlineStr">
        <is>
          <t>X1</t>
        </is>
      </c>
      <c r="C19" s="7" t="n"/>
      <c r="D19" s="6">
        <f>IFERROR(INDEX('Kontrol Adımları'!$D:$D,MATCH(1,INDEX(('Kontrol Adımları'!$A$1:$A$400=B19)*('Kontrol Adımları'!$B$1:$B$400=C19),0),0)),"")</f>
        <v/>
      </c>
      <c r="E19" s="5" t="inlineStr">
        <is>
          <t>pot</t>
        </is>
      </c>
      <c r="F19" s="6">
        <f>IFERROR(INDEX('Kalem Kataloğu'!$C$1:$C$1000,MATCH(1,INDEX(('Kalem Kataloğu'!$A$1:$A$1000=A19)*('Kalem Kataloğu'!$B$1:$B$1000=E19),0),0)),"?")</f>
        <v/>
      </c>
      <c r="G19" s="6">
        <f>IFERROR(INDEX('Kalem Kataloğu'!$D$1:$D$1000,MATCH(1,INDEX(('Kalem Kataloğu'!$A$1:$A$1000=A19)*('Kalem Kataloğu'!$B$1:$B$1000=E19),0),0)),"?")</f>
        <v/>
      </c>
      <c r="H19" s="7" t="n">
        <v>2</v>
      </c>
      <c r="I19" s="7" t="inlineStr">
        <is>
          <t>Hayır</t>
        </is>
      </c>
      <c r="J19" s="5" t="inlineStr">
        <is>
          <t>X3 ile aynı varsayıldı</t>
        </is>
      </c>
      <c r="K19" s="5" t="inlineStr">
        <is>
          <t>Mutfak seti Tare Houses tiplerinde ortak görünüyor (Drive Mutfak Gereçleri). Odada say.</t>
        </is>
      </c>
    </row>
    <row r="20" ht="26.4" customHeight="1">
      <c r="A20" s="5" t="inlineStr">
        <is>
          <t>Tare Houses Hotel</t>
        </is>
      </c>
      <c r="B20" s="5" t="inlineStr">
        <is>
          <t>X1</t>
        </is>
      </c>
      <c r="C20" s="7" t="n"/>
      <c r="D20" s="6">
        <f>IFERROR(INDEX('Kontrol Adımları'!$D:$D,MATCH(1,INDEX(('Kontrol Adımları'!$A$1:$A$400=B20)*('Kontrol Adımları'!$B$1:$B$400=C20),0),0)),"")</f>
        <v/>
      </c>
      <c r="E20" s="5" t="inlineStr">
        <is>
          <t>salt_pepper_set</t>
        </is>
      </c>
      <c r="F20" s="6">
        <f>IFERROR(INDEX('Kalem Kataloğu'!$C$1:$C$1000,MATCH(1,INDEX(('Kalem Kataloğu'!$A$1:$A$1000=A20)*('Kalem Kataloğu'!$B$1:$B$1000=E20),0),0)),"?")</f>
        <v/>
      </c>
      <c r="G20" s="6">
        <f>IFERROR(INDEX('Kalem Kataloğu'!$D$1:$D$1000,MATCH(1,INDEX(('Kalem Kataloğu'!$A$1:$A$1000=A20)*('Kalem Kataloğu'!$B$1:$B$1000=E20),0),0)),"?")</f>
        <v/>
      </c>
      <c r="H20" s="7" t="n">
        <v>1</v>
      </c>
      <c r="I20" s="7" t="inlineStr">
        <is>
          <t>Hayır</t>
        </is>
      </c>
      <c r="J20" s="5" t="inlineStr">
        <is>
          <t>Drive foto (Tem. 2024)</t>
        </is>
      </c>
      <c r="K20" s="5" t="inlineStr">
        <is>
          <t>Excel X3: tuz-biber-kürdan standı 1. [güven: yüksek]</t>
        </is>
      </c>
    </row>
    <row r="21" ht="26.4" customHeight="1">
      <c r="A21" s="5" t="inlineStr">
        <is>
          <t>Tare Houses Hotel</t>
        </is>
      </c>
      <c r="B21" s="5" t="inlineStr">
        <is>
          <t>X1</t>
        </is>
      </c>
      <c r="C21" s="7" t="n"/>
      <c r="D21" s="6">
        <f>IFERROR(INDEX('Kontrol Adımları'!$D:$D,MATCH(1,INDEX(('Kontrol Adımları'!$A$1:$A$400=B21)*('Kontrol Adımları'!$B$1:$B$400=C21),0),0)),"")</f>
        <v/>
      </c>
      <c r="E21" s="5" t="inlineStr">
        <is>
          <t>oil_bottle</t>
        </is>
      </c>
      <c r="F21" s="6">
        <f>IFERROR(INDEX('Kalem Kataloğu'!$C$1:$C$1000,MATCH(1,INDEX(('Kalem Kataloğu'!$A$1:$A$1000=A21)*('Kalem Kataloğu'!$B$1:$B$1000=E21),0),0)),"?")</f>
        <v/>
      </c>
      <c r="G21" s="6">
        <f>IFERROR(INDEX('Kalem Kataloğu'!$D$1:$D$1000,MATCH(1,INDEX(('Kalem Kataloğu'!$A$1:$A$1000=A21)*('Kalem Kataloğu'!$B$1:$B$1000=E21),0),0)),"?")</f>
        <v/>
      </c>
      <c r="H21" s="7" t="n">
        <v>1</v>
      </c>
      <c r="I21" s="7" t="inlineStr">
        <is>
          <t>Hayır</t>
        </is>
      </c>
      <c r="J21" s="5" t="inlineStr">
        <is>
          <t>X3 ile aynı varsayıldı</t>
        </is>
      </c>
      <c r="K21" s="5" t="inlineStr">
        <is>
          <t>Mutfak seti Tare Houses tiplerinde ortak görünüyor (Drive Mutfak Gereçleri). Odada say.</t>
        </is>
      </c>
    </row>
    <row r="22" ht="26.4" customHeight="1">
      <c r="A22" s="5" t="inlineStr">
        <is>
          <t>Tare Houses Hotel</t>
        </is>
      </c>
      <c r="B22" s="5" t="inlineStr">
        <is>
          <t>X1</t>
        </is>
      </c>
      <c r="C22" s="7" t="n"/>
      <c r="D22" s="6">
        <f>IFERROR(INDEX('Kontrol Adımları'!$D:$D,MATCH(1,INDEX(('Kontrol Adımları'!$A$1:$A$400=B22)*('Kontrol Adımları'!$B$1:$B$400=C22),0),0)),"")</f>
        <v/>
      </c>
      <c r="E22" s="5" t="inlineStr">
        <is>
          <t>knife</t>
        </is>
      </c>
      <c r="F22" s="6">
        <f>IFERROR(INDEX('Kalem Kataloğu'!$C$1:$C$1000,MATCH(1,INDEX(('Kalem Kataloğu'!$A$1:$A$1000=A22)*('Kalem Kataloğu'!$B$1:$B$1000=E22),0),0)),"?")</f>
        <v/>
      </c>
      <c r="G22" s="6">
        <f>IFERROR(INDEX('Kalem Kataloğu'!$D$1:$D$1000,MATCH(1,INDEX(('Kalem Kataloğu'!$A$1:$A$1000=A22)*('Kalem Kataloğu'!$B$1:$B$1000=E22),0),0)),"?")</f>
        <v/>
      </c>
      <c r="H22" s="7" t="n">
        <v>6</v>
      </c>
      <c r="I22" s="7" t="inlineStr">
        <is>
          <t>Hayır</t>
        </is>
      </c>
      <c r="J22" s="5" t="inlineStr">
        <is>
          <t>X3 ile aynı varsayıldı</t>
        </is>
      </c>
      <c r="K22" s="5" t="inlineStr">
        <is>
          <t>Mutfak seti Tare Houses tiplerinde ortak görünüyor (Drive Mutfak Gereçleri). Odada say.</t>
        </is>
      </c>
    </row>
    <row r="23" ht="26.4" customHeight="1">
      <c r="A23" s="5" t="inlineStr">
        <is>
          <t>Tare Houses Hotel</t>
        </is>
      </c>
      <c r="B23" s="5" t="inlineStr">
        <is>
          <t>X1</t>
        </is>
      </c>
      <c r="C23" s="7" t="n"/>
      <c r="D23" s="6">
        <f>IFERROR(INDEX('Kontrol Adımları'!$D:$D,MATCH(1,INDEX(('Kontrol Adımları'!$A$1:$A$400=B23)*('Kontrol Adımları'!$B$1:$B$400=C23),0),0)),"")</f>
        <v/>
      </c>
      <c r="E23" s="5" t="inlineStr">
        <is>
          <t>spoon</t>
        </is>
      </c>
      <c r="F23" s="6">
        <f>IFERROR(INDEX('Kalem Kataloğu'!$C$1:$C$1000,MATCH(1,INDEX(('Kalem Kataloğu'!$A$1:$A$1000=A23)*('Kalem Kataloğu'!$B$1:$B$1000=E23),0),0)),"?")</f>
        <v/>
      </c>
      <c r="G23" s="6">
        <f>IFERROR(INDEX('Kalem Kataloğu'!$D$1:$D$1000,MATCH(1,INDEX(('Kalem Kataloğu'!$A$1:$A$1000=A23)*('Kalem Kataloğu'!$B$1:$B$1000=E23),0),0)),"?")</f>
        <v/>
      </c>
      <c r="H23" s="7" t="n">
        <v>6</v>
      </c>
      <c r="I23" s="7" t="inlineStr">
        <is>
          <t>Hayır</t>
        </is>
      </c>
      <c r="J23" s="5" t="inlineStr">
        <is>
          <t>X3 ile aynı varsayıldı</t>
        </is>
      </c>
      <c r="K23" s="5" t="inlineStr">
        <is>
          <t>Mutfak seti Tare Houses tiplerinde ortak görünüyor (Drive Mutfak Gereçleri). Odada say.</t>
        </is>
      </c>
    </row>
    <row r="24" ht="26.4" customHeight="1">
      <c r="A24" s="5" t="inlineStr">
        <is>
          <t>Tare Houses Hotel</t>
        </is>
      </c>
      <c r="B24" s="5" t="inlineStr">
        <is>
          <t>X1</t>
        </is>
      </c>
      <c r="C24" s="7" t="n"/>
      <c r="D24" s="6">
        <f>IFERROR(INDEX('Kontrol Adımları'!$D:$D,MATCH(1,INDEX(('Kontrol Adımları'!$A$1:$A$400=B24)*('Kontrol Adımları'!$B$1:$B$400=C24),0),0)),"")</f>
        <v/>
      </c>
      <c r="E24" s="5" t="inlineStr">
        <is>
          <t>fork</t>
        </is>
      </c>
      <c r="F24" s="6">
        <f>IFERROR(INDEX('Kalem Kataloğu'!$C$1:$C$1000,MATCH(1,INDEX(('Kalem Kataloğu'!$A$1:$A$1000=A24)*('Kalem Kataloğu'!$B$1:$B$1000=E24),0),0)),"?")</f>
        <v/>
      </c>
      <c r="G24" s="6">
        <f>IFERROR(INDEX('Kalem Kataloğu'!$D$1:$D$1000,MATCH(1,INDEX(('Kalem Kataloğu'!$A$1:$A$1000=A24)*('Kalem Kataloğu'!$B$1:$B$1000=E24),0),0)),"?")</f>
        <v/>
      </c>
      <c r="H24" s="7" t="n">
        <v>6</v>
      </c>
      <c r="I24" s="7" t="inlineStr">
        <is>
          <t>Hayır</t>
        </is>
      </c>
      <c r="J24" s="5" t="inlineStr">
        <is>
          <t>X3 ile aynı varsayıldı</t>
        </is>
      </c>
      <c r="K24" s="5" t="inlineStr">
        <is>
          <t>Mutfak seti Tare Houses tiplerinde ortak görünüyor (Drive Mutfak Gereçleri). Odada say.</t>
        </is>
      </c>
    </row>
    <row r="25" ht="52.8" customHeight="1">
      <c r="A25" s="5" t="inlineStr">
        <is>
          <t>Tare Houses Hotel</t>
        </is>
      </c>
      <c r="B25" s="5" t="inlineStr">
        <is>
          <t>X1</t>
        </is>
      </c>
      <c r="C25" s="7" t="n"/>
      <c r="D25" s="6">
        <f>IFERROR(INDEX('Kontrol Adımları'!$D:$D,MATCH(1,INDEX(('Kontrol Adımları'!$A$1:$A$400=B25)*('Kontrol Adımları'!$B$1:$B$400=C25),0),0)),"")</f>
        <v/>
      </c>
      <c r="E25" s="5" t="inlineStr">
        <is>
          <t>cutlery_tray</t>
        </is>
      </c>
      <c r="F25" s="6">
        <f>IFERROR(INDEX('Kalem Kataloğu'!$C$1:$C$1000,MATCH(1,INDEX(('Kalem Kataloğu'!$A$1:$A$1000=A25)*('Kalem Kataloğu'!$B$1:$B$1000=E25),0),0)),"?")</f>
        <v/>
      </c>
      <c r="G25" s="6">
        <f>IFERROR(INDEX('Kalem Kataloğu'!$D$1:$D$1000,MATCH(1,INDEX(('Kalem Kataloğu'!$A$1:$A$1000=A25)*('Kalem Kataloğu'!$B$1:$B$1000=E25),0),0)),"?")</f>
        <v/>
      </c>
      <c r="H25" s="7" t="n">
        <v>1</v>
      </c>
      <c r="I25" s="7" t="inlineStr">
        <is>
          <t>Hayır</t>
        </is>
      </c>
      <c r="J25" s="5" t="inlineStr">
        <is>
          <t>Drive foto (Tem. 2024)</t>
        </is>
      </c>
      <c r="K25" s="5" t="inlineStr">
        <is>
          <t>Çay kaşığı Excel X3: 5. Mutfak Gereçleri klasörü oda numarası belirtmiyor (Temmuz 2024 çekimi); tüm TH tiplerinde aynı mutfak seti olduğu varsayıldı, X3 değeri 18.10.2026 videosundan. [güven: yüksek]</t>
        </is>
      </c>
    </row>
    <row r="26" ht="26.4" customHeight="1">
      <c r="A26" s="5" t="inlineStr">
        <is>
          <t>Tare Houses Hotel</t>
        </is>
      </c>
      <c r="B26" s="5" t="inlineStr">
        <is>
          <t>X1</t>
        </is>
      </c>
      <c r="C26" s="7" t="n"/>
      <c r="D26" s="6">
        <f>IFERROR(INDEX('Kontrol Adımları'!$D:$D,MATCH(1,INDEX(('Kontrol Adımları'!$A$1:$A$400=B26)*('Kontrol Adımları'!$B$1:$B$400=C26),0),0)),"")</f>
        <v/>
      </c>
      <c r="E26" s="5" t="inlineStr">
        <is>
          <t>teaspoon</t>
        </is>
      </c>
      <c r="F26" s="6">
        <f>IFERROR(INDEX('Kalem Kataloğu'!$C$1:$C$1000,MATCH(1,INDEX(('Kalem Kataloğu'!$A$1:$A$1000=A26)*('Kalem Kataloğu'!$B$1:$B$1000=E26),0),0)),"?")</f>
        <v/>
      </c>
      <c r="G26" s="6">
        <f>IFERROR(INDEX('Kalem Kataloğu'!$D$1:$D$1000,MATCH(1,INDEX(('Kalem Kataloğu'!$A$1:$A$1000=A26)*('Kalem Kataloğu'!$B$1:$B$1000=E26),0),0)),"?")</f>
        <v/>
      </c>
      <c r="H26" s="7" t="n">
        <v>5</v>
      </c>
      <c r="I26" s="7" t="inlineStr">
        <is>
          <t>Hayır</t>
        </is>
      </c>
      <c r="J26" s="5" t="inlineStr">
        <is>
          <t>X3 ile aynı varsayıldı</t>
        </is>
      </c>
      <c r="K26" s="5" t="inlineStr">
        <is>
          <t>Mutfak seti Tare Houses tiplerinde ortak görünüyor (Drive Mutfak Gereçleri). Odada say.</t>
        </is>
      </c>
    </row>
    <row r="27" ht="79.2" customHeight="1">
      <c r="A27" s="5" t="inlineStr">
        <is>
          <t>Tare Houses Hotel</t>
        </is>
      </c>
      <c r="B27" s="5" t="inlineStr">
        <is>
          <t>X1</t>
        </is>
      </c>
      <c r="C27" s="7" t="n"/>
      <c r="D27" s="6">
        <f>IFERROR(INDEX('Kontrol Adımları'!$D:$D,MATCH(1,INDEX(('Kontrol Adımları'!$A$1:$A$400=B27)*('Kontrol Adımları'!$B$1:$B$400=C27),0),0)),"")</f>
        <v/>
      </c>
      <c r="E27" s="5" t="inlineStr">
        <is>
          <t>deep_plate</t>
        </is>
      </c>
      <c r="F27" s="6">
        <f>IFERROR(INDEX('Kalem Kataloğu'!$C$1:$C$1000,MATCH(1,INDEX(('Kalem Kataloğu'!$A$1:$A$1000=A27)*('Kalem Kataloğu'!$B$1:$B$1000=E27),0),0)),"?")</f>
        <v/>
      </c>
      <c r="G27" s="6">
        <f>IFERROR(INDEX('Kalem Kataloğu'!$D$1:$D$1000,MATCH(1,INDEX(('Kalem Kataloğu'!$A$1:$A$1000=A27)*('Kalem Kataloğu'!$B$1:$B$1000=E27),0),0)),"?")</f>
        <v/>
      </c>
      <c r="H27" s="7" t="n">
        <v>4</v>
      </c>
      <c r="I27" s="7" t="inlineStr">
        <is>
          <t>Hayır</t>
        </is>
      </c>
      <c r="J27" s="5" t="inlineStr">
        <is>
          <t>Drive foto (Tem. 2024)</t>
        </is>
      </c>
      <c r="K27" s="5" t="inlineStr">
        <is>
          <t>Dolapta 4'lü yığın. Excel X3 "Çukur tabak (yeşil)" 4 — fotoğrafta renk hardal-zeytin; aynı ürün olmalı. Mutfak Gereçleri klasörü oda numarası belirtmiyor (Temmuz 2024 çekimi); tüm TH tiplerinde aynı mutfak seti olduğu varsayıldı, X3 değeri 18.10.2026 videosundan. [güven: orta]</t>
        </is>
      </c>
    </row>
    <row r="28" ht="26.4" customHeight="1">
      <c r="A28" s="5" t="inlineStr">
        <is>
          <t>Tare Houses Hotel</t>
        </is>
      </c>
      <c r="B28" s="5" t="inlineStr">
        <is>
          <t>X1</t>
        </is>
      </c>
      <c r="C28" s="7" t="n"/>
      <c r="D28" s="6">
        <f>IFERROR(INDEX('Kontrol Adımları'!$D:$D,MATCH(1,INDEX(('Kontrol Adımları'!$A$1:$A$400=B28)*('Kontrol Adımları'!$B$1:$B$400=C28),0),0)),"")</f>
        <v/>
      </c>
      <c r="E28" s="5" t="inlineStr">
        <is>
          <t>corkscrew</t>
        </is>
      </c>
      <c r="F28" s="6">
        <f>IFERROR(INDEX('Kalem Kataloğu'!$C$1:$C$1000,MATCH(1,INDEX(('Kalem Kataloğu'!$A$1:$A$1000=A28)*('Kalem Kataloğu'!$B$1:$B$1000=E28),0),0)),"?")</f>
        <v/>
      </c>
      <c r="G28" s="6">
        <f>IFERROR(INDEX('Kalem Kataloğu'!$D$1:$D$1000,MATCH(1,INDEX(('Kalem Kataloğu'!$A$1:$A$1000=A28)*('Kalem Kataloğu'!$B$1:$B$1000=E28),0),0)),"?")</f>
        <v/>
      </c>
      <c r="H28" s="7" t="n">
        <v>1</v>
      </c>
      <c r="I28" s="7" t="inlineStr">
        <is>
          <t>Hayır</t>
        </is>
      </c>
      <c r="J28" s="5" t="inlineStr">
        <is>
          <t>Drive foto (Tem. 2024)</t>
        </is>
      </c>
      <c r="K28" s="5" t="inlineStr">
        <is>
          <t>Kaşıklığın sağ bölmesinde. Excel X3: 1. [güven: orta]</t>
        </is>
      </c>
    </row>
    <row r="29" ht="26.4" customHeight="1">
      <c r="A29" s="5" t="inlineStr">
        <is>
          <t>Tare Houses Hotel</t>
        </is>
      </c>
      <c r="B29" s="5" t="inlineStr">
        <is>
          <t>X1</t>
        </is>
      </c>
      <c r="C29" s="7" t="n"/>
      <c r="D29" s="6">
        <f>IFERROR(INDEX('Kontrol Adımları'!$D:$D,MATCH(1,INDEX(('Kontrol Adımları'!$A$1:$A$400=B29)*('Kontrol Adımları'!$B$1:$B$400=C29),0),0)),"")</f>
        <v/>
      </c>
      <c r="E29" s="5" t="inlineStr">
        <is>
          <t>wine_glass</t>
        </is>
      </c>
      <c r="F29" s="6">
        <f>IFERROR(INDEX('Kalem Kataloğu'!$C$1:$C$1000,MATCH(1,INDEX(('Kalem Kataloğu'!$A$1:$A$1000=A29)*('Kalem Kataloğu'!$B$1:$B$1000=E29),0),0)),"?")</f>
        <v/>
      </c>
      <c r="G29" s="6">
        <f>IFERROR(INDEX('Kalem Kataloğu'!$D$1:$D$1000,MATCH(1,INDEX(('Kalem Kataloğu'!$A$1:$A$1000=A29)*('Kalem Kataloğu'!$B$1:$B$1000=E29),0),0)),"?")</f>
        <v/>
      </c>
      <c r="H29" s="7" t="n">
        <v>2</v>
      </c>
      <c r="I29" s="7" t="inlineStr">
        <is>
          <t>Hayır</t>
        </is>
      </c>
      <c r="J29" s="5" t="inlineStr">
        <is>
          <t>X3 ile aynı varsayıldı</t>
        </is>
      </c>
      <c r="K29" s="5" t="inlineStr">
        <is>
          <t>Mutfak seti Tare Houses tiplerinde ortak görünüyor (Drive Mutfak Gereçleri). Odada say.</t>
        </is>
      </c>
    </row>
    <row r="30" ht="26.4" customHeight="1">
      <c r="A30" s="5" t="inlineStr">
        <is>
          <t>Tare Houses Hotel</t>
        </is>
      </c>
      <c r="B30" s="5" t="inlineStr">
        <is>
          <t>X2</t>
        </is>
      </c>
      <c r="C30" s="7" t="n"/>
      <c r="D30" s="6">
        <f>IFERROR(INDEX('Kontrol Adımları'!$D:$D,MATCH(1,INDEX(('Kontrol Adımları'!$A$1:$A$400=B30)*('Kontrol Adımları'!$B$1:$B$400=C30),0),0)),"")</f>
        <v/>
      </c>
      <c r="E30" s="5" t="inlineStr">
        <is>
          <t>wooden_bowl</t>
        </is>
      </c>
      <c r="F30" s="6">
        <f>IFERROR(INDEX('Kalem Kataloğu'!$C$1:$C$1000,MATCH(1,INDEX(('Kalem Kataloğu'!$A$1:$A$1000=A30)*('Kalem Kataloğu'!$B$1:$B$1000=E30),0),0)),"?")</f>
        <v/>
      </c>
      <c r="G30" s="6">
        <f>IFERROR(INDEX('Kalem Kataloğu'!$D$1:$D$1000,MATCH(1,INDEX(('Kalem Kataloğu'!$A$1:$A$1000=A30)*('Kalem Kataloğu'!$B$1:$B$1000=E30),0),0)),"?")</f>
        <v/>
      </c>
      <c r="H30" s="7" t="n">
        <v>1</v>
      </c>
      <c r="I30" s="7" t="inlineStr">
        <is>
          <t>Hayır</t>
        </is>
      </c>
      <c r="J30" s="5" t="inlineStr">
        <is>
          <t>X3 ile aynı varsayıldı</t>
        </is>
      </c>
      <c r="K30" s="5" t="inlineStr">
        <is>
          <t>Mutfak seti Tare Houses tiplerinde ortak görünüyor (Drive Mutfak Gereçleri). Odada say.</t>
        </is>
      </c>
    </row>
    <row r="31" ht="26.4" customHeight="1">
      <c r="A31" s="5" t="inlineStr">
        <is>
          <t>Tare Houses Hotel</t>
        </is>
      </c>
      <c r="B31" s="5" t="inlineStr">
        <is>
          <t>X2</t>
        </is>
      </c>
      <c r="C31" s="7" t="n"/>
      <c r="D31" s="6">
        <f>IFERROR(INDEX('Kontrol Adımları'!$D:$D,MATCH(1,INDEX(('Kontrol Adımları'!$A$1:$A$400=B31)*('Kontrol Adımları'!$B$1:$B$400=C31),0),0)),"")</f>
        <v/>
      </c>
      <c r="E31" s="5" t="inlineStr">
        <is>
          <t>dish_rack</t>
        </is>
      </c>
      <c r="F31" s="6">
        <f>IFERROR(INDEX('Kalem Kataloğu'!$C$1:$C$1000,MATCH(1,INDEX(('Kalem Kataloğu'!$A$1:$A$1000=A31)*('Kalem Kataloğu'!$B$1:$B$1000=E31),0),0)),"?")</f>
        <v/>
      </c>
      <c r="G31" s="6">
        <f>IFERROR(INDEX('Kalem Kataloğu'!$D$1:$D$1000,MATCH(1,INDEX(('Kalem Kataloğu'!$A$1:$A$1000=A31)*('Kalem Kataloğu'!$B$1:$B$1000=E31),0),0)),"?")</f>
        <v/>
      </c>
      <c r="H31" s="7" t="n">
        <v>1</v>
      </c>
      <c r="I31" s="7" t="inlineStr">
        <is>
          <t>Hayır</t>
        </is>
      </c>
      <c r="J31" s="5" t="inlineStr">
        <is>
          <t>Drive foto (Tem. 2024)</t>
        </is>
      </c>
      <c r="K31" s="5" t="inlineStr">
        <is>
          <t xml:space="preserve"> [güven: yüksek]</t>
        </is>
      </c>
    </row>
    <row r="32" ht="66" customHeight="1">
      <c r="A32" s="5" t="inlineStr">
        <is>
          <t>Tare Houses Hotel</t>
        </is>
      </c>
      <c r="B32" s="5" t="inlineStr">
        <is>
          <t>X2</t>
        </is>
      </c>
      <c r="C32" s="7" t="n"/>
      <c r="D32" s="6">
        <f>IFERROR(INDEX('Kontrol Adımları'!$D:$D,MATCH(1,INDEX(('Kontrol Adımları'!$A$1:$A$400=B32)*('Kontrol Adımları'!$B$1:$B$400=C32),0),0)),"")</f>
        <v/>
      </c>
      <c r="E32" s="5" t="inlineStr">
        <is>
          <t>dinner_plate</t>
        </is>
      </c>
      <c r="F32" s="6">
        <f>IFERROR(INDEX('Kalem Kataloğu'!$C$1:$C$1000,MATCH(1,INDEX(('Kalem Kataloğu'!$A$1:$A$1000=A32)*('Kalem Kataloğu'!$B$1:$B$1000=E32),0),0)),"?")</f>
        <v/>
      </c>
      <c r="G32" s="6">
        <f>IFERROR(INDEX('Kalem Kataloğu'!$D$1:$D$1000,MATCH(1,INDEX(('Kalem Kataloğu'!$A$1:$A$1000=A32)*('Kalem Kataloğu'!$B$1:$B$1000=E32),0),0)),"?")</f>
        <v/>
      </c>
      <c r="H32" s="7" t="n">
        <v>4</v>
      </c>
      <c r="I32" s="7" t="inlineStr">
        <is>
          <t>Hayır</t>
        </is>
      </c>
      <c r="J32" s="5" t="inlineStr">
        <is>
          <t>Drive foto (Tem. 2024)</t>
        </is>
      </c>
      <c r="K32" s="5" t="inlineStr">
        <is>
          <t>Dolapta 4'lü yığın. Excel X3: "Büyük tabak (gri)" 4 → uyumlu. Mutfak Gereçleri klasörü oda numarası belirtmiyor (Temmuz 2024 çekimi); tüm TH tiplerinde aynı mutfak seti olduğu varsayıldı, X3 değeri 18.10.2026 videosundan. [güven: orta]</t>
        </is>
      </c>
    </row>
    <row r="33" ht="26.4" customHeight="1">
      <c r="A33" s="5" t="inlineStr">
        <is>
          <t>Tare Houses Hotel</t>
        </is>
      </c>
      <c r="B33" s="5" t="inlineStr">
        <is>
          <t>X2</t>
        </is>
      </c>
      <c r="C33" s="7" t="n"/>
      <c r="D33" s="6">
        <f>IFERROR(INDEX('Kontrol Adımları'!$D:$D,MATCH(1,INDEX(('Kontrol Adımları'!$A$1:$A$400=B33)*('Kontrol Adımları'!$B$1:$B$400=C33),0),0)),"")</f>
        <v/>
      </c>
      <c r="E33" s="5" t="inlineStr">
        <is>
          <t>sponge_caddy</t>
        </is>
      </c>
      <c r="F33" s="6">
        <f>IFERROR(INDEX('Kalem Kataloğu'!$C$1:$C$1000,MATCH(1,INDEX(('Kalem Kataloğu'!$A$1:$A$1000=A33)*('Kalem Kataloğu'!$B$1:$B$1000=E33),0),0)),"?")</f>
        <v/>
      </c>
      <c r="G33" s="6">
        <f>IFERROR(INDEX('Kalem Kataloğu'!$D$1:$D$1000,MATCH(1,INDEX(('Kalem Kataloğu'!$A$1:$A$1000=A33)*('Kalem Kataloğu'!$B$1:$B$1000=E33),0),0)),"?")</f>
        <v/>
      </c>
      <c r="H33" s="7" t="n">
        <v>1</v>
      </c>
      <c r="I33" s="7" t="inlineStr">
        <is>
          <t>Hayır</t>
        </is>
      </c>
      <c r="J33" s="5" t="inlineStr">
        <is>
          <t>Drive foto (Tem. 2024)</t>
        </is>
      </c>
      <c r="K33" s="5" t="inlineStr">
        <is>
          <t>Excel X3: fırça+sünger+deterjan standı 1. Sünger sarf. [güven: yüksek]</t>
        </is>
      </c>
    </row>
    <row r="34" ht="66" customHeight="1">
      <c r="A34" s="5" t="inlineStr">
        <is>
          <t>Tare Houses Hotel</t>
        </is>
      </c>
      <c r="B34" s="5" t="inlineStr">
        <is>
          <t>X2</t>
        </is>
      </c>
      <c r="C34" s="7" t="n"/>
      <c r="D34" s="6">
        <f>IFERROR(INDEX('Kontrol Adımları'!$D:$D,MATCH(1,INDEX(('Kontrol Adımları'!$A$1:$A$400=B34)*('Kontrol Adımları'!$B$1:$B$400=C34),0),0)),"")</f>
        <v/>
      </c>
      <c r="E34" s="5" t="inlineStr">
        <is>
          <t>bowl</t>
        </is>
      </c>
      <c r="F34" s="6">
        <f>IFERROR(INDEX('Kalem Kataloğu'!$C$1:$C$1000,MATCH(1,INDEX(('Kalem Kataloğu'!$A$1:$A$1000=A34)*('Kalem Kataloğu'!$B$1:$B$1000=E34),0),0)),"?")</f>
        <v/>
      </c>
      <c r="G34" s="6">
        <f>IFERROR(INDEX('Kalem Kataloğu'!$D$1:$D$1000,MATCH(1,INDEX(('Kalem Kataloğu'!$A$1:$A$1000=A34)*('Kalem Kataloğu'!$B$1:$B$1000=E34),0),0)),"?")</f>
        <v/>
      </c>
      <c r="H34" s="7" t="n">
        <v>4</v>
      </c>
      <c r="I34" s="7" t="inlineStr">
        <is>
          <t>Hayır</t>
        </is>
      </c>
      <c r="J34" s="5" t="inlineStr">
        <is>
          <t>Drive foto (Tem. 2024)</t>
        </is>
      </c>
      <c r="K34" s="5" t="inlineStr">
        <is>
          <t>Dolapta 4'lü yığın. Excel X3 "Kase (yeşil)" 4 → uyumlu (renk farkı algısal). Mutfak Gereçleri klasörü oda numarası belirtmiyor (Temmuz 2024 çekimi); tüm TH tiplerinde aynı mutfak seti olduğu varsayıldı, X3 değeri 18.10.2026 videosundan. [güven: orta]</t>
        </is>
      </c>
    </row>
    <row r="35" ht="26.4" customHeight="1">
      <c r="A35" s="5" t="inlineStr">
        <is>
          <t>Tare Houses Hotel</t>
        </is>
      </c>
      <c r="B35" s="5" t="inlineStr">
        <is>
          <t>X2</t>
        </is>
      </c>
      <c r="C35" s="7" t="n"/>
      <c r="D35" s="6">
        <f>IFERROR(INDEX('Kontrol Adımları'!$D:$D,MATCH(1,INDEX(('Kontrol Adımları'!$A$1:$A$400=B35)*('Kontrol Adımları'!$B$1:$B$400=C35),0),0)),"")</f>
        <v/>
      </c>
      <c r="E35" s="5" t="inlineStr">
        <is>
          <t>cutting_board</t>
        </is>
      </c>
      <c r="F35" s="6">
        <f>IFERROR(INDEX('Kalem Kataloğu'!$C$1:$C$1000,MATCH(1,INDEX(('Kalem Kataloğu'!$A$1:$A$1000=A35)*('Kalem Kataloğu'!$B$1:$B$1000=E35),0),0)),"?")</f>
        <v/>
      </c>
      <c r="G35" s="6">
        <f>IFERROR(INDEX('Kalem Kataloğu'!$D$1:$D$1000,MATCH(1,INDEX(('Kalem Kataloğu'!$A$1:$A$1000=A35)*('Kalem Kataloğu'!$B$1:$B$1000=E35),0),0)),"?")</f>
        <v/>
      </c>
      <c r="H35" s="7" t="n">
        <v>1</v>
      </c>
      <c r="I35" s="7" t="inlineStr">
        <is>
          <t>Hayır</t>
        </is>
      </c>
      <c r="J35" s="5" t="inlineStr">
        <is>
          <t>Drive foto (Tem. 2024)</t>
        </is>
      </c>
      <c r="K35" s="5" t="inlineStr">
        <is>
          <t>Bıçak seti kutusunun altında. Excel X3: kesme tahtası 1. [güven: orta]</t>
        </is>
      </c>
    </row>
    <row r="36" ht="66" customHeight="1">
      <c r="A36" s="5" t="inlineStr">
        <is>
          <t>Tare Houses Hotel</t>
        </is>
      </c>
      <c r="B36" s="5" t="inlineStr">
        <is>
          <t>X2</t>
        </is>
      </c>
      <c r="C36" s="7" t="n"/>
      <c r="D36" s="6">
        <f>IFERROR(INDEX('Kontrol Adımları'!$D:$D,MATCH(1,INDEX(('Kontrol Adımları'!$A$1:$A$400=B36)*('Kontrol Adımları'!$B$1:$B$400=C36),0),0)),"")</f>
        <v/>
      </c>
      <c r="E36" s="5" t="inlineStr">
        <is>
          <t>knife_set</t>
        </is>
      </c>
      <c r="F36" s="6">
        <f>IFERROR(INDEX('Kalem Kataloğu'!$C$1:$C$1000,MATCH(1,INDEX(('Kalem Kataloğu'!$A$1:$A$1000=A36)*('Kalem Kataloğu'!$B$1:$B$1000=E36),0),0)),"?")</f>
        <v/>
      </c>
      <c r="G36" s="6">
        <f>IFERROR(INDEX('Kalem Kataloğu'!$D$1:$D$1000,MATCH(1,INDEX(('Kalem Kataloğu'!$A$1:$A$1000=A36)*('Kalem Kataloğu'!$B$1:$B$1000=E36),0),0)),"?")</f>
        <v/>
      </c>
      <c r="H36" s="7" t="n">
        <v>1</v>
      </c>
      <c r="I36" s="7" t="inlineStr">
        <is>
          <t>Hayır</t>
        </is>
      </c>
      <c r="J36" s="5" t="inlineStr">
        <is>
          <t>Drive foto (Tem. 2024)</t>
        </is>
      </c>
      <c r="K36" s="5" t="inlineStr">
        <is>
          <t>Excel X3: Kiyomi bıçak seti 1. Kutu içi 7 parça tam mı kontrol edilmeli. Mutfak Gereçleri klasörü oda numarası belirtmiyor (Temmuz 2024 çekimi); tüm TH tiplerinde aynı mutfak seti olduğu varsayıldı, X3 değeri 18.10.2026 videosundan. [güven: yüksek]</t>
        </is>
      </c>
    </row>
    <row r="37" ht="26.4" customHeight="1">
      <c r="A37" s="5" t="inlineStr">
        <is>
          <t>Tare Houses Hotel</t>
        </is>
      </c>
      <c r="B37" s="5" t="inlineStr">
        <is>
          <t>X2</t>
        </is>
      </c>
      <c r="C37" s="7" t="n"/>
      <c r="D37" s="6">
        <f>IFERROR(INDEX('Kontrol Adımları'!$D:$D,MATCH(1,INDEX(('Kontrol Adımları'!$A$1:$A$400=B37)*('Kontrol Adımları'!$B$1:$B$400=C37),0),0)),"")</f>
        <v/>
      </c>
      <c r="E37" s="5" t="inlineStr">
        <is>
          <t>saucepan</t>
        </is>
      </c>
      <c r="F37" s="6">
        <f>IFERROR(INDEX('Kalem Kataloğu'!$C$1:$C$1000,MATCH(1,INDEX(('Kalem Kataloğu'!$A$1:$A$1000=A37)*('Kalem Kataloğu'!$B$1:$B$1000=E37),0),0)),"?")</f>
        <v/>
      </c>
      <c r="G37" s="6">
        <f>IFERROR(INDEX('Kalem Kataloğu'!$D$1:$D$1000,MATCH(1,INDEX(('Kalem Kataloğu'!$A$1:$A$1000=A37)*('Kalem Kataloğu'!$B$1:$B$1000=E37),0),0)),"?")</f>
        <v/>
      </c>
      <c r="H37" s="7" t="n">
        <v>1</v>
      </c>
      <c r="I37" s="7" t="inlineStr">
        <is>
          <t>Hayır</t>
        </is>
      </c>
      <c r="J37" s="5" t="inlineStr">
        <is>
          <t>X3 ile aynı varsayıldı</t>
        </is>
      </c>
      <c r="K37" s="5" t="inlineStr">
        <is>
          <t>Mutfak seti Tare Houses tiplerinde ortak görünüyor (Drive Mutfak Gereçleri). Odada say.</t>
        </is>
      </c>
    </row>
    <row r="38" ht="26.4" customHeight="1">
      <c r="A38" s="5" t="inlineStr">
        <is>
          <t>Tare Houses Hotel</t>
        </is>
      </c>
      <c r="B38" s="5" t="inlineStr">
        <is>
          <t>X2</t>
        </is>
      </c>
      <c r="C38" s="7" t="n"/>
      <c r="D38" s="6">
        <f>IFERROR(INDEX('Kontrol Adımları'!$D:$D,MATCH(1,INDEX(('Kontrol Adımları'!$A$1:$A$400=B38)*('Kontrol Adımları'!$B$1:$B$400=C38),0),0)),"")</f>
        <v/>
      </c>
      <c r="E38" s="5" t="inlineStr">
        <is>
          <t>mug</t>
        </is>
      </c>
      <c r="F38" s="6">
        <f>IFERROR(INDEX('Kalem Kataloğu'!$C$1:$C$1000,MATCH(1,INDEX(('Kalem Kataloğu'!$A$1:$A$1000=A38)*('Kalem Kataloğu'!$B$1:$B$1000=E38),0),0)),"?")</f>
        <v/>
      </c>
      <c r="G38" s="6">
        <f>IFERROR(INDEX('Kalem Kataloğu'!$D$1:$D$1000,MATCH(1,INDEX(('Kalem Kataloğu'!$A$1:$A$1000=A38)*('Kalem Kataloğu'!$B$1:$B$1000=E38),0),0)),"?")</f>
        <v/>
      </c>
      <c r="H38" s="7" t="n">
        <v>2</v>
      </c>
      <c r="I38" s="7" t="inlineStr">
        <is>
          <t>Hayır</t>
        </is>
      </c>
      <c r="J38" s="5" t="inlineStr">
        <is>
          <t>X3 ile aynı varsayıldı</t>
        </is>
      </c>
      <c r="K38" s="5" t="inlineStr">
        <is>
          <t>Mutfak seti Tare Houses tiplerinde ortak görünüyor (Drive Mutfak Gereçleri). Odada say.</t>
        </is>
      </c>
    </row>
    <row r="39" ht="66" customHeight="1">
      <c r="A39" s="5" t="inlineStr">
        <is>
          <t>Tare Houses Hotel</t>
        </is>
      </c>
      <c r="B39" s="5" t="inlineStr">
        <is>
          <t>X2</t>
        </is>
      </c>
      <c r="C39" s="7" t="n"/>
      <c r="D39" s="6">
        <f>IFERROR(INDEX('Kontrol Adımları'!$D:$D,MATCH(1,INDEX(('Kontrol Adımları'!$A$1:$A$400=B39)*('Kontrol Adımları'!$B$1:$B$400=C39),0),0)),"")</f>
        <v/>
      </c>
      <c r="E39" s="5" t="inlineStr">
        <is>
          <t>side_plate</t>
        </is>
      </c>
      <c r="F39" s="6">
        <f>IFERROR(INDEX('Kalem Kataloğu'!$C$1:$C$1000,MATCH(1,INDEX(('Kalem Kataloğu'!$A$1:$A$1000=A39)*('Kalem Kataloğu'!$B$1:$B$1000=E39),0),0)),"?")</f>
        <v/>
      </c>
      <c r="G39" s="6">
        <f>IFERROR(INDEX('Kalem Kataloğu'!$D$1:$D$1000,MATCH(1,INDEX(('Kalem Kataloğu'!$A$1:$A$1000=A39)*('Kalem Kataloğu'!$B$1:$B$1000=E39),0),0)),"?")</f>
        <v/>
      </c>
      <c r="H39" s="7" t="n">
        <v>4</v>
      </c>
      <c r="I39" s="7" t="inlineStr">
        <is>
          <t>Hayır</t>
        </is>
      </c>
      <c r="J39" s="5" t="inlineStr">
        <is>
          <t>Drive foto (Tem. 2024)</t>
        </is>
      </c>
      <c r="K39" s="5" t="inlineStr">
        <is>
          <t>Dolapta 4'lü yığın. Excel X3: "Küçük tabak (gri)" 4 → uyumlu. Mutfak Gereçleri klasörü oda numarası belirtmiyor (Temmuz 2024 çekimi); tüm TH tiplerinde aynı mutfak seti olduğu varsayıldı, X3 değeri 18.10.2026 videosundan. [güven: orta]</t>
        </is>
      </c>
    </row>
    <row r="40" ht="26.4" customHeight="1">
      <c r="A40" s="5" t="inlineStr">
        <is>
          <t>Tare Houses Hotel</t>
        </is>
      </c>
      <c r="B40" s="5" t="inlineStr">
        <is>
          <t>X2</t>
        </is>
      </c>
      <c r="C40" s="7" t="n"/>
      <c r="D40" s="6">
        <f>IFERROR(INDEX('Kontrol Adımları'!$D:$D,MATCH(1,INDEX(('Kontrol Adımları'!$A$1:$A$400=B40)*('Kontrol Adımları'!$B$1:$B$400=C40),0),0)),"")</f>
        <v/>
      </c>
      <c r="E40" s="5" t="inlineStr">
        <is>
          <t>small_plate_green</t>
        </is>
      </c>
      <c r="F40" s="6">
        <f>IFERROR(INDEX('Kalem Kataloğu'!$C$1:$C$1000,MATCH(1,INDEX(('Kalem Kataloğu'!$A$1:$A$1000=A40)*('Kalem Kataloğu'!$B$1:$B$1000=E40),0),0)),"?")</f>
        <v/>
      </c>
      <c r="G40" s="6">
        <f>IFERROR(INDEX('Kalem Kataloğu'!$D$1:$D$1000,MATCH(1,INDEX(('Kalem Kataloğu'!$A$1:$A$1000=A40)*('Kalem Kataloğu'!$B$1:$B$1000=E40),0),0)),"?")</f>
        <v/>
      </c>
      <c r="H40" s="7" t="n">
        <v>4</v>
      </c>
      <c r="I40" s="7" t="inlineStr">
        <is>
          <t>Hayır</t>
        </is>
      </c>
      <c r="J40" s="5" t="inlineStr">
        <is>
          <t>X3 ile aynı varsayıldı</t>
        </is>
      </c>
      <c r="K40" s="5" t="inlineStr">
        <is>
          <t>Mutfak seti Tare Houses tiplerinde ortak görünüyor (Drive Mutfak Gereçleri). Odada say.</t>
        </is>
      </c>
    </row>
    <row r="41" ht="26.4" customHeight="1">
      <c r="A41" s="5" t="inlineStr">
        <is>
          <t>Tare Houses Hotel</t>
        </is>
      </c>
      <c r="B41" s="5" t="inlineStr">
        <is>
          <t>X2</t>
        </is>
      </c>
      <c r="C41" s="7" t="n"/>
      <c r="D41" s="6">
        <f>IFERROR(INDEX('Kontrol Adımları'!$D:$D,MATCH(1,INDEX(('Kontrol Adımları'!$A$1:$A$400=B41)*('Kontrol Adımları'!$B$1:$B$400=C41),0),0)),"")</f>
        <v/>
      </c>
      <c r="E41" s="5" t="inlineStr">
        <is>
          <t>trivet</t>
        </is>
      </c>
      <c r="F41" s="6">
        <f>IFERROR(INDEX('Kalem Kataloğu'!$C$1:$C$1000,MATCH(1,INDEX(('Kalem Kataloğu'!$A$1:$A$1000=A41)*('Kalem Kataloğu'!$B$1:$B$1000=E41),0),0)),"?")</f>
        <v/>
      </c>
      <c r="G41" s="6">
        <f>IFERROR(INDEX('Kalem Kataloğu'!$D$1:$D$1000,MATCH(1,INDEX(('Kalem Kataloğu'!$A$1:$A$1000=A41)*('Kalem Kataloğu'!$B$1:$B$1000=E41),0),0)),"?")</f>
        <v/>
      </c>
      <c r="H41" s="7" t="n">
        <v>1</v>
      </c>
      <c r="I41" s="7" t="inlineStr">
        <is>
          <t>Hayır</t>
        </is>
      </c>
      <c r="J41" s="5" t="inlineStr">
        <is>
          <t>X3 ile aynı varsayıldı</t>
        </is>
      </c>
      <c r="K41" s="5" t="inlineStr">
        <is>
          <t>Mutfak seti Tare Houses tiplerinde ortak görünüyor (Drive Mutfak Gereçleri). Odada say.</t>
        </is>
      </c>
    </row>
    <row r="42" ht="52.8" customHeight="1">
      <c r="A42" s="5" t="inlineStr">
        <is>
          <t>Tare Houses Hotel</t>
        </is>
      </c>
      <c r="B42" s="5" t="inlineStr">
        <is>
          <t>X2</t>
        </is>
      </c>
      <c r="C42" s="7" t="n"/>
      <c r="D42" s="6">
        <f>IFERROR(INDEX('Kontrol Adımları'!$D:$D,MATCH(1,INDEX(('Kontrol Adımları'!$A$1:$A$400=B42)*('Kontrol Adımları'!$B$1:$B$400=C42),0),0)),"")</f>
        <v/>
      </c>
      <c r="E42" s="5" t="inlineStr">
        <is>
          <t>silicone_slotted</t>
        </is>
      </c>
      <c r="F42" s="6">
        <f>IFERROR(INDEX('Kalem Kataloğu'!$C$1:$C$1000,MATCH(1,INDEX(('Kalem Kataloğu'!$A$1:$A$1000=A42)*('Kalem Kataloğu'!$B$1:$B$1000=E42),0),0)),"?")</f>
        <v/>
      </c>
      <c r="G42" s="6">
        <f>IFERROR(INDEX('Kalem Kataloğu'!$D$1:$D$1000,MATCH(1,INDEX(('Kalem Kataloğu'!$A$1:$A$1000=A42)*('Kalem Kataloğu'!$B$1:$B$1000=E42),0),0)),"?")</f>
        <v/>
      </c>
      <c r="H42" s="7" t="n">
        <v>1</v>
      </c>
      <c r="I42" s="7" t="inlineStr">
        <is>
          <t>Hayır</t>
        </is>
      </c>
      <c r="J42" s="5" t="inlineStr">
        <is>
          <t>Drive foto (Tem. 2024)</t>
        </is>
      </c>
      <c r="K42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43" ht="52.8" customHeight="1">
      <c r="A43" s="5" t="inlineStr">
        <is>
          <t>Tare Houses Hotel</t>
        </is>
      </c>
      <c r="B43" s="5" t="inlineStr">
        <is>
          <t>X2</t>
        </is>
      </c>
      <c r="C43" s="7" t="n"/>
      <c r="D43" s="6">
        <f>IFERROR(INDEX('Kontrol Adımları'!$D:$D,MATCH(1,INDEX(('Kontrol Adımları'!$A$1:$A$400=B43)*('Kontrol Adımları'!$B$1:$B$400=C43),0),0)),"")</f>
        <v/>
      </c>
      <c r="E43" s="5" t="inlineStr">
        <is>
          <t>silicone_spoon</t>
        </is>
      </c>
      <c r="F43" s="6">
        <f>IFERROR(INDEX('Kalem Kataloğu'!$C$1:$C$1000,MATCH(1,INDEX(('Kalem Kataloğu'!$A$1:$A$1000=A43)*('Kalem Kataloğu'!$B$1:$B$1000=E43),0),0)),"?")</f>
        <v/>
      </c>
      <c r="G43" s="6">
        <f>IFERROR(INDEX('Kalem Kataloğu'!$D$1:$D$1000,MATCH(1,INDEX(('Kalem Kataloğu'!$A$1:$A$1000=A43)*('Kalem Kataloğu'!$B$1:$B$1000=E43),0),0)),"?")</f>
        <v/>
      </c>
      <c r="H43" s="7" t="n">
        <v>1</v>
      </c>
      <c r="I43" s="7" t="inlineStr">
        <is>
          <t>Hayır</t>
        </is>
      </c>
      <c r="J43" s="5" t="inlineStr">
        <is>
          <t>Drive foto (Tem. 2024)</t>
        </is>
      </c>
      <c r="K43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44" ht="66" customHeight="1">
      <c r="A44" s="5" t="inlineStr">
        <is>
          <t>Tare Houses Hotel</t>
        </is>
      </c>
      <c r="B44" s="5" t="inlineStr">
        <is>
          <t>X2</t>
        </is>
      </c>
      <c r="C44" s="7" t="n"/>
      <c r="D44" s="6">
        <f>IFERROR(INDEX('Kontrol Adımları'!$D:$D,MATCH(1,INDEX(('Kontrol Adımları'!$A$1:$A$400=B44)*('Kontrol Adımları'!$B$1:$B$400=C44),0),0)),"")</f>
        <v/>
      </c>
      <c r="E44" s="5" t="inlineStr">
        <is>
          <t>sauce_bowl</t>
        </is>
      </c>
      <c r="F44" s="6">
        <f>IFERROR(INDEX('Kalem Kataloğu'!$C$1:$C$1000,MATCH(1,INDEX(('Kalem Kataloğu'!$A$1:$A$1000=A44)*('Kalem Kataloğu'!$B$1:$B$1000=E44),0),0)),"?")</f>
        <v/>
      </c>
      <c r="G44" s="6">
        <f>IFERROR(INDEX('Kalem Kataloğu'!$D$1:$D$1000,MATCH(1,INDEX(('Kalem Kataloğu'!$A$1:$A$1000=A44)*('Kalem Kataloğu'!$B$1:$B$1000=E44),0),0)),"?")</f>
        <v/>
      </c>
      <c r="H44" s="7" t="n">
        <v>4</v>
      </c>
      <c r="I44" s="7" t="inlineStr">
        <is>
          <t>Hayır</t>
        </is>
      </c>
      <c r="J44" s="5" t="inlineStr">
        <is>
          <t>Drive foto (Tem. 2024)</t>
        </is>
      </c>
      <c r="K44" s="5" t="inlineStr">
        <is>
          <t>Fotoğrafta 4'lü yığın. Excel X3 "Sos kasesi (krem)" 4 → uyumlu. Mutfak Gereçleri klasörü oda numarası belirtmiyor (Temmuz 2024 çekimi); tüm TH tiplerinde aynı mutfak seti olduğu varsayıldı, X3 değeri 18.10.2026 videosundan. [güven: orta]</t>
        </is>
      </c>
    </row>
    <row r="45" ht="66" customHeight="1">
      <c r="A45" s="5" t="inlineStr">
        <is>
          <t>Tare Houses Hotel</t>
        </is>
      </c>
      <c r="B45" s="5" t="inlineStr">
        <is>
          <t>X2</t>
        </is>
      </c>
      <c r="C45" s="7" t="n"/>
      <c r="D45" s="6">
        <f>IFERROR(INDEX('Kontrol Adımları'!$D:$D,MATCH(1,INDEX(('Kontrol Adımları'!$A$1:$A$400=B45)*('Kontrol Adımları'!$B$1:$B$400=C45),0),0)),"")</f>
        <v/>
      </c>
      <c r="E45" s="5" t="inlineStr">
        <is>
          <t>water_glass</t>
        </is>
      </c>
      <c r="F45" s="6">
        <f>IFERROR(INDEX('Kalem Kataloğu'!$C$1:$C$1000,MATCH(1,INDEX(('Kalem Kataloğu'!$A$1:$A$1000=A45)*('Kalem Kataloğu'!$B$1:$B$1000=E45),0),0)),"?")</f>
        <v/>
      </c>
      <c r="G45" s="6">
        <f>IFERROR(INDEX('Kalem Kataloğu'!$D$1:$D$1000,MATCH(1,INDEX(('Kalem Kataloğu'!$A$1:$A$1000=A45)*('Kalem Kataloğu'!$B$1:$B$1000=E45),0),0)),"?")</f>
        <v/>
      </c>
      <c r="H45" s="7" t="n">
        <v>4</v>
      </c>
      <c r="I45" s="7" t="inlineStr">
        <is>
          <t>Hayır</t>
        </is>
      </c>
      <c r="J45" s="5" t="inlineStr">
        <is>
          <t>Drive foto (Tem. 2024)</t>
        </is>
      </c>
      <c r="K45" s="5" t="inlineStr">
        <is>
          <t>Fotoğrafta 4. Excel X3: 4 (doğrulanmadı). Mutfak Gereçleri klasörü oda numarası belirtmiyor (Temmuz 2024 çekimi); tüm TH tiplerinde aynı mutfak seti olduğu varsayıldı, X3 değeri 18.10.2026 videosundan. [güven: orta]</t>
        </is>
      </c>
    </row>
    <row r="46" ht="26.4" customHeight="1">
      <c r="A46" s="5" t="inlineStr">
        <is>
          <t>Tare Houses Hotel</t>
        </is>
      </c>
      <c r="B46" s="5" t="inlineStr">
        <is>
          <t>X2</t>
        </is>
      </c>
      <c r="C46" s="7" t="n"/>
      <c r="D46" s="6">
        <f>IFERROR(INDEX('Kontrol Adımları'!$D:$D,MATCH(1,INDEX(('Kontrol Adımları'!$A$1:$A$400=B46)*('Kontrol Adımları'!$B$1:$B$400=C46),0),0)),"")</f>
        <v/>
      </c>
      <c r="E46" s="5" t="inlineStr">
        <is>
          <t>frying_pan</t>
        </is>
      </c>
      <c r="F46" s="6">
        <f>IFERROR(INDEX('Kalem Kataloğu'!$C$1:$C$1000,MATCH(1,INDEX(('Kalem Kataloğu'!$A$1:$A$1000=A46)*('Kalem Kataloğu'!$B$1:$B$1000=E46),0),0)),"?")</f>
        <v/>
      </c>
      <c r="G46" s="6">
        <f>IFERROR(INDEX('Kalem Kataloğu'!$D$1:$D$1000,MATCH(1,INDEX(('Kalem Kataloğu'!$A$1:$A$1000=A46)*('Kalem Kataloğu'!$B$1:$B$1000=E46),0),0)),"?")</f>
        <v/>
      </c>
      <c r="H46" s="7" t="n">
        <v>1</v>
      </c>
      <c r="I46" s="7" t="inlineStr">
        <is>
          <t>Hayır</t>
        </is>
      </c>
      <c r="J46" s="5" t="inlineStr">
        <is>
          <t>X3 ile aynı varsayıldı</t>
        </is>
      </c>
      <c r="K46" s="5" t="inlineStr">
        <is>
          <t>Mutfak seti Tare Houses tiplerinde ortak görünüyor (Drive Mutfak Gereçleri). Odada say.</t>
        </is>
      </c>
    </row>
    <row r="47" ht="26.4" customHeight="1">
      <c r="A47" s="5" t="inlineStr">
        <is>
          <t>Tare Houses Hotel</t>
        </is>
      </c>
      <c r="B47" s="5" t="inlineStr">
        <is>
          <t>X2</t>
        </is>
      </c>
      <c r="C47" s="7" t="n"/>
      <c r="D47" s="6">
        <f>IFERROR(INDEX('Kontrol Adımları'!$D:$D,MATCH(1,INDEX(('Kontrol Adımları'!$A$1:$A$400=B47)*('Kontrol Adımları'!$B$1:$B$400=C47),0),0)),"")</f>
        <v/>
      </c>
      <c r="E47" s="5" t="inlineStr">
        <is>
          <t>pot</t>
        </is>
      </c>
      <c r="F47" s="6">
        <f>IFERROR(INDEX('Kalem Kataloğu'!$C$1:$C$1000,MATCH(1,INDEX(('Kalem Kataloğu'!$A$1:$A$1000=A47)*('Kalem Kataloğu'!$B$1:$B$1000=E47),0),0)),"?")</f>
        <v/>
      </c>
      <c r="G47" s="6">
        <f>IFERROR(INDEX('Kalem Kataloğu'!$D$1:$D$1000,MATCH(1,INDEX(('Kalem Kataloğu'!$A$1:$A$1000=A47)*('Kalem Kataloğu'!$B$1:$B$1000=E47),0),0)),"?")</f>
        <v/>
      </c>
      <c r="H47" s="7" t="n">
        <v>2</v>
      </c>
      <c r="I47" s="7" t="inlineStr">
        <is>
          <t>Hayır</t>
        </is>
      </c>
      <c r="J47" s="5" t="inlineStr">
        <is>
          <t>X3 ile aynı varsayıldı</t>
        </is>
      </c>
      <c r="K47" s="5" t="inlineStr">
        <is>
          <t>Mutfak seti Tare Houses tiplerinde ortak görünüyor (Drive Mutfak Gereçleri). Odada say.</t>
        </is>
      </c>
    </row>
    <row r="48" ht="26.4" customHeight="1">
      <c r="A48" s="5" t="inlineStr">
        <is>
          <t>Tare Houses Hotel</t>
        </is>
      </c>
      <c r="B48" s="5" t="inlineStr">
        <is>
          <t>X2</t>
        </is>
      </c>
      <c r="C48" s="7" t="n"/>
      <c r="D48" s="6">
        <f>IFERROR(INDEX('Kontrol Adımları'!$D:$D,MATCH(1,INDEX(('Kontrol Adımları'!$A$1:$A$400=B48)*('Kontrol Adımları'!$B$1:$B$400=C48),0),0)),"")</f>
        <v/>
      </c>
      <c r="E48" s="5" t="inlineStr">
        <is>
          <t>salt_pepper_set</t>
        </is>
      </c>
      <c r="F48" s="6">
        <f>IFERROR(INDEX('Kalem Kataloğu'!$C$1:$C$1000,MATCH(1,INDEX(('Kalem Kataloğu'!$A$1:$A$1000=A48)*('Kalem Kataloğu'!$B$1:$B$1000=E48),0),0)),"?")</f>
        <v/>
      </c>
      <c r="G48" s="6">
        <f>IFERROR(INDEX('Kalem Kataloğu'!$D$1:$D$1000,MATCH(1,INDEX(('Kalem Kataloğu'!$A$1:$A$1000=A48)*('Kalem Kataloğu'!$B$1:$B$1000=E48),0),0)),"?")</f>
        <v/>
      </c>
      <c r="H48" s="7" t="n">
        <v>1</v>
      </c>
      <c r="I48" s="7" t="inlineStr">
        <is>
          <t>Hayır</t>
        </is>
      </c>
      <c r="J48" s="5" t="inlineStr">
        <is>
          <t>Drive foto (Tem. 2024)</t>
        </is>
      </c>
      <c r="K48" s="5" t="inlineStr">
        <is>
          <t>Excel X3: tuz-biber-kürdan standı 1. [güven: yüksek]</t>
        </is>
      </c>
    </row>
    <row r="49" ht="26.4" customHeight="1">
      <c r="A49" s="5" t="inlineStr">
        <is>
          <t>Tare Houses Hotel</t>
        </is>
      </c>
      <c r="B49" s="5" t="inlineStr">
        <is>
          <t>X2</t>
        </is>
      </c>
      <c r="C49" s="7" t="n"/>
      <c r="D49" s="6">
        <f>IFERROR(INDEX('Kontrol Adımları'!$D:$D,MATCH(1,INDEX(('Kontrol Adımları'!$A$1:$A$400=B49)*('Kontrol Adımları'!$B$1:$B$400=C49),0),0)),"")</f>
        <v/>
      </c>
      <c r="E49" s="5" t="inlineStr">
        <is>
          <t>oil_bottle</t>
        </is>
      </c>
      <c r="F49" s="6">
        <f>IFERROR(INDEX('Kalem Kataloğu'!$C$1:$C$1000,MATCH(1,INDEX(('Kalem Kataloğu'!$A$1:$A$1000=A49)*('Kalem Kataloğu'!$B$1:$B$1000=E49),0),0)),"?")</f>
        <v/>
      </c>
      <c r="G49" s="6">
        <f>IFERROR(INDEX('Kalem Kataloğu'!$D$1:$D$1000,MATCH(1,INDEX(('Kalem Kataloğu'!$A$1:$A$1000=A49)*('Kalem Kataloğu'!$B$1:$B$1000=E49),0),0)),"?")</f>
        <v/>
      </c>
      <c r="H49" s="7" t="n">
        <v>1</v>
      </c>
      <c r="I49" s="7" t="inlineStr">
        <is>
          <t>Hayır</t>
        </is>
      </c>
      <c r="J49" s="5" t="inlineStr">
        <is>
          <t>X3 ile aynı varsayıldı</t>
        </is>
      </c>
      <c r="K49" s="5" t="inlineStr">
        <is>
          <t>Mutfak seti Tare Houses tiplerinde ortak görünüyor (Drive Mutfak Gereçleri). Odada say.</t>
        </is>
      </c>
    </row>
    <row r="50" ht="26.4" customHeight="1">
      <c r="A50" s="5" t="inlineStr">
        <is>
          <t>Tare Houses Hotel</t>
        </is>
      </c>
      <c r="B50" s="5" t="inlineStr">
        <is>
          <t>X2</t>
        </is>
      </c>
      <c r="C50" s="7" t="n"/>
      <c r="D50" s="6">
        <f>IFERROR(INDEX('Kontrol Adımları'!$D:$D,MATCH(1,INDEX(('Kontrol Adımları'!$A$1:$A$400=B50)*('Kontrol Adımları'!$B$1:$B$400=C50),0),0)),"")</f>
        <v/>
      </c>
      <c r="E50" s="5" t="inlineStr">
        <is>
          <t>knife</t>
        </is>
      </c>
      <c r="F50" s="6">
        <f>IFERROR(INDEX('Kalem Kataloğu'!$C$1:$C$1000,MATCH(1,INDEX(('Kalem Kataloğu'!$A$1:$A$1000=A50)*('Kalem Kataloğu'!$B$1:$B$1000=E50),0),0)),"?")</f>
        <v/>
      </c>
      <c r="G50" s="6">
        <f>IFERROR(INDEX('Kalem Kataloğu'!$D$1:$D$1000,MATCH(1,INDEX(('Kalem Kataloğu'!$A$1:$A$1000=A50)*('Kalem Kataloğu'!$B$1:$B$1000=E50),0),0)),"?")</f>
        <v/>
      </c>
      <c r="H50" s="7" t="n">
        <v>6</v>
      </c>
      <c r="I50" s="7" t="inlineStr">
        <is>
          <t>Hayır</t>
        </is>
      </c>
      <c r="J50" s="5" t="inlineStr">
        <is>
          <t>X3 ile aynı varsayıldı</t>
        </is>
      </c>
      <c r="K50" s="5" t="inlineStr">
        <is>
          <t>Mutfak seti Tare Houses tiplerinde ortak görünüyor (Drive Mutfak Gereçleri). Odada say.</t>
        </is>
      </c>
    </row>
    <row r="51" ht="26.4" customHeight="1">
      <c r="A51" s="5" t="inlineStr">
        <is>
          <t>Tare Houses Hotel</t>
        </is>
      </c>
      <c r="B51" s="5" t="inlineStr">
        <is>
          <t>X2</t>
        </is>
      </c>
      <c r="C51" s="7" t="n"/>
      <c r="D51" s="6">
        <f>IFERROR(INDEX('Kontrol Adımları'!$D:$D,MATCH(1,INDEX(('Kontrol Adımları'!$A$1:$A$400=B51)*('Kontrol Adımları'!$B$1:$B$400=C51),0),0)),"")</f>
        <v/>
      </c>
      <c r="E51" s="5" t="inlineStr">
        <is>
          <t>spoon</t>
        </is>
      </c>
      <c r="F51" s="6">
        <f>IFERROR(INDEX('Kalem Kataloğu'!$C$1:$C$1000,MATCH(1,INDEX(('Kalem Kataloğu'!$A$1:$A$1000=A51)*('Kalem Kataloğu'!$B$1:$B$1000=E51),0),0)),"?")</f>
        <v/>
      </c>
      <c r="G51" s="6">
        <f>IFERROR(INDEX('Kalem Kataloğu'!$D$1:$D$1000,MATCH(1,INDEX(('Kalem Kataloğu'!$A$1:$A$1000=A51)*('Kalem Kataloğu'!$B$1:$B$1000=E51),0),0)),"?")</f>
        <v/>
      </c>
      <c r="H51" s="7" t="n">
        <v>6</v>
      </c>
      <c r="I51" s="7" t="inlineStr">
        <is>
          <t>Hayır</t>
        </is>
      </c>
      <c r="J51" s="5" t="inlineStr">
        <is>
          <t>X3 ile aynı varsayıldı</t>
        </is>
      </c>
      <c r="K51" s="5" t="inlineStr">
        <is>
          <t>Mutfak seti Tare Houses tiplerinde ortak görünüyor (Drive Mutfak Gereçleri). Odada say.</t>
        </is>
      </c>
    </row>
    <row r="52" ht="26.4" customHeight="1">
      <c r="A52" s="5" t="inlineStr">
        <is>
          <t>Tare Houses Hotel</t>
        </is>
      </c>
      <c r="B52" s="5" t="inlineStr">
        <is>
          <t>X2</t>
        </is>
      </c>
      <c r="C52" s="7" t="n"/>
      <c r="D52" s="6">
        <f>IFERROR(INDEX('Kontrol Adımları'!$D:$D,MATCH(1,INDEX(('Kontrol Adımları'!$A$1:$A$400=B52)*('Kontrol Adımları'!$B$1:$B$400=C52),0),0)),"")</f>
        <v/>
      </c>
      <c r="E52" s="5" t="inlineStr">
        <is>
          <t>fork</t>
        </is>
      </c>
      <c r="F52" s="6">
        <f>IFERROR(INDEX('Kalem Kataloğu'!$C$1:$C$1000,MATCH(1,INDEX(('Kalem Kataloğu'!$A$1:$A$1000=A52)*('Kalem Kataloğu'!$B$1:$B$1000=E52),0),0)),"?")</f>
        <v/>
      </c>
      <c r="G52" s="6">
        <f>IFERROR(INDEX('Kalem Kataloğu'!$D$1:$D$1000,MATCH(1,INDEX(('Kalem Kataloğu'!$A$1:$A$1000=A52)*('Kalem Kataloğu'!$B$1:$B$1000=E52),0),0)),"?")</f>
        <v/>
      </c>
      <c r="H52" s="7" t="n">
        <v>6</v>
      </c>
      <c r="I52" s="7" t="inlineStr">
        <is>
          <t>Hayır</t>
        </is>
      </c>
      <c r="J52" s="5" t="inlineStr">
        <is>
          <t>X3 ile aynı varsayıldı</t>
        </is>
      </c>
      <c r="K52" s="5" t="inlineStr">
        <is>
          <t>Mutfak seti Tare Houses tiplerinde ortak görünüyor (Drive Mutfak Gereçleri). Odada say.</t>
        </is>
      </c>
    </row>
    <row r="53" ht="52.8" customHeight="1">
      <c r="A53" s="5" t="inlineStr">
        <is>
          <t>Tare Houses Hotel</t>
        </is>
      </c>
      <c r="B53" s="5" t="inlineStr">
        <is>
          <t>X2</t>
        </is>
      </c>
      <c r="C53" s="7" t="n"/>
      <c r="D53" s="6">
        <f>IFERROR(INDEX('Kontrol Adımları'!$D:$D,MATCH(1,INDEX(('Kontrol Adımları'!$A$1:$A$400=B53)*('Kontrol Adımları'!$B$1:$B$400=C53),0),0)),"")</f>
        <v/>
      </c>
      <c r="E53" s="5" t="inlineStr">
        <is>
          <t>cutlery_tray</t>
        </is>
      </c>
      <c r="F53" s="6">
        <f>IFERROR(INDEX('Kalem Kataloğu'!$C$1:$C$1000,MATCH(1,INDEX(('Kalem Kataloğu'!$A$1:$A$1000=A53)*('Kalem Kataloğu'!$B$1:$B$1000=E53),0),0)),"?")</f>
        <v/>
      </c>
      <c r="G53" s="6">
        <f>IFERROR(INDEX('Kalem Kataloğu'!$D$1:$D$1000,MATCH(1,INDEX(('Kalem Kataloğu'!$A$1:$A$1000=A53)*('Kalem Kataloğu'!$B$1:$B$1000=E53),0),0)),"?")</f>
        <v/>
      </c>
      <c r="H53" s="7" t="n">
        <v>1</v>
      </c>
      <c r="I53" s="7" t="inlineStr">
        <is>
          <t>Hayır</t>
        </is>
      </c>
      <c r="J53" s="5" t="inlineStr">
        <is>
          <t>Drive foto (Tem. 2024)</t>
        </is>
      </c>
      <c r="K53" s="5" t="inlineStr">
        <is>
          <t>Çay kaşığı Excel X3: 5. Mutfak Gereçleri klasörü oda numarası belirtmiyor (Temmuz 2024 çekimi); tüm TH tiplerinde aynı mutfak seti olduğu varsayıldı, X3 değeri 18.10.2026 videosundan. [güven: yüksek]</t>
        </is>
      </c>
    </row>
    <row r="54" ht="26.4" customHeight="1">
      <c r="A54" s="5" t="inlineStr">
        <is>
          <t>Tare Houses Hotel</t>
        </is>
      </c>
      <c r="B54" s="5" t="inlineStr">
        <is>
          <t>X2</t>
        </is>
      </c>
      <c r="C54" s="7" t="n"/>
      <c r="D54" s="6">
        <f>IFERROR(INDEX('Kontrol Adımları'!$D:$D,MATCH(1,INDEX(('Kontrol Adımları'!$A$1:$A$400=B54)*('Kontrol Adımları'!$B$1:$B$400=C54),0),0)),"")</f>
        <v/>
      </c>
      <c r="E54" s="5" t="inlineStr">
        <is>
          <t>teaspoon</t>
        </is>
      </c>
      <c r="F54" s="6">
        <f>IFERROR(INDEX('Kalem Kataloğu'!$C$1:$C$1000,MATCH(1,INDEX(('Kalem Kataloğu'!$A$1:$A$1000=A54)*('Kalem Kataloğu'!$B$1:$B$1000=E54),0),0)),"?")</f>
        <v/>
      </c>
      <c r="G54" s="6">
        <f>IFERROR(INDEX('Kalem Kataloğu'!$D$1:$D$1000,MATCH(1,INDEX(('Kalem Kataloğu'!$A$1:$A$1000=A54)*('Kalem Kataloğu'!$B$1:$B$1000=E54),0),0)),"?")</f>
        <v/>
      </c>
      <c r="H54" s="7" t="n">
        <v>5</v>
      </c>
      <c r="I54" s="7" t="inlineStr">
        <is>
          <t>Hayır</t>
        </is>
      </c>
      <c r="J54" s="5" t="inlineStr">
        <is>
          <t>X3 ile aynı varsayıldı</t>
        </is>
      </c>
      <c r="K54" s="5" t="inlineStr">
        <is>
          <t>Mutfak seti Tare Houses tiplerinde ortak görünüyor (Drive Mutfak Gereçleri). Odada say.</t>
        </is>
      </c>
    </row>
    <row r="55" ht="79.2" customHeight="1">
      <c r="A55" s="5" t="inlineStr">
        <is>
          <t>Tare Houses Hotel</t>
        </is>
      </c>
      <c r="B55" s="5" t="inlineStr">
        <is>
          <t>X2</t>
        </is>
      </c>
      <c r="C55" s="7" t="n"/>
      <c r="D55" s="6">
        <f>IFERROR(INDEX('Kontrol Adımları'!$D:$D,MATCH(1,INDEX(('Kontrol Adımları'!$A$1:$A$400=B55)*('Kontrol Adımları'!$B$1:$B$400=C55),0),0)),"")</f>
        <v/>
      </c>
      <c r="E55" s="5" t="inlineStr">
        <is>
          <t>deep_plate</t>
        </is>
      </c>
      <c r="F55" s="6">
        <f>IFERROR(INDEX('Kalem Kataloğu'!$C$1:$C$1000,MATCH(1,INDEX(('Kalem Kataloğu'!$A$1:$A$1000=A55)*('Kalem Kataloğu'!$B$1:$B$1000=E55),0),0)),"?")</f>
        <v/>
      </c>
      <c r="G55" s="6">
        <f>IFERROR(INDEX('Kalem Kataloğu'!$D$1:$D$1000,MATCH(1,INDEX(('Kalem Kataloğu'!$A$1:$A$1000=A55)*('Kalem Kataloğu'!$B$1:$B$1000=E55),0),0)),"?")</f>
        <v/>
      </c>
      <c r="H55" s="7" t="n">
        <v>4</v>
      </c>
      <c r="I55" s="7" t="inlineStr">
        <is>
          <t>Hayır</t>
        </is>
      </c>
      <c r="J55" s="5" t="inlineStr">
        <is>
          <t>Drive foto (Tem. 2024)</t>
        </is>
      </c>
      <c r="K55" s="5" t="inlineStr">
        <is>
          <t>Dolapta 4'lü yığın. Excel X3 "Çukur tabak (yeşil)" 4 — fotoğrafta renk hardal-zeytin; aynı ürün olmalı. Mutfak Gereçleri klasörü oda numarası belirtmiyor (Temmuz 2024 çekimi); tüm TH tiplerinde aynı mutfak seti olduğu varsayıldı, X3 değeri 18.10.2026 videosundan. [güven: orta]</t>
        </is>
      </c>
    </row>
    <row r="56" ht="26.4" customHeight="1">
      <c r="A56" s="5" t="inlineStr">
        <is>
          <t>Tare Houses Hotel</t>
        </is>
      </c>
      <c r="B56" s="5" t="inlineStr">
        <is>
          <t>X2</t>
        </is>
      </c>
      <c r="C56" s="7" t="n"/>
      <c r="D56" s="6">
        <f>IFERROR(INDEX('Kontrol Adımları'!$D:$D,MATCH(1,INDEX(('Kontrol Adımları'!$A$1:$A$400=B56)*('Kontrol Adımları'!$B$1:$B$400=C56),0),0)),"")</f>
        <v/>
      </c>
      <c r="E56" s="5" t="inlineStr">
        <is>
          <t>corkscrew</t>
        </is>
      </c>
      <c r="F56" s="6">
        <f>IFERROR(INDEX('Kalem Kataloğu'!$C$1:$C$1000,MATCH(1,INDEX(('Kalem Kataloğu'!$A$1:$A$1000=A56)*('Kalem Kataloğu'!$B$1:$B$1000=E56),0),0)),"?")</f>
        <v/>
      </c>
      <c r="G56" s="6">
        <f>IFERROR(INDEX('Kalem Kataloğu'!$D$1:$D$1000,MATCH(1,INDEX(('Kalem Kataloğu'!$A$1:$A$1000=A56)*('Kalem Kataloğu'!$B$1:$B$1000=E56),0),0)),"?")</f>
        <v/>
      </c>
      <c r="H56" s="7" t="n">
        <v>1</v>
      </c>
      <c r="I56" s="7" t="inlineStr">
        <is>
          <t>Hayır</t>
        </is>
      </c>
      <c r="J56" s="5" t="inlineStr">
        <is>
          <t>Drive foto (Tem. 2024)</t>
        </is>
      </c>
      <c r="K56" s="5" t="inlineStr">
        <is>
          <t>Kaşıklığın sağ bölmesinde. Excel X3: 1. [güven: orta]</t>
        </is>
      </c>
    </row>
    <row r="57" ht="26.4" customHeight="1">
      <c r="A57" s="5" t="inlineStr">
        <is>
          <t>Tare Houses Hotel</t>
        </is>
      </c>
      <c r="B57" s="5" t="inlineStr">
        <is>
          <t>X2</t>
        </is>
      </c>
      <c r="C57" s="7" t="n"/>
      <c r="D57" s="6">
        <f>IFERROR(INDEX('Kontrol Adımları'!$D:$D,MATCH(1,INDEX(('Kontrol Adımları'!$A$1:$A$400=B57)*('Kontrol Adımları'!$B$1:$B$400=C57),0),0)),"")</f>
        <v/>
      </c>
      <c r="E57" s="5" t="inlineStr">
        <is>
          <t>wine_glass</t>
        </is>
      </c>
      <c r="F57" s="6">
        <f>IFERROR(INDEX('Kalem Kataloğu'!$C$1:$C$1000,MATCH(1,INDEX(('Kalem Kataloğu'!$A$1:$A$1000=A57)*('Kalem Kataloğu'!$B$1:$B$1000=E57),0),0)),"?")</f>
        <v/>
      </c>
      <c r="G57" s="6">
        <f>IFERROR(INDEX('Kalem Kataloğu'!$D$1:$D$1000,MATCH(1,INDEX(('Kalem Kataloğu'!$A$1:$A$1000=A57)*('Kalem Kataloğu'!$B$1:$B$1000=E57),0),0)),"?")</f>
        <v/>
      </c>
      <c r="H57" s="7" t="n">
        <v>2</v>
      </c>
      <c r="I57" s="7" t="inlineStr">
        <is>
          <t>Hayır</t>
        </is>
      </c>
      <c r="J57" s="5" t="inlineStr">
        <is>
          <t>X3 ile aynı varsayıldı</t>
        </is>
      </c>
      <c r="K57" s="5" t="inlineStr">
        <is>
          <t>Mutfak seti Tare Houses tiplerinde ortak görünüyor (Drive Mutfak Gereçleri). Odada say.</t>
        </is>
      </c>
    </row>
    <row r="58" ht="26.4" customHeight="1">
      <c r="A58" s="5" t="inlineStr">
        <is>
          <t>Tare Houses Hotel</t>
        </is>
      </c>
      <c r="B58" s="5" t="inlineStr">
        <is>
          <t>X3</t>
        </is>
      </c>
      <c r="C58" s="5" t="n">
        <v>6</v>
      </c>
      <c r="D58" s="6">
        <f>IFERROR(INDEX('Kontrol Adımları'!$D:$D,MATCH(1,INDEX(('Kontrol Adımları'!$A$1:$A$400=B58)*('Kontrol Adımları'!$B$1:$B$400=C58),0),0)),"")</f>
        <v/>
      </c>
      <c r="E58" s="5" t="inlineStr">
        <is>
          <t>dish_rack</t>
        </is>
      </c>
      <c r="F58" s="6">
        <f>IFERROR(INDEX('Kalem Kataloğu'!$C$1:$C$1000,MATCH(1,INDEX(('Kalem Kataloğu'!$A$1:$A$1000=A58)*('Kalem Kataloğu'!$B$1:$B$1000=E58),0),0)),"?")</f>
        <v/>
      </c>
      <c r="G58" s="6">
        <f>IFERROR(INDEX('Kalem Kataloğu'!$D$1:$D$1000,MATCH(1,INDEX(('Kalem Kataloğu'!$A$1:$A$1000=A58)*('Kalem Kataloğu'!$B$1:$B$1000=E58),0),0)),"?")</f>
        <v/>
      </c>
      <c r="H58" s="5" t="n">
        <v>1</v>
      </c>
      <c r="I58" s="5" t="inlineStr">
        <is>
          <t>Evet</t>
        </is>
      </c>
      <c r="J58" s="5" t="inlineStr">
        <is>
          <t>Video 18.10.2026</t>
        </is>
      </c>
      <c r="K58" s="5" t="n"/>
    </row>
    <row r="59" ht="26.4" customHeight="1">
      <c r="A59" s="5" t="inlineStr">
        <is>
          <t>Tare Houses Hotel</t>
        </is>
      </c>
      <c r="B59" s="5" t="inlineStr">
        <is>
          <t>X3</t>
        </is>
      </c>
      <c r="C59" s="5" t="n">
        <v>6</v>
      </c>
      <c r="D59" s="6">
        <f>IFERROR(INDEX('Kontrol Adımları'!$D:$D,MATCH(1,INDEX(('Kontrol Adımları'!$A$1:$A$400=B59)*('Kontrol Adımları'!$B$1:$B$400=C59),0),0)),"")</f>
        <v/>
      </c>
      <c r="E59" s="5" t="inlineStr">
        <is>
          <t>sponge_caddy</t>
        </is>
      </c>
      <c r="F59" s="6">
        <f>IFERROR(INDEX('Kalem Kataloğu'!$C$1:$C$1000,MATCH(1,INDEX(('Kalem Kataloğu'!$A$1:$A$1000=A59)*('Kalem Kataloğu'!$B$1:$B$1000=E59),0),0)),"?")</f>
        <v/>
      </c>
      <c r="G59" s="6">
        <f>IFERROR(INDEX('Kalem Kataloğu'!$D$1:$D$1000,MATCH(1,INDEX(('Kalem Kataloğu'!$A$1:$A$1000=A59)*('Kalem Kataloğu'!$B$1:$B$1000=E59),0),0)),"?")</f>
        <v/>
      </c>
      <c r="H59" s="5" t="n">
        <v>1</v>
      </c>
      <c r="I59" s="5" t="inlineStr">
        <is>
          <t>Evet</t>
        </is>
      </c>
      <c r="J59" s="5" t="inlineStr">
        <is>
          <t>Video 18.10.2026</t>
        </is>
      </c>
      <c r="K59" s="5" t="n"/>
    </row>
    <row r="60" ht="26.4" customHeight="1">
      <c r="A60" s="5" t="inlineStr">
        <is>
          <t>Tare Houses Hotel</t>
        </is>
      </c>
      <c r="B60" s="5" t="inlineStr">
        <is>
          <t>X3</t>
        </is>
      </c>
      <c r="C60" s="5" t="n">
        <v>6</v>
      </c>
      <c r="D60" s="6">
        <f>IFERROR(INDEX('Kontrol Adımları'!$D:$D,MATCH(1,INDEX(('Kontrol Adımları'!$A$1:$A$400=B60)*('Kontrol Adımları'!$B$1:$B$400=C60),0),0)),"")</f>
        <v/>
      </c>
      <c r="E60" s="5" t="inlineStr">
        <is>
          <t>salt_pepper_set</t>
        </is>
      </c>
      <c r="F60" s="6">
        <f>IFERROR(INDEX('Kalem Kataloğu'!$C$1:$C$1000,MATCH(1,INDEX(('Kalem Kataloğu'!$A$1:$A$1000=A60)*('Kalem Kataloğu'!$B$1:$B$1000=E60),0),0)),"?")</f>
        <v/>
      </c>
      <c r="G60" s="6">
        <f>IFERROR(INDEX('Kalem Kataloğu'!$D$1:$D$1000,MATCH(1,INDEX(('Kalem Kataloğu'!$A$1:$A$1000=A60)*('Kalem Kataloğu'!$B$1:$B$1000=E60),0),0)),"?")</f>
        <v/>
      </c>
      <c r="H60" s="5" t="n">
        <v>1</v>
      </c>
      <c r="I60" s="5" t="inlineStr">
        <is>
          <t>Evet</t>
        </is>
      </c>
      <c r="J60" s="5" t="inlineStr">
        <is>
          <t>Video 18.10.2026</t>
        </is>
      </c>
      <c r="K60" s="5" t="n"/>
    </row>
    <row r="61" ht="26.4" customHeight="1">
      <c r="A61" s="5" t="inlineStr">
        <is>
          <t>Tare Houses Hotel</t>
        </is>
      </c>
      <c r="B61" s="5" t="inlineStr">
        <is>
          <t>X3</t>
        </is>
      </c>
      <c r="C61" s="5" t="n">
        <v>6</v>
      </c>
      <c r="D61" s="6">
        <f>IFERROR(INDEX('Kontrol Adımları'!$D:$D,MATCH(1,INDEX(('Kontrol Adımları'!$A$1:$A$400=B61)*('Kontrol Adımları'!$B$1:$B$400=C61),0),0)),"")</f>
        <v/>
      </c>
      <c r="E61" s="5" t="inlineStr">
        <is>
          <t>oil_bottle</t>
        </is>
      </c>
      <c r="F61" s="6">
        <f>IFERROR(INDEX('Kalem Kataloğu'!$C$1:$C$1000,MATCH(1,INDEX(('Kalem Kataloğu'!$A$1:$A$1000=A61)*('Kalem Kataloğu'!$B$1:$B$1000=E61),0),0)),"?")</f>
        <v/>
      </c>
      <c r="G61" s="6">
        <f>IFERROR(INDEX('Kalem Kataloğu'!$D$1:$D$1000,MATCH(1,INDEX(('Kalem Kataloğu'!$A$1:$A$1000=A61)*('Kalem Kataloğu'!$B$1:$B$1000=E61),0),0)),"?")</f>
        <v/>
      </c>
      <c r="H61" s="5" t="n">
        <v>1</v>
      </c>
      <c r="I61" s="5" t="inlineStr">
        <is>
          <t>Evet</t>
        </is>
      </c>
      <c r="J61" s="5" t="inlineStr">
        <is>
          <t>Video 18.10.2026</t>
        </is>
      </c>
      <c r="K61" s="5" t="n"/>
    </row>
    <row r="62" ht="26.4" customHeight="1">
      <c r="A62" s="5" t="inlineStr">
        <is>
          <t>Tare Houses Hotel</t>
        </is>
      </c>
      <c r="B62" s="5" t="inlineStr">
        <is>
          <t>X3</t>
        </is>
      </c>
      <c r="C62" s="5" t="n">
        <v>7</v>
      </c>
      <c r="D62" s="6">
        <f>IFERROR(INDEX('Kontrol Adımları'!$D:$D,MATCH(1,INDEX(('Kontrol Adımları'!$A$1:$A$400=B62)*('Kontrol Adımları'!$B$1:$B$400=C62),0),0)),"")</f>
        <v/>
      </c>
      <c r="E62" s="5" t="inlineStr">
        <is>
          <t>knife</t>
        </is>
      </c>
      <c r="F62" s="6">
        <f>IFERROR(INDEX('Kalem Kataloğu'!$C$1:$C$1000,MATCH(1,INDEX(('Kalem Kataloğu'!$A$1:$A$1000=A62)*('Kalem Kataloğu'!$B$1:$B$1000=E62),0),0)),"?")</f>
        <v/>
      </c>
      <c r="G62" s="6">
        <f>IFERROR(INDEX('Kalem Kataloğu'!$D$1:$D$1000,MATCH(1,INDEX(('Kalem Kataloğu'!$A$1:$A$1000=A62)*('Kalem Kataloğu'!$B$1:$B$1000=E62),0),0)),"?")</f>
        <v/>
      </c>
      <c r="H62" s="7" t="n">
        <v>6</v>
      </c>
      <c r="I62" s="7" t="inlineStr">
        <is>
          <t>Hayır</t>
        </is>
      </c>
      <c r="J62" s="5" t="inlineStr">
        <is>
          <t>Video 18.10.2026</t>
        </is>
      </c>
      <c r="K62" s="5" t="n"/>
    </row>
    <row r="63" ht="26.4" customHeight="1">
      <c r="A63" s="5" t="inlineStr">
        <is>
          <t>Tare Houses Hotel</t>
        </is>
      </c>
      <c r="B63" s="5" t="inlineStr">
        <is>
          <t>X3</t>
        </is>
      </c>
      <c r="C63" s="5" t="n">
        <v>7</v>
      </c>
      <c r="D63" s="6">
        <f>IFERROR(INDEX('Kontrol Adımları'!$D:$D,MATCH(1,INDEX(('Kontrol Adımları'!$A$1:$A$400=B63)*('Kontrol Adımları'!$B$1:$B$400=C63),0),0)),"")</f>
        <v/>
      </c>
      <c r="E63" s="5" t="inlineStr">
        <is>
          <t>spoon</t>
        </is>
      </c>
      <c r="F63" s="6">
        <f>IFERROR(INDEX('Kalem Kataloğu'!$C$1:$C$1000,MATCH(1,INDEX(('Kalem Kataloğu'!$A$1:$A$1000=A63)*('Kalem Kataloğu'!$B$1:$B$1000=E63),0),0)),"?")</f>
        <v/>
      </c>
      <c r="G63" s="6">
        <f>IFERROR(INDEX('Kalem Kataloğu'!$D$1:$D$1000,MATCH(1,INDEX(('Kalem Kataloğu'!$A$1:$A$1000=A63)*('Kalem Kataloğu'!$B$1:$B$1000=E63),0),0)),"?")</f>
        <v/>
      </c>
      <c r="H63" s="7" t="n">
        <v>6</v>
      </c>
      <c r="I63" s="7" t="inlineStr">
        <is>
          <t>Hayır</t>
        </is>
      </c>
      <c r="J63" s="5" t="inlineStr">
        <is>
          <t>Video 18.10.2026</t>
        </is>
      </c>
      <c r="K63" s="5" t="n"/>
    </row>
    <row r="64" ht="26.4" customHeight="1">
      <c r="A64" s="5" t="inlineStr">
        <is>
          <t>Tare Houses Hotel</t>
        </is>
      </c>
      <c r="B64" s="5" t="inlineStr">
        <is>
          <t>X3</t>
        </is>
      </c>
      <c r="C64" s="5" t="n">
        <v>7</v>
      </c>
      <c r="D64" s="6">
        <f>IFERROR(INDEX('Kontrol Adımları'!$D:$D,MATCH(1,INDEX(('Kontrol Adımları'!$A$1:$A$400=B64)*('Kontrol Adımları'!$B$1:$B$400=C64),0),0)),"")</f>
        <v/>
      </c>
      <c r="E64" s="5" t="inlineStr">
        <is>
          <t>fork</t>
        </is>
      </c>
      <c r="F64" s="6">
        <f>IFERROR(INDEX('Kalem Kataloğu'!$C$1:$C$1000,MATCH(1,INDEX(('Kalem Kataloğu'!$A$1:$A$1000=A64)*('Kalem Kataloğu'!$B$1:$B$1000=E64),0),0)),"?")</f>
        <v/>
      </c>
      <c r="G64" s="6">
        <f>IFERROR(INDEX('Kalem Kataloğu'!$D$1:$D$1000,MATCH(1,INDEX(('Kalem Kataloğu'!$A$1:$A$1000=A64)*('Kalem Kataloğu'!$B$1:$B$1000=E64),0),0)),"?")</f>
        <v/>
      </c>
      <c r="H64" s="7" t="n">
        <v>6</v>
      </c>
      <c r="I64" s="7" t="inlineStr">
        <is>
          <t>Hayır</t>
        </is>
      </c>
      <c r="J64" s="5" t="inlineStr">
        <is>
          <t>Video 18.10.2026</t>
        </is>
      </c>
      <c r="K64" s="5" t="n"/>
    </row>
    <row r="65" ht="26.4" customHeight="1">
      <c r="A65" s="5" t="inlineStr">
        <is>
          <t>Tare Houses Hotel</t>
        </is>
      </c>
      <c r="B65" s="5" t="inlineStr">
        <is>
          <t>X3</t>
        </is>
      </c>
      <c r="C65" s="5" t="n">
        <v>7</v>
      </c>
      <c r="D65" s="6">
        <f>IFERROR(INDEX('Kontrol Adımları'!$D:$D,MATCH(1,INDEX(('Kontrol Adımları'!$A$1:$A$400=B65)*('Kontrol Adımları'!$B$1:$B$400=C65),0),0)),"")</f>
        <v/>
      </c>
      <c r="E65" s="5" t="inlineStr">
        <is>
          <t>teaspoon</t>
        </is>
      </c>
      <c r="F65" s="6">
        <f>IFERROR(INDEX('Kalem Kataloğu'!$C$1:$C$1000,MATCH(1,INDEX(('Kalem Kataloğu'!$A$1:$A$1000=A65)*('Kalem Kataloğu'!$B$1:$B$1000=E65),0),0)),"?")</f>
        <v/>
      </c>
      <c r="G65" s="6">
        <f>IFERROR(INDEX('Kalem Kataloğu'!$D$1:$D$1000,MATCH(1,INDEX(('Kalem Kataloğu'!$A$1:$A$1000=A65)*('Kalem Kataloğu'!$B$1:$B$1000=E65),0),0)),"?")</f>
        <v/>
      </c>
      <c r="H65" s="7" t="n">
        <v>5</v>
      </c>
      <c r="I65" s="7" t="inlineStr">
        <is>
          <t>Hayır</t>
        </is>
      </c>
      <c r="J65" s="5" t="inlineStr">
        <is>
          <t>Video 18.10.2026</t>
        </is>
      </c>
      <c r="K65" s="5" t="n"/>
    </row>
    <row r="66" ht="26.4" customHeight="1">
      <c r="A66" s="5" t="inlineStr">
        <is>
          <t>Tare Houses Hotel</t>
        </is>
      </c>
      <c r="B66" s="5" t="inlineStr">
        <is>
          <t>X3</t>
        </is>
      </c>
      <c r="C66" s="5" t="n">
        <v>7</v>
      </c>
      <c r="D66" s="6">
        <f>IFERROR(INDEX('Kontrol Adımları'!$D:$D,MATCH(1,INDEX(('Kontrol Adımları'!$A$1:$A$400=B66)*('Kontrol Adımları'!$B$1:$B$400=C66),0),0)),"")</f>
        <v/>
      </c>
      <c r="E66" s="5" t="inlineStr">
        <is>
          <t>corkscrew</t>
        </is>
      </c>
      <c r="F66" s="6">
        <f>IFERROR(INDEX('Kalem Kataloğu'!$C$1:$C$1000,MATCH(1,INDEX(('Kalem Kataloğu'!$A$1:$A$1000=A66)*('Kalem Kataloğu'!$B$1:$B$1000=E66),0),0)),"?")</f>
        <v/>
      </c>
      <c r="G66" s="6">
        <f>IFERROR(INDEX('Kalem Kataloğu'!$D$1:$D$1000,MATCH(1,INDEX(('Kalem Kataloğu'!$A$1:$A$1000=A66)*('Kalem Kataloğu'!$B$1:$B$1000=E66),0),0)),"?")</f>
        <v/>
      </c>
      <c r="H66" s="5" t="n">
        <v>1</v>
      </c>
      <c r="I66" s="5" t="inlineStr">
        <is>
          <t>Evet</t>
        </is>
      </c>
      <c r="J66" s="5" t="inlineStr">
        <is>
          <t>Video 18.10.2026</t>
        </is>
      </c>
      <c r="K66" s="5" t="n"/>
    </row>
    <row r="67" ht="26.4" customHeight="1">
      <c r="A67" s="5" t="inlineStr">
        <is>
          <t>Tare Houses Hotel</t>
        </is>
      </c>
      <c r="B67" s="5" t="inlineStr">
        <is>
          <t>X3</t>
        </is>
      </c>
      <c r="C67" s="5" t="n">
        <v>8</v>
      </c>
      <c r="D67" s="6">
        <f>IFERROR(INDEX('Kontrol Adımları'!$D:$D,MATCH(1,INDEX(('Kontrol Adımları'!$A$1:$A$400=B67)*('Kontrol Adımları'!$B$1:$B$400=C67),0),0)),"")</f>
        <v/>
      </c>
      <c r="E67" s="5" t="inlineStr">
        <is>
          <t>silicone_slotted</t>
        </is>
      </c>
      <c r="F67" s="6">
        <f>IFERROR(INDEX('Kalem Kataloğu'!$C$1:$C$1000,MATCH(1,INDEX(('Kalem Kataloğu'!$A$1:$A$1000=A67)*('Kalem Kataloğu'!$B$1:$B$1000=E67),0),0)),"?")</f>
        <v/>
      </c>
      <c r="G67" s="6">
        <f>IFERROR(INDEX('Kalem Kataloğu'!$D$1:$D$1000,MATCH(1,INDEX(('Kalem Kataloğu'!$A$1:$A$1000=A67)*('Kalem Kataloğu'!$B$1:$B$1000=E67),0),0)),"?")</f>
        <v/>
      </c>
      <c r="H67" s="5" t="n">
        <v>1</v>
      </c>
      <c r="I67" s="5" t="inlineStr">
        <is>
          <t>Evet</t>
        </is>
      </c>
      <c r="J67" s="5" t="inlineStr">
        <is>
          <t>Video 18.10.2026</t>
        </is>
      </c>
      <c r="K67" s="5" t="n"/>
    </row>
    <row r="68" ht="26.4" customHeight="1">
      <c r="A68" s="5" t="inlineStr">
        <is>
          <t>Tare Houses Hotel</t>
        </is>
      </c>
      <c r="B68" s="5" t="inlineStr">
        <is>
          <t>X3</t>
        </is>
      </c>
      <c r="C68" s="5" t="n">
        <v>8</v>
      </c>
      <c r="D68" s="6">
        <f>IFERROR(INDEX('Kontrol Adımları'!$D:$D,MATCH(1,INDEX(('Kontrol Adımları'!$A$1:$A$400=B68)*('Kontrol Adımları'!$B$1:$B$400=C68),0),0)),"")</f>
        <v/>
      </c>
      <c r="E68" s="5" t="inlineStr">
        <is>
          <t>silicone_spoon</t>
        </is>
      </c>
      <c r="F68" s="6">
        <f>IFERROR(INDEX('Kalem Kataloğu'!$C$1:$C$1000,MATCH(1,INDEX(('Kalem Kataloğu'!$A$1:$A$1000=A68)*('Kalem Kataloğu'!$B$1:$B$1000=E68),0),0)),"?")</f>
        <v/>
      </c>
      <c r="G68" s="6">
        <f>IFERROR(INDEX('Kalem Kataloğu'!$D$1:$D$1000,MATCH(1,INDEX(('Kalem Kataloğu'!$A$1:$A$1000=A68)*('Kalem Kataloğu'!$B$1:$B$1000=E68),0),0)),"?")</f>
        <v/>
      </c>
      <c r="H68" s="5" t="n">
        <v>3</v>
      </c>
      <c r="I68" s="5" t="inlineStr">
        <is>
          <t>Evet</t>
        </is>
      </c>
      <c r="J68" s="5" t="inlineStr">
        <is>
          <t>Video 18.10.2026</t>
        </is>
      </c>
      <c r="K68" s="5" t="n"/>
    </row>
    <row r="69" ht="26.4" customHeight="1">
      <c r="A69" s="5" t="inlineStr">
        <is>
          <t>Tare Houses Hotel</t>
        </is>
      </c>
      <c r="B69" s="5" t="inlineStr">
        <is>
          <t>X3</t>
        </is>
      </c>
      <c r="C69" s="5" t="n">
        <v>9</v>
      </c>
      <c r="D69" s="6">
        <f>IFERROR(INDEX('Kontrol Adımları'!$D:$D,MATCH(1,INDEX(('Kontrol Adımları'!$A$1:$A$400=B69)*('Kontrol Adımları'!$B$1:$B$400=C69),0),0)),"")</f>
        <v/>
      </c>
      <c r="E69" s="5" t="inlineStr">
        <is>
          <t>cutting_board</t>
        </is>
      </c>
      <c r="F69" s="6">
        <f>IFERROR(INDEX('Kalem Kataloğu'!$C$1:$C$1000,MATCH(1,INDEX(('Kalem Kataloğu'!$A$1:$A$1000=A69)*('Kalem Kataloğu'!$B$1:$B$1000=E69),0),0)),"?")</f>
        <v/>
      </c>
      <c r="G69" s="6">
        <f>IFERROR(INDEX('Kalem Kataloğu'!$D$1:$D$1000,MATCH(1,INDEX(('Kalem Kataloğu'!$A$1:$A$1000=A69)*('Kalem Kataloğu'!$B$1:$B$1000=E69),0),0)),"?")</f>
        <v/>
      </c>
      <c r="H69" s="5" t="n">
        <v>1</v>
      </c>
      <c r="I69" s="5" t="inlineStr">
        <is>
          <t>Evet</t>
        </is>
      </c>
      <c r="J69" s="5" t="inlineStr">
        <is>
          <t>Video 18.10.2026</t>
        </is>
      </c>
      <c r="K69" s="5" t="n"/>
    </row>
    <row r="70" ht="26.4" customHeight="1">
      <c r="A70" s="5" t="inlineStr">
        <is>
          <t>Tare Houses Hotel</t>
        </is>
      </c>
      <c r="B70" s="5" t="inlineStr">
        <is>
          <t>X3</t>
        </is>
      </c>
      <c r="C70" s="5" t="n">
        <v>9</v>
      </c>
      <c r="D70" s="6">
        <f>IFERROR(INDEX('Kontrol Adımları'!$D:$D,MATCH(1,INDEX(('Kontrol Adımları'!$A$1:$A$400=B70)*('Kontrol Adımları'!$B$1:$B$400=C70),0),0)),"")</f>
        <v/>
      </c>
      <c r="E70" s="5" t="inlineStr">
        <is>
          <t>knife_set</t>
        </is>
      </c>
      <c r="F70" s="6">
        <f>IFERROR(INDEX('Kalem Kataloğu'!$C$1:$C$1000,MATCH(1,INDEX(('Kalem Kataloğu'!$A$1:$A$1000=A70)*('Kalem Kataloğu'!$B$1:$B$1000=E70),0),0)),"?")</f>
        <v/>
      </c>
      <c r="G70" s="6">
        <f>IFERROR(INDEX('Kalem Kataloğu'!$D$1:$D$1000,MATCH(1,INDEX(('Kalem Kataloğu'!$A$1:$A$1000=A70)*('Kalem Kataloğu'!$B$1:$B$1000=E70),0),0)),"?")</f>
        <v/>
      </c>
      <c r="H70" s="5" t="n">
        <v>1</v>
      </c>
      <c r="I70" s="5" t="inlineStr">
        <is>
          <t>Evet</t>
        </is>
      </c>
      <c r="J70" s="5" t="inlineStr">
        <is>
          <t>Video 18.10.2026</t>
        </is>
      </c>
      <c r="K70" s="5" t="n"/>
    </row>
    <row r="71" ht="26.4" customHeight="1">
      <c r="A71" s="5" t="inlineStr">
        <is>
          <t>Tare Houses Hotel</t>
        </is>
      </c>
      <c r="B71" s="5" t="inlineStr">
        <is>
          <t>X3</t>
        </is>
      </c>
      <c r="C71" s="5" t="n">
        <v>10</v>
      </c>
      <c r="D71" s="6">
        <f>IFERROR(INDEX('Kontrol Adımları'!$D:$D,MATCH(1,INDEX(('Kontrol Adımları'!$A$1:$A$400=B71)*('Kontrol Adımları'!$B$1:$B$400=C71),0),0)),"")</f>
        <v/>
      </c>
      <c r="E71" s="5" t="inlineStr">
        <is>
          <t>wooden_bowl</t>
        </is>
      </c>
      <c r="F71" s="6">
        <f>IFERROR(INDEX('Kalem Kataloğu'!$C$1:$C$1000,MATCH(1,INDEX(('Kalem Kataloğu'!$A$1:$A$1000=A71)*('Kalem Kataloğu'!$B$1:$B$1000=E71),0),0)),"?")</f>
        <v/>
      </c>
      <c r="G71" s="6">
        <f>IFERROR(INDEX('Kalem Kataloğu'!$D$1:$D$1000,MATCH(1,INDEX(('Kalem Kataloğu'!$A$1:$A$1000=A71)*('Kalem Kataloğu'!$B$1:$B$1000=E71),0),0)),"?")</f>
        <v/>
      </c>
      <c r="H71" s="5" t="n">
        <v>1</v>
      </c>
      <c r="I71" s="5" t="inlineStr">
        <is>
          <t>Evet</t>
        </is>
      </c>
      <c r="J71" s="5" t="inlineStr">
        <is>
          <t>Video 18.10.2026</t>
        </is>
      </c>
      <c r="K71" s="5" t="n"/>
    </row>
    <row r="72" ht="26.4" customHeight="1">
      <c r="A72" s="5" t="inlineStr">
        <is>
          <t>Tare Houses Hotel</t>
        </is>
      </c>
      <c r="B72" s="5" t="inlineStr">
        <is>
          <t>X3</t>
        </is>
      </c>
      <c r="C72" s="5" t="n">
        <v>10</v>
      </c>
      <c r="D72" s="6">
        <f>IFERROR(INDEX('Kontrol Adımları'!$D:$D,MATCH(1,INDEX(('Kontrol Adımları'!$A$1:$A$400=B72)*('Kontrol Adımları'!$B$1:$B$400=C72),0),0)),"")</f>
        <v/>
      </c>
      <c r="E72" s="5" t="inlineStr">
        <is>
          <t>mug</t>
        </is>
      </c>
      <c r="F72" s="6">
        <f>IFERROR(INDEX('Kalem Kataloğu'!$C$1:$C$1000,MATCH(1,INDEX(('Kalem Kataloğu'!$A$1:$A$1000=A72)*('Kalem Kataloğu'!$B$1:$B$1000=E72),0),0)),"?")</f>
        <v/>
      </c>
      <c r="G72" s="6">
        <f>IFERROR(INDEX('Kalem Kataloğu'!$D$1:$D$1000,MATCH(1,INDEX(('Kalem Kataloğu'!$A$1:$A$1000=A72)*('Kalem Kataloğu'!$B$1:$B$1000=E72),0),0)),"?")</f>
        <v/>
      </c>
      <c r="H72" s="5" t="n">
        <v>2</v>
      </c>
      <c r="I72" s="5" t="inlineStr">
        <is>
          <t>Evet</t>
        </is>
      </c>
      <c r="J72" s="5" t="inlineStr">
        <is>
          <t>Video 18.10.2026</t>
        </is>
      </c>
      <c r="K72" s="5" t="n"/>
    </row>
    <row r="73" ht="26.4" customHeight="1">
      <c r="A73" s="5" t="inlineStr">
        <is>
          <t>Tare Houses Hotel</t>
        </is>
      </c>
      <c r="B73" s="5" t="inlineStr">
        <is>
          <t>X3</t>
        </is>
      </c>
      <c r="C73" s="5" t="n">
        <v>10</v>
      </c>
      <c r="D73" s="6">
        <f>IFERROR(INDEX('Kontrol Adımları'!$D:$D,MATCH(1,INDEX(('Kontrol Adımları'!$A$1:$A$400=B73)*('Kontrol Adımları'!$B$1:$B$400=C73),0),0)),"")</f>
        <v/>
      </c>
      <c r="E73" s="5" t="inlineStr">
        <is>
          <t>small_plate_green</t>
        </is>
      </c>
      <c r="F73" s="6">
        <f>IFERROR(INDEX('Kalem Kataloğu'!$C$1:$C$1000,MATCH(1,INDEX(('Kalem Kataloğu'!$A$1:$A$1000=A73)*('Kalem Kataloğu'!$B$1:$B$1000=E73),0),0)),"?")</f>
        <v/>
      </c>
      <c r="G73" s="6">
        <f>IFERROR(INDEX('Kalem Kataloğu'!$D$1:$D$1000,MATCH(1,INDEX(('Kalem Kataloğu'!$A$1:$A$1000=A73)*('Kalem Kataloğu'!$B$1:$B$1000=E73),0),0)),"?")</f>
        <v/>
      </c>
      <c r="H73" s="7" t="n">
        <v>4</v>
      </c>
      <c r="I73" s="7" t="inlineStr">
        <is>
          <t>Hayır</t>
        </is>
      </c>
      <c r="J73" s="5" t="inlineStr">
        <is>
          <t>Video 18.10.2026</t>
        </is>
      </c>
      <c r="K73" s="5" t="n"/>
    </row>
    <row r="74" ht="26.4" customHeight="1">
      <c r="A74" s="5" t="inlineStr">
        <is>
          <t>Tare Houses Hotel</t>
        </is>
      </c>
      <c r="B74" s="5" t="inlineStr">
        <is>
          <t>X3</t>
        </is>
      </c>
      <c r="C74" s="5" t="n">
        <v>10</v>
      </c>
      <c r="D74" s="6">
        <f>IFERROR(INDEX('Kontrol Adımları'!$D:$D,MATCH(1,INDEX(('Kontrol Adımları'!$A$1:$A$400=B74)*('Kontrol Adımları'!$B$1:$B$400=C74),0),0)),"")</f>
        <v/>
      </c>
      <c r="E74" s="5" t="inlineStr">
        <is>
          <t>sauce_bowl</t>
        </is>
      </c>
      <c r="F74" s="6">
        <f>IFERROR(INDEX('Kalem Kataloğu'!$C$1:$C$1000,MATCH(1,INDEX(('Kalem Kataloğu'!$A$1:$A$1000=A74)*('Kalem Kataloğu'!$B$1:$B$1000=E74),0),0)),"?")</f>
        <v/>
      </c>
      <c r="G74" s="6">
        <f>IFERROR(INDEX('Kalem Kataloğu'!$D$1:$D$1000,MATCH(1,INDEX(('Kalem Kataloğu'!$A$1:$A$1000=A74)*('Kalem Kataloğu'!$B$1:$B$1000=E74),0),0)),"?")</f>
        <v/>
      </c>
      <c r="H74" s="5" t="n">
        <v>4</v>
      </c>
      <c r="I74" s="5" t="inlineStr">
        <is>
          <t>Evet</t>
        </is>
      </c>
      <c r="J74" s="5" t="inlineStr">
        <is>
          <t>Video 18.10.2026</t>
        </is>
      </c>
      <c r="K74" s="5" t="n"/>
    </row>
    <row r="75" ht="26.4" customHeight="1">
      <c r="A75" s="5" t="inlineStr">
        <is>
          <t>Tare Houses Hotel</t>
        </is>
      </c>
      <c r="B75" s="5" t="inlineStr">
        <is>
          <t>X3</t>
        </is>
      </c>
      <c r="C75" s="5" t="n">
        <v>10</v>
      </c>
      <c r="D75" s="6">
        <f>IFERROR(INDEX('Kontrol Adımları'!$D:$D,MATCH(1,INDEX(('Kontrol Adımları'!$A$1:$A$400=B75)*('Kontrol Adımları'!$B$1:$B$400=C75),0),0)),"")</f>
        <v/>
      </c>
      <c r="E75" s="5" t="inlineStr">
        <is>
          <t>water_glass</t>
        </is>
      </c>
      <c r="F75" s="6">
        <f>IFERROR(INDEX('Kalem Kataloğu'!$C$1:$C$1000,MATCH(1,INDEX(('Kalem Kataloğu'!$A$1:$A$1000=A75)*('Kalem Kataloğu'!$B$1:$B$1000=E75),0),0)),"?")</f>
        <v/>
      </c>
      <c r="G75" s="6">
        <f>IFERROR(INDEX('Kalem Kataloğu'!$D$1:$D$1000,MATCH(1,INDEX(('Kalem Kataloğu'!$A$1:$A$1000=A75)*('Kalem Kataloğu'!$B$1:$B$1000=E75),0),0)),"?")</f>
        <v/>
      </c>
      <c r="H75" s="7" t="n">
        <v>4</v>
      </c>
      <c r="I75" s="7" t="inlineStr">
        <is>
          <t>Hayır</t>
        </is>
      </c>
      <c r="J75" s="5" t="inlineStr">
        <is>
          <t>Video 18.10.2026</t>
        </is>
      </c>
      <c r="K75" s="5" t="n"/>
    </row>
    <row r="76" ht="26.4" customHeight="1">
      <c r="A76" s="5" t="inlineStr">
        <is>
          <t>Tare Houses Hotel</t>
        </is>
      </c>
      <c r="B76" s="5" t="inlineStr">
        <is>
          <t>X3</t>
        </is>
      </c>
      <c r="C76" s="5" t="n">
        <v>10</v>
      </c>
      <c r="D76" s="6">
        <f>IFERROR(INDEX('Kontrol Adımları'!$D:$D,MATCH(1,INDEX(('Kontrol Adımları'!$A$1:$A$400=B76)*('Kontrol Adımları'!$B$1:$B$400=C76),0),0)),"")</f>
        <v/>
      </c>
      <c r="E76" s="5" t="inlineStr">
        <is>
          <t>wine_glass</t>
        </is>
      </c>
      <c r="F76" s="6">
        <f>IFERROR(INDEX('Kalem Kataloğu'!$C$1:$C$1000,MATCH(1,INDEX(('Kalem Kataloğu'!$A$1:$A$1000=A76)*('Kalem Kataloğu'!$B$1:$B$1000=E76),0),0)),"?")</f>
        <v/>
      </c>
      <c r="G76" s="6">
        <f>IFERROR(INDEX('Kalem Kataloğu'!$D$1:$D$1000,MATCH(1,INDEX(('Kalem Kataloğu'!$A$1:$A$1000=A76)*('Kalem Kataloğu'!$B$1:$B$1000=E76),0),0)),"?")</f>
        <v/>
      </c>
      <c r="H76" s="5" t="n">
        <v>2</v>
      </c>
      <c r="I76" s="5" t="inlineStr">
        <is>
          <t>Evet</t>
        </is>
      </c>
      <c r="J76" s="5" t="inlineStr">
        <is>
          <t>Video 18.10.2026</t>
        </is>
      </c>
      <c r="K76" s="5" t="n"/>
    </row>
    <row r="77" ht="26.4" customHeight="1">
      <c r="A77" s="5" t="inlineStr">
        <is>
          <t>Tare Houses Hotel</t>
        </is>
      </c>
      <c r="B77" s="5" t="inlineStr">
        <is>
          <t>X3</t>
        </is>
      </c>
      <c r="C77" s="5" t="n">
        <v>11</v>
      </c>
      <c r="D77" s="6">
        <f>IFERROR(INDEX('Kontrol Adımları'!$D:$D,MATCH(1,INDEX(('Kontrol Adımları'!$A$1:$A$400=B77)*('Kontrol Adımları'!$B$1:$B$400=C77),0),0)),"")</f>
        <v/>
      </c>
      <c r="E77" s="5" t="inlineStr">
        <is>
          <t>saucepan</t>
        </is>
      </c>
      <c r="F77" s="6">
        <f>IFERROR(INDEX('Kalem Kataloğu'!$C$1:$C$1000,MATCH(1,INDEX(('Kalem Kataloğu'!$A$1:$A$1000=A77)*('Kalem Kataloğu'!$B$1:$B$1000=E77),0),0)),"?")</f>
        <v/>
      </c>
      <c r="G77" s="6">
        <f>IFERROR(INDEX('Kalem Kataloğu'!$D$1:$D$1000,MATCH(1,INDEX(('Kalem Kataloğu'!$A$1:$A$1000=A77)*('Kalem Kataloğu'!$B$1:$B$1000=E77),0),0)),"?")</f>
        <v/>
      </c>
      <c r="H77" s="5" t="n">
        <v>1</v>
      </c>
      <c r="I77" s="5" t="inlineStr">
        <is>
          <t>Evet</t>
        </is>
      </c>
      <c r="J77" s="5" t="inlineStr">
        <is>
          <t>Video 18.10.2026</t>
        </is>
      </c>
      <c r="K77" s="5" t="n"/>
    </row>
    <row r="78" ht="26.4" customHeight="1">
      <c r="A78" s="5" t="inlineStr">
        <is>
          <t>Tare Houses Hotel</t>
        </is>
      </c>
      <c r="B78" s="5" t="inlineStr">
        <is>
          <t>X3</t>
        </is>
      </c>
      <c r="C78" s="5" t="n">
        <v>11</v>
      </c>
      <c r="D78" s="6">
        <f>IFERROR(INDEX('Kontrol Adımları'!$D:$D,MATCH(1,INDEX(('Kontrol Adımları'!$A$1:$A$400=B78)*('Kontrol Adımları'!$B$1:$B$400=C78),0),0)),"")</f>
        <v/>
      </c>
      <c r="E78" s="5" t="inlineStr">
        <is>
          <t>trivet</t>
        </is>
      </c>
      <c r="F78" s="6">
        <f>IFERROR(INDEX('Kalem Kataloğu'!$C$1:$C$1000,MATCH(1,INDEX(('Kalem Kataloğu'!$A$1:$A$1000=A78)*('Kalem Kataloğu'!$B$1:$B$1000=E78),0),0)),"?")</f>
        <v/>
      </c>
      <c r="G78" s="6">
        <f>IFERROR(INDEX('Kalem Kataloğu'!$D$1:$D$1000,MATCH(1,INDEX(('Kalem Kataloğu'!$A$1:$A$1000=A78)*('Kalem Kataloğu'!$B$1:$B$1000=E78),0),0)),"?")</f>
        <v/>
      </c>
      <c r="H78" s="5" t="n">
        <v>1</v>
      </c>
      <c r="I78" s="5" t="inlineStr">
        <is>
          <t>Evet</t>
        </is>
      </c>
      <c r="J78" s="5" t="inlineStr">
        <is>
          <t>Video 18.10.2026</t>
        </is>
      </c>
      <c r="K78" s="5" t="n"/>
    </row>
    <row r="79" ht="26.4" customHeight="1">
      <c r="A79" s="5" t="inlineStr">
        <is>
          <t>Tare Houses Hotel</t>
        </is>
      </c>
      <c r="B79" s="5" t="inlineStr">
        <is>
          <t>X3</t>
        </is>
      </c>
      <c r="C79" s="5" t="n">
        <v>11</v>
      </c>
      <c r="D79" s="6">
        <f>IFERROR(INDEX('Kontrol Adımları'!$D:$D,MATCH(1,INDEX(('Kontrol Adımları'!$A$1:$A$400=B79)*('Kontrol Adımları'!$B$1:$B$400=C79),0),0)),"")</f>
        <v/>
      </c>
      <c r="E79" s="5" t="inlineStr">
        <is>
          <t>frying_pan</t>
        </is>
      </c>
      <c r="F79" s="6">
        <f>IFERROR(INDEX('Kalem Kataloğu'!$C$1:$C$1000,MATCH(1,INDEX(('Kalem Kataloğu'!$A$1:$A$1000=A79)*('Kalem Kataloğu'!$B$1:$B$1000=E79),0),0)),"?")</f>
        <v/>
      </c>
      <c r="G79" s="6">
        <f>IFERROR(INDEX('Kalem Kataloğu'!$D$1:$D$1000,MATCH(1,INDEX(('Kalem Kataloğu'!$A$1:$A$1000=A79)*('Kalem Kataloğu'!$B$1:$B$1000=E79),0),0)),"?")</f>
        <v/>
      </c>
      <c r="H79" s="5" t="n">
        <v>1</v>
      </c>
      <c r="I79" s="5" t="inlineStr">
        <is>
          <t>Evet</t>
        </is>
      </c>
      <c r="J79" s="5" t="inlineStr">
        <is>
          <t>Video 18.10.2026</t>
        </is>
      </c>
      <c r="K79" s="5" t="n"/>
    </row>
    <row r="80" ht="26.4" customHeight="1">
      <c r="A80" s="5" t="inlineStr">
        <is>
          <t>Tare Houses Hotel</t>
        </is>
      </c>
      <c r="B80" s="5" t="inlineStr">
        <is>
          <t>X3</t>
        </is>
      </c>
      <c r="C80" s="5" t="n">
        <v>11</v>
      </c>
      <c r="D80" s="6">
        <f>IFERROR(INDEX('Kontrol Adımları'!$D:$D,MATCH(1,INDEX(('Kontrol Adımları'!$A$1:$A$400=B80)*('Kontrol Adımları'!$B$1:$B$400=C80),0),0)),"")</f>
        <v/>
      </c>
      <c r="E80" s="5" t="inlineStr">
        <is>
          <t>pot</t>
        </is>
      </c>
      <c r="F80" s="6">
        <f>IFERROR(INDEX('Kalem Kataloğu'!$C$1:$C$1000,MATCH(1,INDEX(('Kalem Kataloğu'!$A$1:$A$1000=A80)*('Kalem Kataloğu'!$B$1:$B$1000=E80),0),0)),"?")</f>
        <v/>
      </c>
      <c r="G80" s="6">
        <f>IFERROR(INDEX('Kalem Kataloğu'!$D$1:$D$1000,MATCH(1,INDEX(('Kalem Kataloğu'!$A$1:$A$1000=A80)*('Kalem Kataloğu'!$B$1:$B$1000=E80),0),0)),"?")</f>
        <v/>
      </c>
      <c r="H80" s="5" t="n">
        <v>2</v>
      </c>
      <c r="I80" s="5" t="inlineStr">
        <is>
          <t>Evet</t>
        </is>
      </c>
      <c r="J80" s="5" t="inlineStr">
        <is>
          <t>Video 18.10.2026</t>
        </is>
      </c>
      <c r="K80" s="5" t="n"/>
    </row>
    <row r="81" ht="26.4" customHeight="1">
      <c r="A81" s="5" t="inlineStr">
        <is>
          <t>Tare Houses Hotel</t>
        </is>
      </c>
      <c r="B81" s="5" t="inlineStr">
        <is>
          <t>X3</t>
        </is>
      </c>
      <c r="C81" s="5" t="n">
        <v>12</v>
      </c>
      <c r="D81" s="6">
        <f>IFERROR(INDEX('Kontrol Adımları'!$D:$D,MATCH(1,INDEX(('Kontrol Adımları'!$A$1:$A$400=B81)*('Kontrol Adımları'!$B$1:$B$400=C81),0),0)),"")</f>
        <v/>
      </c>
      <c r="E81" s="5" t="inlineStr">
        <is>
          <t>dinner_plate</t>
        </is>
      </c>
      <c r="F81" s="6">
        <f>IFERROR(INDEX('Kalem Kataloğu'!$C$1:$C$1000,MATCH(1,INDEX(('Kalem Kataloğu'!$A$1:$A$1000=A81)*('Kalem Kataloğu'!$B$1:$B$1000=E81),0),0)),"?")</f>
        <v/>
      </c>
      <c r="G81" s="6">
        <f>IFERROR(INDEX('Kalem Kataloğu'!$D$1:$D$1000,MATCH(1,INDEX(('Kalem Kataloğu'!$A$1:$A$1000=A81)*('Kalem Kataloğu'!$B$1:$B$1000=E81),0),0)),"?")</f>
        <v/>
      </c>
      <c r="H81" s="5" t="n">
        <v>4</v>
      </c>
      <c r="I81" s="5" t="inlineStr">
        <is>
          <t>Evet</t>
        </is>
      </c>
      <c r="J81" s="5" t="inlineStr">
        <is>
          <t>Video 18.10.2026</t>
        </is>
      </c>
      <c r="K81" s="5" t="n"/>
    </row>
    <row r="82" ht="26.4" customHeight="1">
      <c r="A82" s="5" t="inlineStr">
        <is>
          <t>Tare Houses Hotel</t>
        </is>
      </c>
      <c r="B82" s="5" t="inlineStr">
        <is>
          <t>X3</t>
        </is>
      </c>
      <c r="C82" s="5" t="n">
        <v>12</v>
      </c>
      <c r="D82" s="6">
        <f>IFERROR(INDEX('Kontrol Adımları'!$D:$D,MATCH(1,INDEX(('Kontrol Adımları'!$A$1:$A$400=B82)*('Kontrol Adımları'!$B$1:$B$400=C82),0),0)),"")</f>
        <v/>
      </c>
      <c r="E82" s="5" t="inlineStr">
        <is>
          <t>bowl</t>
        </is>
      </c>
      <c r="F82" s="6">
        <f>IFERROR(INDEX('Kalem Kataloğu'!$C$1:$C$1000,MATCH(1,INDEX(('Kalem Kataloğu'!$A$1:$A$1000=A82)*('Kalem Kataloğu'!$B$1:$B$1000=E82),0),0)),"?")</f>
        <v/>
      </c>
      <c r="G82" s="6">
        <f>IFERROR(INDEX('Kalem Kataloğu'!$D$1:$D$1000,MATCH(1,INDEX(('Kalem Kataloğu'!$A$1:$A$1000=A82)*('Kalem Kataloğu'!$B$1:$B$1000=E82),0),0)),"?")</f>
        <v/>
      </c>
      <c r="H82" s="5" t="n">
        <v>4</v>
      </c>
      <c r="I82" s="5" t="inlineStr">
        <is>
          <t>Evet</t>
        </is>
      </c>
      <c r="J82" s="5" t="inlineStr">
        <is>
          <t>Video 18.10.2026</t>
        </is>
      </c>
      <c r="K82" s="5" t="n"/>
    </row>
    <row r="83" ht="26.4" customHeight="1">
      <c r="A83" s="5" t="inlineStr">
        <is>
          <t>Tare Houses Hotel</t>
        </is>
      </c>
      <c r="B83" s="5" t="inlineStr">
        <is>
          <t>X3</t>
        </is>
      </c>
      <c r="C83" s="5" t="n">
        <v>12</v>
      </c>
      <c r="D83" s="6">
        <f>IFERROR(INDEX('Kontrol Adımları'!$D:$D,MATCH(1,INDEX(('Kontrol Adımları'!$A$1:$A$400=B83)*('Kontrol Adımları'!$B$1:$B$400=C83),0),0)),"")</f>
        <v/>
      </c>
      <c r="E83" s="5" t="inlineStr">
        <is>
          <t>side_plate</t>
        </is>
      </c>
      <c r="F83" s="6">
        <f>IFERROR(INDEX('Kalem Kataloğu'!$C$1:$C$1000,MATCH(1,INDEX(('Kalem Kataloğu'!$A$1:$A$1000=A83)*('Kalem Kataloğu'!$B$1:$B$1000=E83),0),0)),"?")</f>
        <v/>
      </c>
      <c r="G83" s="6">
        <f>IFERROR(INDEX('Kalem Kataloğu'!$D$1:$D$1000,MATCH(1,INDEX(('Kalem Kataloğu'!$A$1:$A$1000=A83)*('Kalem Kataloğu'!$B$1:$B$1000=E83),0),0)),"?")</f>
        <v/>
      </c>
      <c r="H83" s="5" t="n">
        <v>4</v>
      </c>
      <c r="I83" s="5" t="inlineStr">
        <is>
          <t>Evet</t>
        </is>
      </c>
      <c r="J83" s="5" t="inlineStr">
        <is>
          <t>Video 18.10.2026</t>
        </is>
      </c>
      <c r="K83" s="5" t="n"/>
    </row>
    <row r="84" ht="26.4" customHeight="1">
      <c r="A84" s="5" t="inlineStr">
        <is>
          <t>Tare Houses Hotel</t>
        </is>
      </c>
      <c r="B84" s="5" t="inlineStr">
        <is>
          <t>X3</t>
        </is>
      </c>
      <c r="C84" s="5" t="n">
        <v>12</v>
      </c>
      <c r="D84" s="6">
        <f>IFERROR(INDEX('Kontrol Adımları'!$D:$D,MATCH(1,INDEX(('Kontrol Adımları'!$A$1:$A$400=B84)*('Kontrol Adımları'!$B$1:$B$400=C84),0),0)),"")</f>
        <v/>
      </c>
      <c r="E84" s="5" t="inlineStr">
        <is>
          <t>deep_plate</t>
        </is>
      </c>
      <c r="F84" s="6">
        <f>IFERROR(INDEX('Kalem Kataloğu'!$C$1:$C$1000,MATCH(1,INDEX(('Kalem Kataloğu'!$A$1:$A$1000=A84)*('Kalem Kataloğu'!$B$1:$B$1000=E84),0),0)),"?")</f>
        <v/>
      </c>
      <c r="G84" s="6">
        <f>IFERROR(INDEX('Kalem Kataloğu'!$D$1:$D$1000,MATCH(1,INDEX(('Kalem Kataloğu'!$A$1:$A$1000=A84)*('Kalem Kataloğu'!$B$1:$B$1000=E84),0),0)),"?")</f>
        <v/>
      </c>
      <c r="H84" s="5" t="n">
        <v>4</v>
      </c>
      <c r="I84" s="5" t="inlineStr">
        <is>
          <t>Evet</t>
        </is>
      </c>
      <c r="J84" s="5" t="inlineStr">
        <is>
          <t>Video 18.10.2026</t>
        </is>
      </c>
      <c r="K84" s="5" t="n"/>
    </row>
    <row r="85" ht="52.8" customHeight="1">
      <c r="A85" s="5" t="inlineStr">
        <is>
          <t>Tare Houses Hotel</t>
        </is>
      </c>
      <c r="B85" s="5" t="inlineStr">
        <is>
          <t>X3</t>
        </is>
      </c>
      <c r="C85" s="5" t="n"/>
      <c r="D85" s="6">
        <f>IFERROR(INDEX('Kontrol Adımları'!$D:$D,MATCH(1,INDEX(('Kontrol Adımları'!$A$1:$A$400=B85)*('Kontrol Adımları'!$B$1:$B$400=C85),0),0)),"")</f>
        <v/>
      </c>
      <c r="E85" s="5" t="inlineStr">
        <is>
          <t>cutlery_tray</t>
        </is>
      </c>
      <c r="F85" s="6">
        <f>IFERROR(INDEX('Kalem Kataloğu'!$C$1:$C$1000,MATCH(1,INDEX(('Kalem Kataloğu'!$A$1:$A$1000=A85)*('Kalem Kataloğu'!$B$1:$B$1000=E85),0),0)),"?")</f>
        <v/>
      </c>
      <c r="G85" s="6">
        <f>IFERROR(INDEX('Kalem Kataloğu'!$D$1:$D$1000,MATCH(1,INDEX(('Kalem Kataloğu'!$A$1:$A$1000=A85)*('Kalem Kataloğu'!$B$1:$B$1000=E85),0),0)),"?")</f>
        <v/>
      </c>
      <c r="H85" s="7" t="n">
        <v>1</v>
      </c>
      <c r="I85" s="7" t="inlineStr">
        <is>
          <t>Hayır</t>
        </is>
      </c>
      <c r="J85" s="5" t="inlineStr">
        <is>
          <t>Drive foto (Tem. 2024)</t>
        </is>
      </c>
      <c r="K85" s="5" t="inlineStr">
        <is>
          <t>Çay kaşığı Excel X3: 5. Mutfak Gereçleri klasörü oda numarası belirtmiyor (Temmuz 2024 çekimi); tüm TH tiplerinde aynı mutfak seti olduğu varsayıldı, X3 değeri 18.10.2026 videosundan. [güven: yüksek]</t>
        </is>
      </c>
    </row>
    <row r="86" ht="26.4" customHeight="1">
      <c r="A86" s="5" t="inlineStr">
        <is>
          <t>Tare Houses Hotel</t>
        </is>
      </c>
      <c r="B86" s="5" t="inlineStr">
        <is>
          <t>X4</t>
        </is>
      </c>
      <c r="C86" s="7" t="n"/>
      <c r="D86" s="6">
        <f>IFERROR(INDEX('Kontrol Adımları'!$D:$D,MATCH(1,INDEX(('Kontrol Adımları'!$A$1:$A$400=B86)*('Kontrol Adımları'!$B$1:$B$400=C86),0),0)),"")</f>
        <v/>
      </c>
      <c r="E86" s="5" t="inlineStr">
        <is>
          <t>wooden_bowl</t>
        </is>
      </c>
      <c r="F86" s="6">
        <f>IFERROR(INDEX('Kalem Kataloğu'!$C$1:$C$1000,MATCH(1,INDEX(('Kalem Kataloğu'!$A$1:$A$1000=A86)*('Kalem Kataloğu'!$B$1:$B$1000=E86),0),0)),"?")</f>
        <v/>
      </c>
      <c r="G86" s="6">
        <f>IFERROR(INDEX('Kalem Kataloğu'!$D$1:$D$1000,MATCH(1,INDEX(('Kalem Kataloğu'!$A$1:$A$1000=A86)*('Kalem Kataloğu'!$B$1:$B$1000=E86),0),0)),"?")</f>
        <v/>
      </c>
      <c r="H86" s="7" t="n">
        <v>1</v>
      </c>
      <c r="I86" s="7" t="inlineStr">
        <is>
          <t>Hayır</t>
        </is>
      </c>
      <c r="J86" s="5" t="inlineStr">
        <is>
          <t>X3 ile aynı varsayıldı</t>
        </is>
      </c>
      <c r="K86" s="5" t="inlineStr">
        <is>
          <t>Mutfak seti Tare Houses tiplerinde ortak görünüyor (Drive Mutfak Gereçleri). Odada say.</t>
        </is>
      </c>
    </row>
    <row r="87" ht="26.4" customHeight="1">
      <c r="A87" s="5" t="inlineStr">
        <is>
          <t>Tare Houses Hotel</t>
        </is>
      </c>
      <c r="B87" s="5" t="inlineStr">
        <is>
          <t>X4</t>
        </is>
      </c>
      <c r="C87" s="7" t="n"/>
      <c r="D87" s="6">
        <f>IFERROR(INDEX('Kontrol Adımları'!$D:$D,MATCH(1,INDEX(('Kontrol Adımları'!$A$1:$A$400=B87)*('Kontrol Adımları'!$B$1:$B$400=C87),0),0)),"")</f>
        <v/>
      </c>
      <c r="E87" s="5" t="inlineStr">
        <is>
          <t>dish_rack</t>
        </is>
      </c>
      <c r="F87" s="6">
        <f>IFERROR(INDEX('Kalem Kataloğu'!$C$1:$C$1000,MATCH(1,INDEX(('Kalem Kataloğu'!$A$1:$A$1000=A87)*('Kalem Kataloğu'!$B$1:$B$1000=E87),0),0)),"?")</f>
        <v/>
      </c>
      <c r="G87" s="6">
        <f>IFERROR(INDEX('Kalem Kataloğu'!$D$1:$D$1000,MATCH(1,INDEX(('Kalem Kataloğu'!$A$1:$A$1000=A87)*('Kalem Kataloğu'!$B$1:$B$1000=E87),0),0)),"?")</f>
        <v/>
      </c>
      <c r="H87" s="7" t="n">
        <v>1</v>
      </c>
      <c r="I87" s="7" t="inlineStr">
        <is>
          <t>Hayır</t>
        </is>
      </c>
      <c r="J87" s="5" t="inlineStr">
        <is>
          <t>Drive foto (Tem. 2024)</t>
        </is>
      </c>
      <c r="K87" s="5" t="inlineStr">
        <is>
          <t xml:space="preserve"> [güven: yüksek]</t>
        </is>
      </c>
    </row>
    <row r="88" ht="66" customHeight="1">
      <c r="A88" s="5" t="inlineStr">
        <is>
          <t>Tare Houses Hotel</t>
        </is>
      </c>
      <c r="B88" s="5" t="inlineStr">
        <is>
          <t>X4</t>
        </is>
      </c>
      <c r="C88" s="7" t="n"/>
      <c r="D88" s="6">
        <f>IFERROR(INDEX('Kontrol Adımları'!$D:$D,MATCH(1,INDEX(('Kontrol Adımları'!$A$1:$A$400=B88)*('Kontrol Adımları'!$B$1:$B$400=C88),0),0)),"")</f>
        <v/>
      </c>
      <c r="E88" s="5" t="inlineStr">
        <is>
          <t>dinner_plate</t>
        </is>
      </c>
      <c r="F88" s="6">
        <f>IFERROR(INDEX('Kalem Kataloğu'!$C$1:$C$1000,MATCH(1,INDEX(('Kalem Kataloğu'!$A$1:$A$1000=A88)*('Kalem Kataloğu'!$B$1:$B$1000=E88),0),0)),"?")</f>
        <v/>
      </c>
      <c r="G88" s="6">
        <f>IFERROR(INDEX('Kalem Kataloğu'!$D$1:$D$1000,MATCH(1,INDEX(('Kalem Kataloğu'!$A$1:$A$1000=A88)*('Kalem Kataloğu'!$B$1:$B$1000=E88),0),0)),"?")</f>
        <v/>
      </c>
      <c r="H88" s="7" t="n">
        <v>4</v>
      </c>
      <c r="I88" s="7" t="inlineStr">
        <is>
          <t>Hayır</t>
        </is>
      </c>
      <c r="J88" s="5" t="inlineStr">
        <is>
          <t>Drive foto (Tem. 2024)</t>
        </is>
      </c>
      <c r="K88" s="5" t="inlineStr">
        <is>
          <t>Dolapta 4'lü yığın. Excel X3: "Büyük tabak (gri)" 4 → uyumlu. Mutfak Gereçleri klasörü oda numarası belirtmiyor (Temmuz 2024 çekimi); tüm TH tiplerinde aynı mutfak seti olduğu varsayıldı, X3 değeri 18.10.2026 videosundan. [güven: orta]</t>
        </is>
      </c>
    </row>
    <row r="89" ht="26.4" customHeight="1">
      <c r="A89" s="5" t="inlineStr">
        <is>
          <t>Tare Houses Hotel</t>
        </is>
      </c>
      <c r="B89" s="5" t="inlineStr">
        <is>
          <t>X4</t>
        </is>
      </c>
      <c r="C89" s="7" t="n"/>
      <c r="D89" s="6">
        <f>IFERROR(INDEX('Kontrol Adımları'!$D:$D,MATCH(1,INDEX(('Kontrol Adımları'!$A$1:$A$400=B89)*('Kontrol Adımları'!$B$1:$B$400=C89),0),0)),"")</f>
        <v/>
      </c>
      <c r="E89" s="5" t="inlineStr">
        <is>
          <t>sponge_caddy</t>
        </is>
      </c>
      <c r="F89" s="6">
        <f>IFERROR(INDEX('Kalem Kataloğu'!$C$1:$C$1000,MATCH(1,INDEX(('Kalem Kataloğu'!$A$1:$A$1000=A89)*('Kalem Kataloğu'!$B$1:$B$1000=E89),0),0)),"?")</f>
        <v/>
      </c>
      <c r="G89" s="6">
        <f>IFERROR(INDEX('Kalem Kataloğu'!$D$1:$D$1000,MATCH(1,INDEX(('Kalem Kataloğu'!$A$1:$A$1000=A89)*('Kalem Kataloğu'!$B$1:$B$1000=E89),0),0)),"?")</f>
        <v/>
      </c>
      <c r="H89" s="7" t="n">
        <v>1</v>
      </c>
      <c r="I89" s="7" t="inlineStr">
        <is>
          <t>Hayır</t>
        </is>
      </c>
      <c r="J89" s="5" t="inlineStr">
        <is>
          <t>Drive foto (Tem. 2024)</t>
        </is>
      </c>
      <c r="K89" s="5" t="inlineStr">
        <is>
          <t>Excel X3: fırça+sünger+deterjan standı 1. Sünger sarf. [güven: yüksek]</t>
        </is>
      </c>
    </row>
    <row r="90" ht="66" customHeight="1">
      <c r="A90" s="5" t="inlineStr">
        <is>
          <t>Tare Houses Hotel</t>
        </is>
      </c>
      <c r="B90" s="5" t="inlineStr">
        <is>
          <t>X4</t>
        </is>
      </c>
      <c r="C90" s="7" t="n"/>
      <c r="D90" s="6">
        <f>IFERROR(INDEX('Kontrol Adımları'!$D:$D,MATCH(1,INDEX(('Kontrol Adımları'!$A$1:$A$400=B90)*('Kontrol Adımları'!$B$1:$B$400=C90),0),0)),"")</f>
        <v/>
      </c>
      <c r="E90" s="5" t="inlineStr">
        <is>
          <t>bowl</t>
        </is>
      </c>
      <c r="F90" s="6">
        <f>IFERROR(INDEX('Kalem Kataloğu'!$C$1:$C$1000,MATCH(1,INDEX(('Kalem Kataloğu'!$A$1:$A$1000=A90)*('Kalem Kataloğu'!$B$1:$B$1000=E90),0),0)),"?")</f>
        <v/>
      </c>
      <c r="G90" s="6">
        <f>IFERROR(INDEX('Kalem Kataloğu'!$D$1:$D$1000,MATCH(1,INDEX(('Kalem Kataloğu'!$A$1:$A$1000=A90)*('Kalem Kataloğu'!$B$1:$B$1000=E90),0),0)),"?")</f>
        <v/>
      </c>
      <c r="H90" s="7" t="n">
        <v>4</v>
      </c>
      <c r="I90" s="7" t="inlineStr">
        <is>
          <t>Hayır</t>
        </is>
      </c>
      <c r="J90" s="5" t="inlineStr">
        <is>
          <t>Drive foto (Tem. 2024)</t>
        </is>
      </c>
      <c r="K90" s="5" t="inlineStr">
        <is>
          <t>Dolapta 4'lü yığın. Excel X3 "Kase (yeşil)" 4 → uyumlu (renk farkı algısal). Mutfak Gereçleri klasörü oda numarası belirtmiyor (Temmuz 2024 çekimi); tüm TH tiplerinde aynı mutfak seti olduğu varsayıldı, X3 değeri 18.10.2026 videosundan. [güven: orta]</t>
        </is>
      </c>
    </row>
    <row r="91" ht="26.4" customHeight="1">
      <c r="A91" s="5" t="inlineStr">
        <is>
          <t>Tare Houses Hotel</t>
        </is>
      </c>
      <c r="B91" s="5" t="inlineStr">
        <is>
          <t>X4</t>
        </is>
      </c>
      <c r="C91" s="7" t="n"/>
      <c r="D91" s="6">
        <f>IFERROR(INDEX('Kontrol Adımları'!$D:$D,MATCH(1,INDEX(('Kontrol Adımları'!$A$1:$A$400=B91)*('Kontrol Adımları'!$B$1:$B$400=C91),0),0)),"")</f>
        <v/>
      </c>
      <c r="E91" s="5" t="inlineStr">
        <is>
          <t>cutting_board</t>
        </is>
      </c>
      <c r="F91" s="6">
        <f>IFERROR(INDEX('Kalem Kataloğu'!$C$1:$C$1000,MATCH(1,INDEX(('Kalem Kataloğu'!$A$1:$A$1000=A91)*('Kalem Kataloğu'!$B$1:$B$1000=E91),0),0)),"?")</f>
        <v/>
      </c>
      <c r="G91" s="6">
        <f>IFERROR(INDEX('Kalem Kataloğu'!$D$1:$D$1000,MATCH(1,INDEX(('Kalem Kataloğu'!$A$1:$A$1000=A91)*('Kalem Kataloğu'!$B$1:$B$1000=E91),0),0)),"?")</f>
        <v/>
      </c>
      <c r="H91" s="7" t="n">
        <v>1</v>
      </c>
      <c r="I91" s="7" t="inlineStr">
        <is>
          <t>Hayır</t>
        </is>
      </c>
      <c r="J91" s="5" t="inlineStr">
        <is>
          <t>Drive foto (Tem. 2024)</t>
        </is>
      </c>
      <c r="K91" s="5" t="inlineStr">
        <is>
          <t>Bıçak seti kutusunun altında. Excel X3: kesme tahtası 1. [güven: orta]</t>
        </is>
      </c>
    </row>
    <row r="92" ht="66" customHeight="1">
      <c r="A92" s="5" t="inlineStr">
        <is>
          <t>Tare Houses Hotel</t>
        </is>
      </c>
      <c r="B92" s="5" t="inlineStr">
        <is>
          <t>X4</t>
        </is>
      </c>
      <c r="C92" s="7" t="n"/>
      <c r="D92" s="6">
        <f>IFERROR(INDEX('Kontrol Adımları'!$D:$D,MATCH(1,INDEX(('Kontrol Adımları'!$A$1:$A$400=B92)*('Kontrol Adımları'!$B$1:$B$400=C92),0),0)),"")</f>
        <v/>
      </c>
      <c r="E92" s="5" t="inlineStr">
        <is>
          <t>knife_set</t>
        </is>
      </c>
      <c r="F92" s="6">
        <f>IFERROR(INDEX('Kalem Kataloğu'!$C$1:$C$1000,MATCH(1,INDEX(('Kalem Kataloğu'!$A$1:$A$1000=A92)*('Kalem Kataloğu'!$B$1:$B$1000=E92),0),0)),"?")</f>
        <v/>
      </c>
      <c r="G92" s="6">
        <f>IFERROR(INDEX('Kalem Kataloğu'!$D$1:$D$1000,MATCH(1,INDEX(('Kalem Kataloğu'!$A$1:$A$1000=A92)*('Kalem Kataloğu'!$B$1:$B$1000=E92),0),0)),"?")</f>
        <v/>
      </c>
      <c r="H92" s="7" t="n">
        <v>1</v>
      </c>
      <c r="I92" s="7" t="inlineStr">
        <is>
          <t>Hayır</t>
        </is>
      </c>
      <c r="J92" s="5" t="inlineStr">
        <is>
          <t>Drive foto (Tem. 2024)</t>
        </is>
      </c>
      <c r="K92" s="5" t="inlineStr">
        <is>
          <t>Excel X3: Kiyomi bıçak seti 1. Kutu içi 7 parça tam mı kontrol edilmeli. Mutfak Gereçleri klasörü oda numarası belirtmiyor (Temmuz 2024 çekimi); tüm TH tiplerinde aynı mutfak seti olduğu varsayıldı, X3 değeri 18.10.2026 videosundan. [güven: yüksek]</t>
        </is>
      </c>
    </row>
    <row r="93" ht="26.4" customHeight="1">
      <c r="A93" s="5" t="inlineStr">
        <is>
          <t>Tare Houses Hotel</t>
        </is>
      </c>
      <c r="B93" s="5" t="inlineStr">
        <is>
          <t>X4</t>
        </is>
      </c>
      <c r="C93" s="7" t="n"/>
      <c r="D93" s="6">
        <f>IFERROR(INDEX('Kontrol Adımları'!$D:$D,MATCH(1,INDEX(('Kontrol Adımları'!$A$1:$A$400=B93)*('Kontrol Adımları'!$B$1:$B$400=C93),0),0)),"")</f>
        <v/>
      </c>
      <c r="E93" s="5" t="inlineStr">
        <is>
          <t>saucepan</t>
        </is>
      </c>
      <c r="F93" s="6">
        <f>IFERROR(INDEX('Kalem Kataloğu'!$C$1:$C$1000,MATCH(1,INDEX(('Kalem Kataloğu'!$A$1:$A$1000=A93)*('Kalem Kataloğu'!$B$1:$B$1000=E93),0),0)),"?")</f>
        <v/>
      </c>
      <c r="G93" s="6">
        <f>IFERROR(INDEX('Kalem Kataloğu'!$D$1:$D$1000,MATCH(1,INDEX(('Kalem Kataloğu'!$A$1:$A$1000=A93)*('Kalem Kataloğu'!$B$1:$B$1000=E93),0),0)),"?")</f>
        <v/>
      </c>
      <c r="H93" s="7" t="n">
        <v>1</v>
      </c>
      <c r="I93" s="7" t="inlineStr">
        <is>
          <t>Hayır</t>
        </is>
      </c>
      <c r="J93" s="5" t="inlineStr">
        <is>
          <t>X3 ile aynı varsayıldı</t>
        </is>
      </c>
      <c r="K93" s="5" t="inlineStr">
        <is>
          <t>Mutfak seti Tare Houses tiplerinde ortak görünüyor (Drive Mutfak Gereçleri). Odada say.</t>
        </is>
      </c>
    </row>
    <row r="94" ht="26.4" customHeight="1">
      <c r="A94" s="5" t="inlineStr">
        <is>
          <t>Tare Houses Hotel</t>
        </is>
      </c>
      <c r="B94" s="5" t="inlineStr">
        <is>
          <t>X4</t>
        </is>
      </c>
      <c r="C94" s="7" t="n"/>
      <c r="D94" s="6">
        <f>IFERROR(INDEX('Kontrol Adımları'!$D:$D,MATCH(1,INDEX(('Kontrol Adımları'!$A$1:$A$400=B94)*('Kontrol Adımları'!$B$1:$B$400=C94),0),0)),"")</f>
        <v/>
      </c>
      <c r="E94" s="5" t="inlineStr">
        <is>
          <t>mug</t>
        </is>
      </c>
      <c r="F94" s="6">
        <f>IFERROR(INDEX('Kalem Kataloğu'!$C$1:$C$1000,MATCH(1,INDEX(('Kalem Kataloğu'!$A$1:$A$1000=A94)*('Kalem Kataloğu'!$B$1:$B$1000=E94),0),0)),"?")</f>
        <v/>
      </c>
      <c r="G94" s="6">
        <f>IFERROR(INDEX('Kalem Kataloğu'!$D$1:$D$1000,MATCH(1,INDEX(('Kalem Kataloğu'!$A$1:$A$1000=A94)*('Kalem Kataloğu'!$B$1:$B$1000=E94),0),0)),"?")</f>
        <v/>
      </c>
      <c r="H94" s="7" t="n">
        <v>2</v>
      </c>
      <c r="I94" s="7" t="inlineStr">
        <is>
          <t>Hayır</t>
        </is>
      </c>
      <c r="J94" s="5" t="inlineStr">
        <is>
          <t>X3 ile aynı varsayıldı</t>
        </is>
      </c>
      <c r="K94" s="5" t="inlineStr">
        <is>
          <t>Mutfak seti Tare Houses tiplerinde ortak görünüyor (Drive Mutfak Gereçleri). Odada say.</t>
        </is>
      </c>
    </row>
    <row r="95" ht="66" customHeight="1">
      <c r="A95" s="5" t="inlineStr">
        <is>
          <t>Tare Houses Hotel</t>
        </is>
      </c>
      <c r="B95" s="5" t="inlineStr">
        <is>
          <t>X4</t>
        </is>
      </c>
      <c r="C95" s="7" t="n"/>
      <c r="D95" s="6">
        <f>IFERROR(INDEX('Kontrol Adımları'!$D:$D,MATCH(1,INDEX(('Kontrol Adımları'!$A$1:$A$400=B95)*('Kontrol Adımları'!$B$1:$B$400=C95),0),0)),"")</f>
        <v/>
      </c>
      <c r="E95" s="5" t="inlineStr">
        <is>
          <t>side_plate</t>
        </is>
      </c>
      <c r="F95" s="6">
        <f>IFERROR(INDEX('Kalem Kataloğu'!$C$1:$C$1000,MATCH(1,INDEX(('Kalem Kataloğu'!$A$1:$A$1000=A95)*('Kalem Kataloğu'!$B$1:$B$1000=E95),0),0)),"?")</f>
        <v/>
      </c>
      <c r="G95" s="6">
        <f>IFERROR(INDEX('Kalem Kataloğu'!$D$1:$D$1000,MATCH(1,INDEX(('Kalem Kataloğu'!$A$1:$A$1000=A95)*('Kalem Kataloğu'!$B$1:$B$1000=E95),0),0)),"?")</f>
        <v/>
      </c>
      <c r="H95" s="7" t="n">
        <v>4</v>
      </c>
      <c r="I95" s="7" t="inlineStr">
        <is>
          <t>Hayır</t>
        </is>
      </c>
      <c r="J95" s="5" t="inlineStr">
        <is>
          <t>Drive foto (Tem. 2024)</t>
        </is>
      </c>
      <c r="K95" s="5" t="inlineStr">
        <is>
          <t>Dolapta 4'lü yığın. Excel X3: "Küçük tabak (gri)" 4 → uyumlu. Mutfak Gereçleri klasörü oda numarası belirtmiyor (Temmuz 2024 çekimi); tüm TH tiplerinde aynı mutfak seti olduğu varsayıldı, X3 değeri 18.10.2026 videosundan. [güven: orta]</t>
        </is>
      </c>
    </row>
    <row r="96" ht="26.4" customHeight="1">
      <c r="A96" s="5" t="inlineStr">
        <is>
          <t>Tare Houses Hotel</t>
        </is>
      </c>
      <c r="B96" s="5" t="inlineStr">
        <is>
          <t>X4</t>
        </is>
      </c>
      <c r="C96" s="7" t="n"/>
      <c r="D96" s="6">
        <f>IFERROR(INDEX('Kontrol Adımları'!$D:$D,MATCH(1,INDEX(('Kontrol Adımları'!$A$1:$A$400=B96)*('Kontrol Adımları'!$B$1:$B$400=C96),0),0)),"")</f>
        <v/>
      </c>
      <c r="E96" s="5" t="inlineStr">
        <is>
          <t>small_plate_green</t>
        </is>
      </c>
      <c r="F96" s="6">
        <f>IFERROR(INDEX('Kalem Kataloğu'!$C$1:$C$1000,MATCH(1,INDEX(('Kalem Kataloğu'!$A$1:$A$1000=A96)*('Kalem Kataloğu'!$B$1:$B$1000=E96),0),0)),"?")</f>
        <v/>
      </c>
      <c r="G96" s="6">
        <f>IFERROR(INDEX('Kalem Kataloğu'!$D$1:$D$1000,MATCH(1,INDEX(('Kalem Kataloğu'!$A$1:$A$1000=A96)*('Kalem Kataloğu'!$B$1:$B$1000=E96),0),0)),"?")</f>
        <v/>
      </c>
      <c r="H96" s="7" t="n">
        <v>4</v>
      </c>
      <c r="I96" s="7" t="inlineStr">
        <is>
          <t>Hayır</t>
        </is>
      </c>
      <c r="J96" s="5" t="inlineStr">
        <is>
          <t>X3 ile aynı varsayıldı</t>
        </is>
      </c>
      <c r="K96" s="5" t="inlineStr">
        <is>
          <t>Mutfak seti Tare Houses tiplerinde ortak görünüyor (Drive Mutfak Gereçleri). Odada say.</t>
        </is>
      </c>
    </row>
    <row r="97" ht="26.4" customHeight="1">
      <c r="A97" s="5" t="inlineStr">
        <is>
          <t>Tare Houses Hotel</t>
        </is>
      </c>
      <c r="B97" s="5" t="inlineStr">
        <is>
          <t>X4</t>
        </is>
      </c>
      <c r="C97" s="7" t="n"/>
      <c r="D97" s="6">
        <f>IFERROR(INDEX('Kontrol Adımları'!$D:$D,MATCH(1,INDEX(('Kontrol Adımları'!$A$1:$A$400=B97)*('Kontrol Adımları'!$B$1:$B$400=C97),0),0)),"")</f>
        <v/>
      </c>
      <c r="E97" s="5" t="inlineStr">
        <is>
          <t>trivet</t>
        </is>
      </c>
      <c r="F97" s="6">
        <f>IFERROR(INDEX('Kalem Kataloğu'!$C$1:$C$1000,MATCH(1,INDEX(('Kalem Kataloğu'!$A$1:$A$1000=A97)*('Kalem Kataloğu'!$B$1:$B$1000=E97),0),0)),"?")</f>
        <v/>
      </c>
      <c r="G97" s="6">
        <f>IFERROR(INDEX('Kalem Kataloğu'!$D$1:$D$1000,MATCH(1,INDEX(('Kalem Kataloğu'!$A$1:$A$1000=A97)*('Kalem Kataloğu'!$B$1:$B$1000=E97),0),0)),"?")</f>
        <v/>
      </c>
      <c r="H97" s="7" t="n">
        <v>1</v>
      </c>
      <c r="I97" s="7" t="inlineStr">
        <is>
          <t>Hayır</t>
        </is>
      </c>
      <c r="J97" s="5" t="inlineStr">
        <is>
          <t>X3 ile aynı varsayıldı</t>
        </is>
      </c>
      <c r="K97" s="5" t="inlineStr">
        <is>
          <t>Mutfak seti Tare Houses tiplerinde ortak görünüyor (Drive Mutfak Gereçleri). Odada say.</t>
        </is>
      </c>
    </row>
    <row r="98" ht="52.8" customHeight="1">
      <c r="A98" s="5" t="inlineStr">
        <is>
          <t>Tare Houses Hotel</t>
        </is>
      </c>
      <c r="B98" s="5" t="inlineStr">
        <is>
          <t>X4</t>
        </is>
      </c>
      <c r="C98" s="7" t="n"/>
      <c r="D98" s="6">
        <f>IFERROR(INDEX('Kontrol Adımları'!$D:$D,MATCH(1,INDEX(('Kontrol Adımları'!$A$1:$A$400=B98)*('Kontrol Adımları'!$B$1:$B$400=C98),0),0)),"")</f>
        <v/>
      </c>
      <c r="E98" s="5" t="inlineStr">
        <is>
          <t>silicone_slotted</t>
        </is>
      </c>
      <c r="F98" s="6">
        <f>IFERROR(INDEX('Kalem Kataloğu'!$C$1:$C$1000,MATCH(1,INDEX(('Kalem Kataloğu'!$A$1:$A$1000=A98)*('Kalem Kataloğu'!$B$1:$B$1000=E98),0),0)),"?")</f>
        <v/>
      </c>
      <c r="G98" s="6">
        <f>IFERROR(INDEX('Kalem Kataloğu'!$D$1:$D$1000,MATCH(1,INDEX(('Kalem Kataloğu'!$A$1:$A$1000=A98)*('Kalem Kataloğu'!$B$1:$B$1000=E98),0),0)),"?")</f>
        <v/>
      </c>
      <c r="H98" s="7" t="n">
        <v>1</v>
      </c>
      <c r="I98" s="7" t="inlineStr">
        <is>
          <t>Hayır</t>
        </is>
      </c>
      <c r="J98" s="5" t="inlineStr">
        <is>
          <t>Drive foto (Tem. 2024)</t>
        </is>
      </c>
      <c r="K98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99" ht="52.8" customHeight="1">
      <c r="A99" s="5" t="inlineStr">
        <is>
          <t>Tare Houses Hotel</t>
        </is>
      </c>
      <c r="B99" s="5" t="inlineStr">
        <is>
          <t>X4</t>
        </is>
      </c>
      <c r="C99" s="7" t="n"/>
      <c r="D99" s="6">
        <f>IFERROR(INDEX('Kontrol Adımları'!$D:$D,MATCH(1,INDEX(('Kontrol Adımları'!$A$1:$A$400=B99)*('Kontrol Adımları'!$B$1:$B$400=C99),0),0)),"")</f>
        <v/>
      </c>
      <c r="E99" s="5" t="inlineStr">
        <is>
          <t>silicone_spoon</t>
        </is>
      </c>
      <c r="F99" s="6">
        <f>IFERROR(INDEX('Kalem Kataloğu'!$C$1:$C$1000,MATCH(1,INDEX(('Kalem Kataloğu'!$A$1:$A$1000=A99)*('Kalem Kataloğu'!$B$1:$B$1000=E99),0),0)),"?")</f>
        <v/>
      </c>
      <c r="G99" s="6">
        <f>IFERROR(INDEX('Kalem Kataloğu'!$D$1:$D$1000,MATCH(1,INDEX(('Kalem Kataloğu'!$A$1:$A$1000=A99)*('Kalem Kataloğu'!$B$1:$B$1000=E99),0),0)),"?")</f>
        <v/>
      </c>
      <c r="H99" s="7" t="n">
        <v>1</v>
      </c>
      <c r="I99" s="7" t="inlineStr">
        <is>
          <t>Hayır</t>
        </is>
      </c>
      <c r="J99" s="5" t="inlineStr">
        <is>
          <t>Drive foto (Tem. 2024)</t>
        </is>
      </c>
      <c r="K99" s="5" t="inlineStr">
        <is>
          <t>Mutfak Gereçleri klasörü oda numarası belirtmiyor (Temmuz 2024 çekimi); tüm TH tiplerinde aynı mutfak seti olduğu varsayıldı, X3 değeri 18.10.2026 videosundan. [güven: yüksek]</t>
        </is>
      </c>
    </row>
    <row r="100" ht="66" customHeight="1">
      <c r="A100" s="5" t="inlineStr">
        <is>
          <t>Tare Houses Hotel</t>
        </is>
      </c>
      <c r="B100" s="5" t="inlineStr">
        <is>
          <t>X4</t>
        </is>
      </c>
      <c r="C100" s="7" t="n"/>
      <c r="D100" s="6">
        <f>IFERROR(INDEX('Kontrol Adımları'!$D:$D,MATCH(1,INDEX(('Kontrol Adımları'!$A$1:$A$400=B100)*('Kontrol Adımları'!$B$1:$B$400=C100),0),0)),"")</f>
        <v/>
      </c>
      <c r="E100" s="5" t="inlineStr">
        <is>
          <t>sauce_bowl</t>
        </is>
      </c>
      <c r="F100" s="6">
        <f>IFERROR(INDEX('Kalem Kataloğu'!$C$1:$C$1000,MATCH(1,INDEX(('Kalem Kataloğu'!$A$1:$A$1000=A100)*('Kalem Kataloğu'!$B$1:$B$1000=E100),0),0)),"?")</f>
        <v/>
      </c>
      <c r="G100" s="6">
        <f>IFERROR(INDEX('Kalem Kataloğu'!$D$1:$D$1000,MATCH(1,INDEX(('Kalem Kataloğu'!$A$1:$A$1000=A100)*('Kalem Kataloğu'!$B$1:$B$1000=E100),0),0)),"?")</f>
        <v/>
      </c>
      <c r="H100" s="7" t="n">
        <v>4</v>
      </c>
      <c r="I100" s="7" t="inlineStr">
        <is>
          <t>Hayır</t>
        </is>
      </c>
      <c r="J100" s="5" t="inlineStr">
        <is>
          <t>Drive foto (Tem. 2024)</t>
        </is>
      </c>
      <c r="K100" s="5" t="inlineStr">
        <is>
          <t>Fotoğrafta 4'lü yığın. Excel X3 "Sos kasesi (krem)" 4 → uyumlu. Mutfak Gereçleri klasörü oda numarası belirtmiyor (Temmuz 2024 çekimi); tüm TH tiplerinde aynı mutfak seti olduğu varsayıldı, X3 değeri 18.10.2026 videosundan. [güven: orta]</t>
        </is>
      </c>
    </row>
    <row r="101" ht="66" customHeight="1">
      <c r="A101" s="5" t="inlineStr">
        <is>
          <t>Tare Houses Hotel</t>
        </is>
      </c>
      <c r="B101" s="5" t="inlineStr">
        <is>
          <t>X4</t>
        </is>
      </c>
      <c r="C101" s="7" t="n"/>
      <c r="D101" s="6">
        <f>IFERROR(INDEX('Kontrol Adımları'!$D:$D,MATCH(1,INDEX(('Kontrol Adımları'!$A$1:$A$400=B101)*('Kontrol Adımları'!$B$1:$B$400=C101),0),0)),"")</f>
        <v/>
      </c>
      <c r="E101" s="5" t="inlineStr">
        <is>
          <t>water_glass</t>
        </is>
      </c>
      <c r="F101" s="6">
        <f>IFERROR(INDEX('Kalem Kataloğu'!$C$1:$C$1000,MATCH(1,INDEX(('Kalem Kataloğu'!$A$1:$A$1000=A101)*('Kalem Kataloğu'!$B$1:$B$1000=E101),0),0)),"?")</f>
        <v/>
      </c>
      <c r="G101" s="6">
        <f>IFERROR(INDEX('Kalem Kataloğu'!$D$1:$D$1000,MATCH(1,INDEX(('Kalem Kataloğu'!$A$1:$A$1000=A101)*('Kalem Kataloğu'!$B$1:$B$1000=E101),0),0)),"?")</f>
        <v/>
      </c>
      <c r="H101" s="7" t="n">
        <v>4</v>
      </c>
      <c r="I101" s="7" t="inlineStr">
        <is>
          <t>Hayır</t>
        </is>
      </c>
      <c r="J101" s="5" t="inlineStr">
        <is>
          <t>Drive foto (Tem. 2024)</t>
        </is>
      </c>
      <c r="K101" s="5" t="inlineStr">
        <is>
          <t>Fotoğrafta 4. Excel X3: 4 (doğrulanmadı). Mutfak Gereçleri klasörü oda numarası belirtmiyor (Temmuz 2024 çekimi); tüm TH tiplerinde aynı mutfak seti olduğu varsayıldı, X3 değeri 18.10.2026 videosundan. [güven: orta]</t>
        </is>
      </c>
    </row>
    <row r="102" ht="26.4" customHeight="1">
      <c r="A102" s="5" t="inlineStr">
        <is>
          <t>Tare Houses Hotel</t>
        </is>
      </c>
      <c r="B102" s="5" t="inlineStr">
        <is>
          <t>X4</t>
        </is>
      </c>
      <c r="C102" s="7" t="n"/>
      <c r="D102" s="6">
        <f>IFERROR(INDEX('Kontrol Adımları'!$D:$D,MATCH(1,INDEX(('Kontrol Adımları'!$A$1:$A$400=B102)*('Kontrol Adımları'!$B$1:$B$400=C102),0),0)),"")</f>
        <v/>
      </c>
      <c r="E102" s="5" t="inlineStr">
        <is>
          <t>frying_pan</t>
        </is>
      </c>
      <c r="F102" s="6">
        <f>IFERROR(INDEX('Kalem Kataloğu'!$C$1:$C$1000,MATCH(1,INDEX(('Kalem Kataloğu'!$A$1:$A$1000=A102)*('Kalem Kataloğu'!$B$1:$B$1000=E102),0),0)),"?")</f>
        <v/>
      </c>
      <c r="G102" s="6">
        <f>IFERROR(INDEX('Kalem Kataloğu'!$D$1:$D$1000,MATCH(1,INDEX(('Kalem Kataloğu'!$A$1:$A$1000=A102)*('Kalem Kataloğu'!$B$1:$B$1000=E102),0),0)),"?")</f>
        <v/>
      </c>
      <c r="H102" s="7" t="n">
        <v>1</v>
      </c>
      <c r="I102" s="7" t="inlineStr">
        <is>
          <t>Hayır</t>
        </is>
      </c>
      <c r="J102" s="5" t="inlineStr">
        <is>
          <t>X3 ile aynı varsayıldı</t>
        </is>
      </c>
      <c r="K102" s="5" t="inlineStr">
        <is>
          <t>Mutfak seti Tare Houses tiplerinde ortak görünüyor (Drive Mutfak Gereçleri). Odada say.</t>
        </is>
      </c>
    </row>
    <row r="103" ht="26.4" customHeight="1">
      <c r="A103" s="5" t="inlineStr">
        <is>
          <t>Tare Houses Hotel</t>
        </is>
      </c>
      <c r="B103" s="5" t="inlineStr">
        <is>
          <t>X4</t>
        </is>
      </c>
      <c r="C103" s="7" t="n"/>
      <c r="D103" s="6">
        <f>IFERROR(INDEX('Kontrol Adımları'!$D:$D,MATCH(1,INDEX(('Kontrol Adımları'!$A$1:$A$400=B103)*('Kontrol Adımları'!$B$1:$B$400=C103),0),0)),"")</f>
        <v/>
      </c>
      <c r="E103" s="5" t="inlineStr">
        <is>
          <t>pot</t>
        </is>
      </c>
      <c r="F103" s="6">
        <f>IFERROR(INDEX('Kalem Kataloğu'!$C$1:$C$1000,MATCH(1,INDEX(('Kalem Kataloğu'!$A$1:$A$1000=A103)*('Kalem Kataloğu'!$B$1:$B$1000=E103),0),0)),"?")</f>
        <v/>
      </c>
      <c r="G103" s="6">
        <f>IFERROR(INDEX('Kalem Kataloğu'!$D$1:$D$1000,MATCH(1,INDEX(('Kalem Kataloğu'!$A$1:$A$1000=A103)*('Kalem Kataloğu'!$B$1:$B$1000=E103),0),0)),"?")</f>
        <v/>
      </c>
      <c r="H103" s="7" t="n">
        <v>2</v>
      </c>
      <c r="I103" s="7" t="inlineStr">
        <is>
          <t>Hayır</t>
        </is>
      </c>
      <c r="J103" s="5" t="inlineStr">
        <is>
          <t>X3 ile aynı varsayıldı</t>
        </is>
      </c>
      <c r="K103" s="5" t="inlineStr">
        <is>
          <t>Mutfak seti Tare Houses tiplerinde ortak görünüyor (Drive Mutfak Gereçleri). Odada say.</t>
        </is>
      </c>
    </row>
    <row r="104" ht="26.4" customHeight="1">
      <c r="A104" s="5" t="inlineStr">
        <is>
          <t>Tare Houses Hotel</t>
        </is>
      </c>
      <c r="B104" s="5" t="inlineStr">
        <is>
          <t>X4</t>
        </is>
      </c>
      <c r="C104" s="7" t="n"/>
      <c r="D104" s="6">
        <f>IFERROR(INDEX('Kontrol Adımları'!$D:$D,MATCH(1,INDEX(('Kontrol Adımları'!$A$1:$A$400=B104)*('Kontrol Adımları'!$B$1:$B$400=C104),0),0)),"")</f>
        <v/>
      </c>
      <c r="E104" s="5" t="inlineStr">
        <is>
          <t>salt_pepper_set</t>
        </is>
      </c>
      <c r="F104" s="6">
        <f>IFERROR(INDEX('Kalem Kataloğu'!$C$1:$C$1000,MATCH(1,INDEX(('Kalem Kataloğu'!$A$1:$A$1000=A104)*('Kalem Kataloğu'!$B$1:$B$1000=E104),0),0)),"?")</f>
        <v/>
      </c>
      <c r="G104" s="6">
        <f>IFERROR(INDEX('Kalem Kataloğu'!$D$1:$D$1000,MATCH(1,INDEX(('Kalem Kataloğu'!$A$1:$A$1000=A104)*('Kalem Kataloğu'!$B$1:$B$1000=E104),0),0)),"?")</f>
        <v/>
      </c>
      <c r="H104" s="7" t="n">
        <v>1</v>
      </c>
      <c r="I104" s="7" t="inlineStr">
        <is>
          <t>Hayır</t>
        </is>
      </c>
      <c r="J104" s="5" t="inlineStr">
        <is>
          <t>Drive foto (Tem. 2024)</t>
        </is>
      </c>
      <c r="K104" s="5" t="inlineStr">
        <is>
          <t>Excel X3: tuz-biber-kürdan standı 1. [güven: yüksek]</t>
        </is>
      </c>
    </row>
    <row r="105" ht="26.4" customHeight="1">
      <c r="A105" s="5" t="inlineStr">
        <is>
          <t>Tare Houses Hotel</t>
        </is>
      </c>
      <c r="B105" s="5" t="inlineStr">
        <is>
          <t>X4</t>
        </is>
      </c>
      <c r="C105" s="7" t="n"/>
      <c r="D105" s="6">
        <f>IFERROR(INDEX('Kontrol Adımları'!$D:$D,MATCH(1,INDEX(('Kontrol Adımları'!$A$1:$A$400=B105)*('Kontrol Adımları'!$B$1:$B$400=C105),0),0)),"")</f>
        <v/>
      </c>
      <c r="E105" s="5" t="inlineStr">
        <is>
          <t>oil_bottle</t>
        </is>
      </c>
      <c r="F105" s="6">
        <f>IFERROR(INDEX('Kalem Kataloğu'!$C$1:$C$1000,MATCH(1,INDEX(('Kalem Kataloğu'!$A$1:$A$1000=A105)*('Kalem Kataloğu'!$B$1:$B$1000=E105),0),0)),"?")</f>
        <v/>
      </c>
      <c r="G105" s="6">
        <f>IFERROR(INDEX('Kalem Kataloğu'!$D$1:$D$1000,MATCH(1,INDEX(('Kalem Kataloğu'!$A$1:$A$1000=A105)*('Kalem Kataloğu'!$B$1:$B$1000=E105),0),0)),"?")</f>
        <v/>
      </c>
      <c r="H105" s="7" t="n">
        <v>1</v>
      </c>
      <c r="I105" s="7" t="inlineStr">
        <is>
          <t>Hayır</t>
        </is>
      </c>
      <c r="J105" s="5" t="inlineStr">
        <is>
          <t>X3 ile aynı varsayıldı</t>
        </is>
      </c>
      <c r="K105" s="5" t="inlineStr">
        <is>
          <t>Mutfak seti Tare Houses tiplerinde ortak görünüyor (Drive Mutfak Gereçleri). Odada say.</t>
        </is>
      </c>
    </row>
    <row r="106" ht="26.4" customHeight="1">
      <c r="A106" s="5" t="inlineStr">
        <is>
          <t>Tare Houses Hotel</t>
        </is>
      </c>
      <c r="B106" s="5" t="inlineStr">
        <is>
          <t>X4</t>
        </is>
      </c>
      <c r="C106" s="7" t="n"/>
      <c r="D106" s="6">
        <f>IFERROR(INDEX('Kontrol Adımları'!$D:$D,MATCH(1,INDEX(('Kontrol Adımları'!$A$1:$A$400=B106)*('Kontrol Adımları'!$B$1:$B$400=C106),0),0)),"")</f>
        <v/>
      </c>
      <c r="E106" s="5" t="inlineStr">
        <is>
          <t>knife</t>
        </is>
      </c>
      <c r="F106" s="6">
        <f>IFERROR(INDEX('Kalem Kataloğu'!$C$1:$C$1000,MATCH(1,INDEX(('Kalem Kataloğu'!$A$1:$A$1000=A106)*('Kalem Kataloğu'!$B$1:$B$1000=E106),0),0)),"?")</f>
        <v/>
      </c>
      <c r="G106" s="6">
        <f>IFERROR(INDEX('Kalem Kataloğu'!$D$1:$D$1000,MATCH(1,INDEX(('Kalem Kataloğu'!$A$1:$A$1000=A106)*('Kalem Kataloğu'!$B$1:$B$1000=E106),0),0)),"?")</f>
        <v/>
      </c>
      <c r="H106" s="7" t="n">
        <v>6</v>
      </c>
      <c r="I106" s="7" t="inlineStr">
        <is>
          <t>Hayır</t>
        </is>
      </c>
      <c r="J106" s="5" t="inlineStr">
        <is>
          <t>X3 ile aynı varsayıldı</t>
        </is>
      </c>
      <c r="K106" s="5" t="inlineStr">
        <is>
          <t>Mutfak seti Tare Houses tiplerinde ortak görünüyor (Drive Mutfak Gereçleri). Odada say.</t>
        </is>
      </c>
    </row>
    <row r="107" ht="26.4" customHeight="1">
      <c r="A107" s="5" t="inlineStr">
        <is>
          <t>Tare Houses Hotel</t>
        </is>
      </c>
      <c r="B107" s="5" t="inlineStr">
        <is>
          <t>X4</t>
        </is>
      </c>
      <c r="C107" s="7" t="n"/>
      <c r="D107" s="6">
        <f>IFERROR(INDEX('Kontrol Adımları'!$D:$D,MATCH(1,INDEX(('Kontrol Adımları'!$A$1:$A$400=B107)*('Kontrol Adımları'!$B$1:$B$400=C107),0),0)),"")</f>
        <v/>
      </c>
      <c r="E107" s="5" t="inlineStr">
        <is>
          <t>spoon</t>
        </is>
      </c>
      <c r="F107" s="6">
        <f>IFERROR(INDEX('Kalem Kataloğu'!$C$1:$C$1000,MATCH(1,INDEX(('Kalem Kataloğu'!$A$1:$A$1000=A107)*('Kalem Kataloğu'!$B$1:$B$1000=E107),0),0)),"?")</f>
        <v/>
      </c>
      <c r="G107" s="6">
        <f>IFERROR(INDEX('Kalem Kataloğu'!$D$1:$D$1000,MATCH(1,INDEX(('Kalem Kataloğu'!$A$1:$A$1000=A107)*('Kalem Kataloğu'!$B$1:$B$1000=E107),0),0)),"?")</f>
        <v/>
      </c>
      <c r="H107" s="7" t="n">
        <v>6</v>
      </c>
      <c r="I107" s="7" t="inlineStr">
        <is>
          <t>Hayır</t>
        </is>
      </c>
      <c r="J107" s="5" t="inlineStr">
        <is>
          <t>X3 ile aynı varsayıldı</t>
        </is>
      </c>
      <c r="K107" s="5" t="inlineStr">
        <is>
          <t>Mutfak seti Tare Houses tiplerinde ortak görünüyor (Drive Mutfak Gereçleri). Odada say.</t>
        </is>
      </c>
    </row>
    <row r="108" ht="26.4" customHeight="1">
      <c r="A108" s="5" t="inlineStr">
        <is>
          <t>Tare Houses Hotel</t>
        </is>
      </c>
      <c r="B108" s="5" t="inlineStr">
        <is>
          <t>X4</t>
        </is>
      </c>
      <c r="C108" s="7" t="n"/>
      <c r="D108" s="6">
        <f>IFERROR(INDEX('Kontrol Adımları'!$D:$D,MATCH(1,INDEX(('Kontrol Adımları'!$A$1:$A$400=B108)*('Kontrol Adımları'!$B$1:$B$400=C108),0),0)),"")</f>
        <v/>
      </c>
      <c r="E108" s="5" t="inlineStr">
        <is>
          <t>fork</t>
        </is>
      </c>
      <c r="F108" s="6">
        <f>IFERROR(INDEX('Kalem Kataloğu'!$C$1:$C$1000,MATCH(1,INDEX(('Kalem Kataloğu'!$A$1:$A$1000=A108)*('Kalem Kataloğu'!$B$1:$B$1000=E108),0),0)),"?")</f>
        <v/>
      </c>
      <c r="G108" s="6">
        <f>IFERROR(INDEX('Kalem Kataloğu'!$D$1:$D$1000,MATCH(1,INDEX(('Kalem Kataloğu'!$A$1:$A$1000=A108)*('Kalem Kataloğu'!$B$1:$B$1000=E108),0),0)),"?")</f>
        <v/>
      </c>
      <c r="H108" s="7" t="n">
        <v>6</v>
      </c>
      <c r="I108" s="7" t="inlineStr">
        <is>
          <t>Hayır</t>
        </is>
      </c>
      <c r="J108" s="5" t="inlineStr">
        <is>
          <t>X3 ile aynı varsayıldı</t>
        </is>
      </c>
      <c r="K108" s="5" t="inlineStr">
        <is>
          <t>Mutfak seti Tare Houses tiplerinde ortak görünüyor (Drive Mutfak Gereçleri). Odada say.</t>
        </is>
      </c>
    </row>
    <row r="109" ht="52.8" customHeight="1">
      <c r="A109" s="5" t="inlineStr">
        <is>
          <t>Tare Houses Hotel</t>
        </is>
      </c>
      <c r="B109" s="5" t="inlineStr">
        <is>
          <t>X4</t>
        </is>
      </c>
      <c r="C109" s="7" t="n"/>
      <c r="D109" s="6">
        <f>IFERROR(INDEX('Kontrol Adımları'!$D:$D,MATCH(1,INDEX(('Kontrol Adımları'!$A$1:$A$400=B109)*('Kontrol Adımları'!$B$1:$B$400=C109),0),0)),"")</f>
        <v/>
      </c>
      <c r="E109" s="5" t="inlineStr">
        <is>
          <t>cutlery_tray</t>
        </is>
      </c>
      <c r="F109" s="6">
        <f>IFERROR(INDEX('Kalem Kataloğu'!$C$1:$C$1000,MATCH(1,INDEX(('Kalem Kataloğu'!$A$1:$A$1000=A109)*('Kalem Kataloğu'!$B$1:$B$1000=E109),0),0)),"?")</f>
        <v/>
      </c>
      <c r="G109" s="6">
        <f>IFERROR(INDEX('Kalem Kataloğu'!$D$1:$D$1000,MATCH(1,INDEX(('Kalem Kataloğu'!$A$1:$A$1000=A109)*('Kalem Kataloğu'!$B$1:$B$1000=E109),0),0)),"?")</f>
        <v/>
      </c>
      <c r="H109" s="7" t="n">
        <v>1</v>
      </c>
      <c r="I109" s="7" t="inlineStr">
        <is>
          <t>Hayır</t>
        </is>
      </c>
      <c r="J109" s="5" t="inlineStr">
        <is>
          <t>Drive foto (Tem. 2024)</t>
        </is>
      </c>
      <c r="K109" s="5" t="inlineStr">
        <is>
          <t>Çay kaşığı Excel X3: 5. Mutfak Gereçleri klasörü oda numarası belirtmiyor (Temmuz 2024 çekimi); tüm TH tiplerinde aynı mutfak seti olduğu varsayıldı, X3 değeri 18.10.2026 videosundan. [güven: yüksek]</t>
        </is>
      </c>
    </row>
    <row r="110" ht="26.4" customHeight="1">
      <c r="A110" s="5" t="inlineStr">
        <is>
          <t>Tare Houses Hotel</t>
        </is>
      </c>
      <c r="B110" s="5" t="inlineStr">
        <is>
          <t>X4</t>
        </is>
      </c>
      <c r="C110" s="7" t="n"/>
      <c r="D110" s="6">
        <f>IFERROR(INDEX('Kontrol Adımları'!$D:$D,MATCH(1,INDEX(('Kontrol Adımları'!$A$1:$A$400=B110)*('Kontrol Adımları'!$B$1:$B$400=C110),0),0)),"")</f>
        <v/>
      </c>
      <c r="E110" s="5" t="inlineStr">
        <is>
          <t>teaspoon</t>
        </is>
      </c>
      <c r="F110" s="6">
        <f>IFERROR(INDEX('Kalem Kataloğu'!$C$1:$C$1000,MATCH(1,INDEX(('Kalem Kataloğu'!$A$1:$A$1000=A110)*('Kalem Kataloğu'!$B$1:$B$1000=E110),0),0)),"?")</f>
        <v/>
      </c>
      <c r="G110" s="6">
        <f>IFERROR(INDEX('Kalem Kataloğu'!$D$1:$D$1000,MATCH(1,INDEX(('Kalem Kataloğu'!$A$1:$A$1000=A110)*('Kalem Kataloğu'!$B$1:$B$1000=E110),0),0)),"?")</f>
        <v/>
      </c>
      <c r="H110" s="7" t="n">
        <v>5</v>
      </c>
      <c r="I110" s="7" t="inlineStr">
        <is>
          <t>Hayır</t>
        </is>
      </c>
      <c r="J110" s="5" t="inlineStr">
        <is>
          <t>X3 ile aynı varsayıldı</t>
        </is>
      </c>
      <c r="K110" s="5" t="inlineStr">
        <is>
          <t>Mutfak seti Tare Houses tiplerinde ortak görünüyor (Drive Mutfak Gereçleri). Odada say.</t>
        </is>
      </c>
    </row>
    <row r="111" ht="79.2" customHeight="1">
      <c r="A111" s="5" t="inlineStr">
        <is>
          <t>Tare Houses Hotel</t>
        </is>
      </c>
      <c r="B111" s="5" t="inlineStr">
        <is>
          <t>X4</t>
        </is>
      </c>
      <c r="C111" s="7" t="n"/>
      <c r="D111" s="6">
        <f>IFERROR(INDEX('Kontrol Adımları'!$D:$D,MATCH(1,INDEX(('Kontrol Adımları'!$A$1:$A$400=B111)*('Kontrol Adımları'!$B$1:$B$400=C111),0),0)),"")</f>
        <v/>
      </c>
      <c r="E111" s="5" t="inlineStr">
        <is>
          <t>deep_plate</t>
        </is>
      </c>
      <c r="F111" s="6">
        <f>IFERROR(INDEX('Kalem Kataloğu'!$C$1:$C$1000,MATCH(1,INDEX(('Kalem Kataloğu'!$A$1:$A$1000=A111)*('Kalem Kataloğu'!$B$1:$B$1000=E111),0),0)),"?")</f>
        <v/>
      </c>
      <c r="G111" s="6">
        <f>IFERROR(INDEX('Kalem Kataloğu'!$D$1:$D$1000,MATCH(1,INDEX(('Kalem Kataloğu'!$A$1:$A$1000=A111)*('Kalem Kataloğu'!$B$1:$B$1000=E111),0),0)),"?")</f>
        <v/>
      </c>
      <c r="H111" s="7" t="n">
        <v>4</v>
      </c>
      <c r="I111" s="7" t="inlineStr">
        <is>
          <t>Hayır</t>
        </is>
      </c>
      <c r="J111" s="5" t="inlineStr">
        <is>
          <t>Drive foto (Tem. 2024)</t>
        </is>
      </c>
      <c r="K111" s="5" t="inlineStr">
        <is>
          <t>Dolapta 4'lü yığın. Excel X3 "Çukur tabak (yeşil)" 4 — fotoğrafta renk hardal-zeytin; aynı ürün olmalı. Mutfak Gereçleri klasörü oda numarası belirtmiyor (Temmuz 2024 çekimi); tüm TH tiplerinde aynı mutfak seti olduğu varsayıldı, X3 değeri 18.10.2026 videosundan. [güven: orta]</t>
        </is>
      </c>
    </row>
    <row r="112" ht="26.4" customHeight="1">
      <c r="A112" s="5" t="inlineStr">
        <is>
          <t>Tare Houses Hotel</t>
        </is>
      </c>
      <c r="B112" s="5" t="inlineStr">
        <is>
          <t>X4</t>
        </is>
      </c>
      <c r="C112" s="7" t="n"/>
      <c r="D112" s="6">
        <f>IFERROR(INDEX('Kontrol Adımları'!$D:$D,MATCH(1,INDEX(('Kontrol Adımları'!$A$1:$A$400=B112)*('Kontrol Adımları'!$B$1:$B$400=C112),0),0)),"")</f>
        <v/>
      </c>
      <c r="E112" s="5" t="inlineStr">
        <is>
          <t>corkscrew</t>
        </is>
      </c>
      <c r="F112" s="6">
        <f>IFERROR(INDEX('Kalem Kataloğu'!$C$1:$C$1000,MATCH(1,INDEX(('Kalem Kataloğu'!$A$1:$A$1000=A112)*('Kalem Kataloğu'!$B$1:$B$1000=E112),0),0)),"?")</f>
        <v/>
      </c>
      <c r="G112" s="6">
        <f>IFERROR(INDEX('Kalem Kataloğu'!$D$1:$D$1000,MATCH(1,INDEX(('Kalem Kataloğu'!$A$1:$A$1000=A112)*('Kalem Kataloğu'!$B$1:$B$1000=E112),0),0)),"?")</f>
        <v/>
      </c>
      <c r="H112" s="7" t="n">
        <v>1</v>
      </c>
      <c r="I112" s="7" t="inlineStr">
        <is>
          <t>Hayır</t>
        </is>
      </c>
      <c r="J112" s="5" t="inlineStr">
        <is>
          <t>Drive foto (Tem. 2024)</t>
        </is>
      </c>
      <c r="K112" s="5" t="inlineStr">
        <is>
          <t>Kaşıklığın sağ bölmesinde. Excel X3: 1. [güven: orta]</t>
        </is>
      </c>
    </row>
    <row r="113" ht="26.4" customHeight="1">
      <c r="A113" s="5" t="inlineStr">
        <is>
          <t>Tare Houses Hotel</t>
        </is>
      </c>
      <c r="B113" s="5" t="inlineStr">
        <is>
          <t>X4</t>
        </is>
      </c>
      <c r="C113" s="7" t="n"/>
      <c r="D113" s="6">
        <f>IFERROR(INDEX('Kontrol Adımları'!$D:$D,MATCH(1,INDEX(('Kontrol Adımları'!$A$1:$A$400=B113)*('Kontrol Adımları'!$B$1:$B$400=C113),0),0)),"")</f>
        <v/>
      </c>
      <c r="E113" s="5" t="inlineStr">
        <is>
          <t>wine_glass</t>
        </is>
      </c>
      <c r="F113" s="6">
        <f>IFERROR(INDEX('Kalem Kataloğu'!$C$1:$C$1000,MATCH(1,INDEX(('Kalem Kataloğu'!$A$1:$A$1000=A113)*('Kalem Kataloğu'!$B$1:$B$1000=E113),0),0)),"?")</f>
        <v/>
      </c>
      <c r="G113" s="6">
        <f>IFERROR(INDEX('Kalem Kataloğu'!$D$1:$D$1000,MATCH(1,INDEX(('Kalem Kataloğu'!$A$1:$A$1000=A113)*('Kalem Kataloğu'!$B$1:$B$1000=E113),0),0)),"?")</f>
        <v/>
      </c>
      <c r="H113" s="7" t="n">
        <v>2</v>
      </c>
      <c r="I113" s="7" t="inlineStr">
        <is>
          <t>Hayır</t>
        </is>
      </c>
      <c r="J113" s="5" t="inlineStr">
        <is>
          <t>X3 ile aynı varsayıldı</t>
        </is>
      </c>
      <c r="K113" s="5" t="inlineStr">
        <is>
          <t>Mutfak seti Tare Houses tiplerinde ortak görünüyor (Drive Mutfak Gereçleri). Odada say.</t>
        </is>
      </c>
    </row>
    <row r="114" ht="26.4" customHeight="1">
      <c r="A114" s="5" t="inlineStr">
        <is>
          <t>Tare Suites Urla</t>
        </is>
      </c>
      <c r="B114" s="5" t="inlineStr">
        <is>
          <t>DFS</t>
        </is>
      </c>
      <c r="C114" s="7" t="n"/>
      <c r="D114" s="6">
        <f>IFERROR(INDEX('Kontrol Adımları'!$D:$D,MATCH(1,INDEX(('Kontrol Adımları'!$A$1:$A$400=B114)*('Kontrol Adımları'!$B$1:$B$400=C114),0),0)),"")</f>
        <v/>
      </c>
      <c r="E114" s="5" t="inlineStr">
        <is>
          <t>cift_cidarli_bardak</t>
        </is>
      </c>
      <c r="F114" s="6">
        <f>IFERROR(INDEX('Kalem Kataloğu'!$C$1:$C$1000,MATCH(1,INDEX(('Kalem Kataloğu'!$A$1:$A$1000=A114)*('Kalem Kataloğu'!$B$1:$B$1000=E114),0),0)),"?")</f>
        <v/>
      </c>
      <c r="G114" s="6">
        <f>IFERROR(INDEX('Kalem Kataloğu'!$D$1:$D$1000,MATCH(1,INDEX(('Kalem Kataloğu'!$A$1:$A$1000=A114)*('Kalem Kataloğu'!$B$1:$B$1000=E114),0),0)),"?")</f>
        <v/>
      </c>
      <c r="H114" s="7" t="n">
        <v>2</v>
      </c>
      <c r="I114" s="7" t="inlineStr">
        <is>
          <t>Hayır</t>
        </is>
      </c>
      <c r="J114" s="5" t="inlineStr">
        <is>
          <t>Drive foto</t>
        </is>
      </c>
      <c r="K114" s="5" t="inlineStr">
        <is>
          <t>DFS: biri kulplu, biri kulpsuz [güven: high]</t>
        </is>
      </c>
    </row>
    <row r="115" ht="26.4" customHeight="1">
      <c r="A115" s="5" t="inlineStr">
        <is>
          <t>Tare Suites Urla</t>
        </is>
      </c>
      <c r="B115" s="5" t="inlineStr">
        <is>
          <t>DS</t>
        </is>
      </c>
      <c r="C115" s="7" t="n"/>
      <c r="D115" s="6">
        <f>IFERROR(INDEX('Kontrol Adımları'!$D:$D,MATCH(1,INDEX(('Kontrol Adımları'!$A$1:$A$400=B115)*('Kontrol Adımları'!$B$1:$B$400=C115),0),0)),"")</f>
        <v/>
      </c>
      <c r="E115" s="5" t="inlineStr">
        <is>
          <t>cift_cidarli_bardak</t>
        </is>
      </c>
      <c r="F115" s="6">
        <f>IFERROR(INDEX('Kalem Kataloğu'!$C$1:$C$1000,MATCH(1,INDEX(('Kalem Kataloğu'!$A$1:$A$1000=A115)*('Kalem Kataloğu'!$B$1:$B$1000=E115),0),0)),"?")</f>
        <v/>
      </c>
      <c r="G115" s="6">
        <f>IFERROR(INDEX('Kalem Kataloğu'!$D$1:$D$1000,MATCH(1,INDEX(('Kalem Kataloğu'!$A$1:$A$1000=A115)*('Kalem Kataloğu'!$B$1:$B$1000=E115),0),0)),"?")</f>
        <v/>
      </c>
      <c r="H115" s="7" t="n"/>
      <c r="I115" s="7" t="inlineStr">
        <is>
          <t>Hayır</t>
        </is>
      </c>
      <c r="J115" s="5" t="inlineStr">
        <is>
          <t>Drive foto</t>
        </is>
      </c>
      <c r="K115" s="5" t="inlineStr">
        <is>
          <t>DFS: biri kulplu, biri kulpsuz [güven: high]</t>
        </is>
      </c>
    </row>
    <row r="116" ht="26.4" customHeight="1">
      <c r="A116" s="5" t="inlineStr">
        <is>
          <t>Tare Suites Urla</t>
        </is>
      </c>
      <c r="B116" s="5" t="inlineStr">
        <is>
          <t>DSSW</t>
        </is>
      </c>
      <c r="C116" s="7" t="n"/>
      <c r="D116" s="6">
        <f>IFERROR(INDEX('Kontrol Adımları'!$D:$D,MATCH(1,INDEX(('Kontrol Adımları'!$A$1:$A$400=B116)*('Kontrol Adımları'!$B$1:$B$400=C116),0),0)),"")</f>
        <v/>
      </c>
      <c r="E116" s="5" t="inlineStr">
        <is>
          <t>cift_cidarli_bardak</t>
        </is>
      </c>
      <c r="F116" s="6">
        <f>IFERROR(INDEX('Kalem Kataloğu'!$C$1:$C$1000,MATCH(1,INDEX(('Kalem Kataloğu'!$A$1:$A$1000=A116)*('Kalem Kataloğu'!$B$1:$B$1000=E116),0),0)),"?")</f>
        <v/>
      </c>
      <c r="G116" s="6">
        <f>IFERROR(INDEX('Kalem Kataloğu'!$D$1:$D$1000,MATCH(1,INDEX(('Kalem Kataloğu'!$A$1:$A$1000=A116)*('Kalem Kataloğu'!$B$1:$B$1000=E116),0),0)),"?")</f>
        <v/>
      </c>
      <c r="H116" s="7" t="n"/>
      <c r="I116" s="7" t="inlineStr">
        <is>
          <t>Hayır</t>
        </is>
      </c>
      <c r="J116" s="5" t="inlineStr">
        <is>
          <t>Drive foto</t>
        </is>
      </c>
      <c r="K116" s="5" t="inlineStr">
        <is>
          <t>DFS: biri kulplu, biri kulpsuz [güven: high]</t>
        </is>
      </c>
    </row>
    <row r="117" ht="26.4" customHeight="1">
      <c r="A117" s="5" t="inlineStr">
        <is>
          <t>Tare Suites Urla</t>
        </is>
      </c>
      <c r="B117" s="5" t="inlineStr">
        <is>
          <t>EDR</t>
        </is>
      </c>
      <c r="C117" s="7" t="n"/>
      <c r="D117" s="6">
        <f>IFERROR(INDEX('Kontrol Adımları'!$D:$D,MATCH(1,INDEX(('Kontrol Adımları'!$A$1:$A$400=B117)*('Kontrol Adımları'!$B$1:$B$400=C117),0),0)),"")</f>
        <v/>
      </c>
      <c r="E117" s="5" t="inlineStr">
        <is>
          <t>cift_cidarli_bardak</t>
        </is>
      </c>
      <c r="F117" s="6">
        <f>IFERROR(INDEX('Kalem Kataloğu'!$C$1:$C$1000,MATCH(1,INDEX(('Kalem Kataloğu'!$A$1:$A$1000=A117)*('Kalem Kataloğu'!$B$1:$B$1000=E117),0),0)),"?")</f>
        <v/>
      </c>
      <c r="G117" s="6">
        <f>IFERROR(INDEX('Kalem Kataloğu'!$D$1:$D$1000,MATCH(1,INDEX(('Kalem Kataloğu'!$A$1:$A$1000=A117)*('Kalem Kataloğu'!$B$1:$B$1000=E117),0),0)),"?")</f>
        <v/>
      </c>
      <c r="H117" s="7" t="n">
        <v>2</v>
      </c>
      <c r="I117" s="7" t="inlineStr">
        <is>
          <t>Hayır</t>
        </is>
      </c>
      <c r="J117" s="5" t="inlineStr">
        <is>
          <t>Drive foto</t>
        </is>
      </c>
      <c r="K117" s="5" t="inlineStr">
        <is>
          <t>DFS: biri kulplu, biri kulpsuz [güven: high]</t>
        </is>
      </c>
    </row>
    <row r="118" ht="26.4" customHeight="1">
      <c r="A118" s="5" t="inlineStr">
        <is>
          <t>Tare Suites Urla</t>
        </is>
      </c>
      <c r="B118" s="5" t="inlineStr">
        <is>
          <t>EXSB</t>
        </is>
      </c>
      <c r="C118" s="7" t="n"/>
      <c r="D118" s="6">
        <f>IFERROR(INDEX('Kontrol Adımları'!$D:$D,MATCH(1,INDEX(('Kontrol Adımları'!$A$1:$A$400=B118)*('Kontrol Adımları'!$B$1:$B$400=C118),0),0)),"")</f>
        <v/>
      </c>
      <c r="E118" s="5" t="inlineStr">
        <is>
          <t>cift_cidarli_bardak</t>
        </is>
      </c>
      <c r="F118" s="6">
        <f>IFERROR(INDEX('Kalem Kataloğu'!$C$1:$C$1000,MATCH(1,INDEX(('Kalem Kataloğu'!$A$1:$A$1000=A118)*('Kalem Kataloğu'!$B$1:$B$1000=E118),0),0)),"?")</f>
        <v/>
      </c>
      <c r="G118" s="6">
        <f>IFERROR(INDEX('Kalem Kataloğu'!$D$1:$D$1000,MATCH(1,INDEX(('Kalem Kataloğu'!$A$1:$A$1000=A118)*('Kalem Kataloğu'!$B$1:$B$1000=E118),0),0)),"?")</f>
        <v/>
      </c>
      <c r="H118" s="7" t="n"/>
      <c r="I118" s="7" t="inlineStr">
        <is>
          <t>Hayır</t>
        </is>
      </c>
      <c r="J118" s="5" t="inlineStr">
        <is>
          <t>Drive foto</t>
        </is>
      </c>
      <c r="K118" s="5" t="inlineStr">
        <is>
          <t>DFS: biri kulplu, biri kulpsuz [güven: high]</t>
        </is>
      </c>
    </row>
    <row r="119" ht="26.4" customHeight="1">
      <c r="A119" s="5" t="inlineStr">
        <is>
          <t>Tare Village Urla</t>
        </is>
      </c>
      <c r="B119" s="5" t="inlineStr">
        <is>
          <t>VBS</t>
        </is>
      </c>
      <c r="C119" s="7" t="n"/>
      <c r="D119" s="6">
        <f>IFERROR(INDEX('Kontrol Adımları'!$D:$D,MATCH(1,INDEX(('Kontrol Adımları'!$A$1:$A$400=B119)*('Kontrol Adımları'!$B$1:$B$400=C119),0),0)),"")</f>
        <v/>
      </c>
      <c r="E119" s="5" t="inlineStr">
        <is>
          <t>kettle</t>
        </is>
      </c>
      <c r="F119" s="6">
        <f>IFERROR(INDEX('Kalem Kataloğu'!$C$1:$C$1000,MATCH(1,INDEX(('Kalem Kataloğu'!$A$1:$A$1000=A119)*('Kalem Kataloğu'!$B$1:$B$1000=E119),0),0)),"?")</f>
        <v/>
      </c>
      <c r="G119" s="6">
        <f>IFERROR(INDEX('Kalem Kataloğu'!$D$1:$D$1000,MATCH(1,INDEX(('Kalem Kataloğu'!$A$1:$A$1000=A119)*('Kalem Kataloğu'!$B$1:$B$1000=E119),0),0)),"?")</f>
        <v/>
      </c>
      <c r="H119" s="7" t="n">
        <v>1</v>
      </c>
      <c r="I119" s="7" t="inlineStr">
        <is>
          <t>Hayır</t>
        </is>
      </c>
      <c r="J119" s="5" t="inlineStr">
        <is>
          <t>Drive foto</t>
        </is>
      </c>
      <c r="K119" s="5" t="inlineStr">
        <is>
          <t>VSS beyaz Xiaomi, VTS mint yeşili [güven: medium]</t>
        </is>
      </c>
    </row>
    <row r="120" ht="26.4" customHeight="1">
      <c r="A120" s="5" t="inlineStr">
        <is>
          <t>Tare Village Urla</t>
        </is>
      </c>
      <c r="B120" s="5" t="inlineStr">
        <is>
          <t>VBS</t>
        </is>
      </c>
      <c r="C120" s="7" t="n"/>
      <c r="D120" s="6">
        <f>IFERROR(INDEX('Kontrol Adımları'!$D:$D,MATCH(1,INDEX(('Kontrol Adımları'!$A$1:$A$400=B120)*('Kontrol Adımları'!$B$1:$B$400=C120),0),0)),"")</f>
        <v/>
      </c>
      <c r="E120" s="5" t="inlineStr">
        <is>
          <t>servis_gerecleri_kabi</t>
        </is>
      </c>
      <c r="F120" s="6">
        <f>IFERROR(INDEX('Kalem Kataloğu'!$C$1:$C$1000,MATCH(1,INDEX(('Kalem Kataloğu'!$A$1:$A$1000=A120)*('Kalem Kataloğu'!$B$1:$B$1000=E120),0),0)),"?")</f>
        <v/>
      </c>
      <c r="G120" s="6">
        <f>IFERROR(INDEX('Kalem Kataloğu'!$D$1:$D$1000,MATCH(1,INDEX(('Kalem Kataloğu'!$A$1:$A$1000=A120)*('Kalem Kataloğu'!$B$1:$B$1000=E120),0),0)),"?")</f>
        <v/>
      </c>
      <c r="H120" s="7" t="n">
        <v>1</v>
      </c>
      <c r="I120" s="7" t="inlineStr">
        <is>
          <t>Hayır</t>
        </is>
      </c>
      <c r="J120" s="5" t="inlineStr">
        <is>
          <t>Drive foto</t>
        </is>
      </c>
      <c r="K120" s="5" t="inlineStr">
        <is>
          <t>Kapta 4-6 gereç; tek tek sayılamadı [güven: medium]</t>
        </is>
      </c>
    </row>
    <row r="121" ht="26.4" customHeight="1">
      <c r="A121" s="5" t="inlineStr">
        <is>
          <t>Tare Village Urla</t>
        </is>
      </c>
      <c r="B121" s="5" t="inlineStr">
        <is>
          <t>VBS</t>
        </is>
      </c>
      <c r="C121" s="7" t="n"/>
      <c r="D121" s="6">
        <f>IFERROR(INDEX('Kontrol Adımları'!$D:$D,MATCH(1,INDEX(('Kontrol Adımları'!$A$1:$A$400=B121)*('Kontrol Adımları'!$B$1:$B$400=C121),0),0)),"")</f>
        <v/>
      </c>
      <c r="E121" s="5" t="inlineStr">
        <is>
          <t>tabak_bardak_catal_vb</t>
        </is>
      </c>
      <c r="F121" s="6">
        <f>IFERROR(INDEX('Kalem Kataloğu'!$C$1:$C$1000,MATCH(1,INDEX(('Kalem Kataloğu'!$A$1:$A$1000=A121)*('Kalem Kataloğu'!$B$1:$B$1000=E121),0),0)),"?")</f>
        <v/>
      </c>
      <c r="G121" s="6">
        <f>IFERROR(INDEX('Kalem Kataloğu'!$D$1:$D$1000,MATCH(1,INDEX(('Kalem Kataloğu'!$A$1:$A$1000=A121)*('Kalem Kataloğu'!$B$1:$B$1000=E121),0),0)),"?")</f>
        <v/>
      </c>
      <c r="H121" s="7" t="n"/>
      <c r="I121" s="7" t="inlineStr">
        <is>
          <t>Hayır</t>
        </is>
      </c>
      <c r="J121" s="5" t="inlineStr">
        <is>
          <t>Drive foto</t>
        </is>
      </c>
      <c r="K121" s="5" t="inlineStr">
        <is>
          <t>Fotoğraflar tanıtım çekimi; dolap içleri görünmüyor. Odada sayılmalı [güven: none]</t>
        </is>
      </c>
    </row>
    <row r="122" ht="26.4" customHeight="1">
      <c r="A122" s="5" t="inlineStr">
        <is>
          <t>Tare Village Urla</t>
        </is>
      </c>
      <c r="B122" s="5" t="inlineStr">
        <is>
          <t>VBS</t>
        </is>
      </c>
      <c r="C122" s="7" t="n"/>
      <c r="D122" s="6">
        <f>IFERROR(INDEX('Kontrol Adımları'!$D:$D,MATCH(1,INDEX(('Kontrol Adımları'!$A$1:$A$400=B122)*('Kontrol Adımları'!$B$1:$B$400=C122),0),0)),"")</f>
        <v/>
      </c>
      <c r="E122" s="5" t="inlineStr">
        <is>
          <t>yag_sisesi</t>
        </is>
      </c>
      <c r="F122" s="6">
        <f>IFERROR(INDEX('Kalem Kataloğu'!$C$1:$C$1000,MATCH(1,INDEX(('Kalem Kataloğu'!$A$1:$A$1000=A122)*('Kalem Kataloğu'!$B$1:$B$1000=E122),0),0)),"?")</f>
        <v/>
      </c>
      <c r="G122" s="6">
        <f>IFERROR(INDEX('Kalem Kataloğu'!$D$1:$D$1000,MATCH(1,INDEX(('Kalem Kataloğu'!$A$1:$A$1000=A122)*('Kalem Kataloğu'!$B$1:$B$1000=E122),0),0)),"?")</f>
        <v/>
      </c>
      <c r="H122" s="7" t="n"/>
      <c r="I122" s="7" t="inlineStr">
        <is>
          <t>Hayır</t>
        </is>
      </c>
      <c r="J122" s="5" t="inlineStr">
        <is>
          <t>Drive foto</t>
        </is>
      </c>
      <c r="K122" s="5" t="inlineStr">
        <is>
          <t xml:space="preserve"> [güven: medium]</t>
        </is>
      </c>
    </row>
    <row r="123" ht="26.4" customHeight="1">
      <c r="A123" s="5" t="inlineStr">
        <is>
          <t>Tare Village Urla</t>
        </is>
      </c>
      <c r="B123" s="5" t="inlineStr">
        <is>
          <t>VGS</t>
        </is>
      </c>
      <c r="C123" s="7" t="n"/>
      <c r="D123" s="6">
        <f>IFERROR(INDEX('Kontrol Adımları'!$D:$D,MATCH(1,INDEX(('Kontrol Adımları'!$A$1:$A$400=B123)*('Kontrol Adımları'!$B$1:$B$400=C123),0),0)),"")</f>
        <v/>
      </c>
      <c r="E123" s="5" t="inlineStr">
        <is>
          <t>kettle</t>
        </is>
      </c>
      <c r="F123" s="6">
        <f>IFERROR(INDEX('Kalem Kataloğu'!$C$1:$C$1000,MATCH(1,INDEX(('Kalem Kataloğu'!$A$1:$A$1000=A123)*('Kalem Kataloğu'!$B$1:$B$1000=E123),0),0)),"?")</f>
        <v/>
      </c>
      <c r="G123" s="6">
        <f>IFERROR(INDEX('Kalem Kataloğu'!$D$1:$D$1000,MATCH(1,INDEX(('Kalem Kataloğu'!$A$1:$A$1000=A123)*('Kalem Kataloğu'!$B$1:$B$1000=E123),0),0)),"?")</f>
        <v/>
      </c>
      <c r="H123" s="7" t="n">
        <v>1</v>
      </c>
      <c r="I123" s="7" t="inlineStr">
        <is>
          <t>Hayır</t>
        </is>
      </c>
      <c r="J123" s="5" t="inlineStr">
        <is>
          <t>Drive foto</t>
        </is>
      </c>
      <c r="K123" s="5" t="inlineStr">
        <is>
          <t>VSS beyaz Xiaomi, VTS mint yeşili [güven: medium]</t>
        </is>
      </c>
    </row>
    <row r="124" ht="26.4" customHeight="1">
      <c r="A124" s="5" t="inlineStr">
        <is>
          <t>Tare Village Urla</t>
        </is>
      </c>
      <c r="B124" s="5" t="inlineStr">
        <is>
          <t>VGS</t>
        </is>
      </c>
      <c r="C124" s="7" t="n"/>
      <c r="D124" s="6">
        <f>IFERROR(INDEX('Kontrol Adımları'!$D:$D,MATCH(1,INDEX(('Kontrol Adımları'!$A$1:$A$400=B124)*('Kontrol Adımları'!$B$1:$B$400=C124),0),0)),"")</f>
        <v/>
      </c>
      <c r="E124" s="5" t="inlineStr">
        <is>
          <t>servis_gerecleri_kabi</t>
        </is>
      </c>
      <c r="F124" s="6">
        <f>IFERROR(INDEX('Kalem Kataloğu'!$C$1:$C$1000,MATCH(1,INDEX(('Kalem Kataloğu'!$A$1:$A$1000=A124)*('Kalem Kataloğu'!$B$1:$B$1000=E124),0),0)),"?")</f>
        <v/>
      </c>
      <c r="G124" s="6">
        <f>IFERROR(INDEX('Kalem Kataloğu'!$D$1:$D$1000,MATCH(1,INDEX(('Kalem Kataloğu'!$A$1:$A$1000=A124)*('Kalem Kataloğu'!$B$1:$B$1000=E124),0),0)),"?")</f>
        <v/>
      </c>
      <c r="H124" s="7" t="n"/>
      <c r="I124" s="7" t="inlineStr">
        <is>
          <t>Hayır</t>
        </is>
      </c>
      <c r="J124" s="5" t="inlineStr">
        <is>
          <t>Drive foto</t>
        </is>
      </c>
      <c r="K124" s="5" t="inlineStr">
        <is>
          <t>Kapta 4-6 gereç; tek tek sayılamadı [güven: medium]</t>
        </is>
      </c>
    </row>
    <row r="125" ht="26.4" customHeight="1">
      <c r="A125" s="5" t="inlineStr">
        <is>
          <t>Tare Village Urla</t>
        </is>
      </c>
      <c r="B125" s="5" t="inlineStr">
        <is>
          <t>VGS</t>
        </is>
      </c>
      <c r="C125" s="7" t="n"/>
      <c r="D125" s="6">
        <f>IFERROR(INDEX('Kontrol Adımları'!$D:$D,MATCH(1,INDEX(('Kontrol Adımları'!$A$1:$A$400=B125)*('Kontrol Adımları'!$B$1:$B$400=C125),0),0)),"")</f>
        <v/>
      </c>
      <c r="E125" s="5" t="inlineStr">
        <is>
          <t>tabak_bardak_catal_vb</t>
        </is>
      </c>
      <c r="F125" s="6">
        <f>IFERROR(INDEX('Kalem Kataloğu'!$C$1:$C$1000,MATCH(1,INDEX(('Kalem Kataloğu'!$A$1:$A$1000=A125)*('Kalem Kataloğu'!$B$1:$B$1000=E125),0),0)),"?")</f>
        <v/>
      </c>
      <c r="G125" s="6">
        <f>IFERROR(INDEX('Kalem Kataloğu'!$D$1:$D$1000,MATCH(1,INDEX(('Kalem Kataloğu'!$A$1:$A$1000=A125)*('Kalem Kataloğu'!$B$1:$B$1000=E125),0),0)),"?")</f>
        <v/>
      </c>
      <c r="H125" s="7" t="n"/>
      <c r="I125" s="7" t="inlineStr">
        <is>
          <t>Hayır</t>
        </is>
      </c>
      <c r="J125" s="5" t="inlineStr">
        <is>
          <t>Drive foto</t>
        </is>
      </c>
      <c r="K125" s="5" t="inlineStr">
        <is>
          <t>Fotoğraflar tanıtım çekimi; dolap içleri görünmüyor. Odada sayılmalı [güven: none]</t>
        </is>
      </c>
    </row>
    <row r="126" ht="26.4" customHeight="1">
      <c r="A126" s="5" t="inlineStr">
        <is>
          <t>Tare Village Urla</t>
        </is>
      </c>
      <c r="B126" s="5" t="inlineStr">
        <is>
          <t>VGS</t>
        </is>
      </c>
      <c r="C126" s="7" t="n"/>
      <c r="D126" s="6">
        <f>IFERROR(INDEX('Kontrol Adımları'!$D:$D,MATCH(1,INDEX(('Kontrol Adımları'!$A$1:$A$400=B126)*('Kontrol Adımları'!$B$1:$B$400=C126),0),0)),"")</f>
        <v/>
      </c>
      <c r="E126" s="5" t="inlineStr">
        <is>
          <t>yag_sisesi</t>
        </is>
      </c>
      <c r="F126" s="6">
        <f>IFERROR(INDEX('Kalem Kataloğu'!$C$1:$C$1000,MATCH(1,INDEX(('Kalem Kataloğu'!$A$1:$A$1000=A126)*('Kalem Kataloğu'!$B$1:$B$1000=E126),0),0)),"?")</f>
        <v/>
      </c>
      <c r="G126" s="6">
        <f>IFERROR(INDEX('Kalem Kataloğu'!$D$1:$D$1000,MATCH(1,INDEX(('Kalem Kataloğu'!$A$1:$A$1000=A126)*('Kalem Kataloğu'!$B$1:$B$1000=E126),0),0)),"?")</f>
        <v/>
      </c>
      <c r="H126" s="7" t="n"/>
      <c r="I126" s="7" t="inlineStr">
        <is>
          <t>Hayır</t>
        </is>
      </c>
      <c r="J126" s="5" t="inlineStr">
        <is>
          <t>Drive foto</t>
        </is>
      </c>
      <c r="K126" s="5" t="inlineStr">
        <is>
          <t xml:space="preserve"> [güven: medium]</t>
        </is>
      </c>
    </row>
    <row r="127" ht="26.4" customHeight="1">
      <c r="A127" s="5" t="inlineStr">
        <is>
          <t>Tare Village Urla</t>
        </is>
      </c>
      <c r="B127" s="5" t="inlineStr">
        <is>
          <t>VSS</t>
        </is>
      </c>
      <c r="C127" s="7" t="n"/>
      <c r="D127" s="6">
        <f>IFERROR(INDEX('Kontrol Adımları'!$D:$D,MATCH(1,INDEX(('Kontrol Adımları'!$A$1:$A$400=B127)*('Kontrol Adımları'!$B$1:$B$400=C127),0),0)),"")</f>
        <v/>
      </c>
      <c r="E127" s="5" t="inlineStr">
        <is>
          <t>bulasik_kurutma_mati</t>
        </is>
      </c>
      <c r="F127" s="6">
        <f>IFERROR(INDEX('Kalem Kataloğu'!$C$1:$C$1000,MATCH(1,INDEX(('Kalem Kataloğu'!$A$1:$A$1000=A127)*('Kalem Kataloğu'!$B$1:$B$1000=E127),0),0)),"?")</f>
        <v/>
      </c>
      <c r="G127" s="6">
        <f>IFERROR(INDEX('Kalem Kataloğu'!$D$1:$D$1000,MATCH(1,INDEX(('Kalem Kataloğu'!$A$1:$A$1000=A127)*('Kalem Kataloğu'!$B$1:$B$1000=E127),0),0)),"?")</f>
        <v/>
      </c>
      <c r="H127" s="7" t="n">
        <v>1</v>
      </c>
      <c r="I127" s="7" t="inlineStr">
        <is>
          <t>Hayır</t>
        </is>
      </c>
      <c r="J127" s="5" t="inlineStr">
        <is>
          <t>Drive foto</t>
        </is>
      </c>
      <c r="K127" s="5" t="inlineStr">
        <is>
          <t xml:space="preserve"> [güven: low]</t>
        </is>
      </c>
    </row>
    <row r="128" ht="26.4" customHeight="1">
      <c r="A128" s="5" t="inlineStr">
        <is>
          <t>Tare Village Urla</t>
        </is>
      </c>
      <c r="B128" s="5" t="inlineStr">
        <is>
          <t>VSS</t>
        </is>
      </c>
      <c r="C128" s="7" t="n"/>
      <c r="D128" s="6">
        <f>IFERROR(INDEX('Kontrol Adımları'!$D:$D,MATCH(1,INDEX(('Kontrol Adımları'!$A$1:$A$400=B128)*('Kontrol Adımları'!$B$1:$B$400=C128),0),0)),"")</f>
        <v/>
      </c>
      <c r="E128" s="5" t="inlineStr">
        <is>
          <t>kettle</t>
        </is>
      </c>
      <c r="F128" s="6">
        <f>IFERROR(INDEX('Kalem Kataloğu'!$C$1:$C$1000,MATCH(1,INDEX(('Kalem Kataloğu'!$A$1:$A$1000=A128)*('Kalem Kataloğu'!$B$1:$B$1000=E128),0),0)),"?")</f>
        <v/>
      </c>
      <c r="G128" s="6">
        <f>IFERROR(INDEX('Kalem Kataloğu'!$D$1:$D$1000,MATCH(1,INDEX(('Kalem Kataloğu'!$A$1:$A$1000=A128)*('Kalem Kataloğu'!$B$1:$B$1000=E128),0),0)),"?")</f>
        <v/>
      </c>
      <c r="H128" s="7" t="n">
        <v>1</v>
      </c>
      <c r="I128" s="7" t="inlineStr">
        <is>
          <t>Hayır</t>
        </is>
      </c>
      <c r="J128" s="5" t="inlineStr">
        <is>
          <t>Drive foto</t>
        </is>
      </c>
      <c r="K128" s="5" t="inlineStr">
        <is>
          <t>VSS beyaz Xiaomi, VTS mint yeşili [güven: medium]</t>
        </is>
      </c>
    </row>
    <row r="129" ht="26.4" customHeight="1">
      <c r="A129" s="5" t="inlineStr">
        <is>
          <t>Tare Village Urla</t>
        </is>
      </c>
      <c r="B129" s="5" t="inlineStr">
        <is>
          <t>VSS</t>
        </is>
      </c>
      <c r="C129" s="7" t="n"/>
      <c r="D129" s="6">
        <f>IFERROR(INDEX('Kontrol Adımları'!$D:$D,MATCH(1,INDEX(('Kontrol Adımları'!$A$1:$A$400=B129)*('Kontrol Adımları'!$B$1:$B$400=C129),0),0)),"")</f>
        <v/>
      </c>
      <c r="E129" s="5" t="inlineStr">
        <is>
          <t>servis_gerecleri_kabi</t>
        </is>
      </c>
      <c r="F129" s="6">
        <f>IFERROR(INDEX('Kalem Kataloğu'!$C$1:$C$1000,MATCH(1,INDEX(('Kalem Kataloğu'!$A$1:$A$1000=A129)*('Kalem Kataloğu'!$B$1:$B$1000=E129),0),0)),"?")</f>
        <v/>
      </c>
      <c r="G129" s="6">
        <f>IFERROR(INDEX('Kalem Kataloğu'!$D$1:$D$1000,MATCH(1,INDEX(('Kalem Kataloğu'!$A$1:$A$1000=A129)*('Kalem Kataloğu'!$B$1:$B$1000=E129),0),0)),"?")</f>
        <v/>
      </c>
      <c r="H129" s="7" t="n">
        <v>1</v>
      </c>
      <c r="I129" s="7" t="inlineStr">
        <is>
          <t>Hayır</t>
        </is>
      </c>
      <c r="J129" s="5" t="inlineStr">
        <is>
          <t>Drive foto</t>
        </is>
      </c>
      <c r="K129" s="5" t="inlineStr">
        <is>
          <t>Kapta 4-6 gereç; tek tek sayılamadı [güven: medium]</t>
        </is>
      </c>
    </row>
    <row r="130" ht="26.4" customHeight="1">
      <c r="A130" s="5" t="inlineStr">
        <is>
          <t>Tare Village Urla</t>
        </is>
      </c>
      <c r="B130" s="5" t="inlineStr">
        <is>
          <t>VSS</t>
        </is>
      </c>
      <c r="C130" s="7" t="n"/>
      <c r="D130" s="6">
        <f>IFERROR(INDEX('Kontrol Adımları'!$D:$D,MATCH(1,INDEX(('Kontrol Adımları'!$A$1:$A$400=B130)*('Kontrol Adımları'!$B$1:$B$400=C130),0),0)),"")</f>
        <v/>
      </c>
      <c r="E130" s="5" t="inlineStr">
        <is>
          <t>tabak_bardak_catal_vb</t>
        </is>
      </c>
      <c r="F130" s="6">
        <f>IFERROR(INDEX('Kalem Kataloğu'!$C$1:$C$1000,MATCH(1,INDEX(('Kalem Kataloğu'!$A$1:$A$1000=A130)*('Kalem Kataloğu'!$B$1:$B$1000=E130),0),0)),"?")</f>
        <v/>
      </c>
      <c r="G130" s="6">
        <f>IFERROR(INDEX('Kalem Kataloğu'!$D$1:$D$1000,MATCH(1,INDEX(('Kalem Kataloğu'!$A$1:$A$1000=A130)*('Kalem Kataloğu'!$B$1:$B$1000=E130),0),0)),"?")</f>
        <v/>
      </c>
      <c r="H130" s="7" t="n"/>
      <c r="I130" s="7" t="inlineStr">
        <is>
          <t>Hayır</t>
        </is>
      </c>
      <c r="J130" s="5" t="inlineStr">
        <is>
          <t>Drive foto</t>
        </is>
      </c>
      <c r="K130" s="5" t="inlineStr">
        <is>
          <t>Fotoğraflar tanıtım çekimi; dolap içleri görünmüyor. Odada sayılmalı [güven: none]</t>
        </is>
      </c>
    </row>
    <row r="131" ht="26.4" customHeight="1">
      <c r="A131" s="5" t="inlineStr">
        <is>
          <t>Tare Village Urla</t>
        </is>
      </c>
      <c r="B131" s="5" t="inlineStr">
        <is>
          <t>VSS</t>
        </is>
      </c>
      <c r="C131" s="7" t="n"/>
      <c r="D131" s="6">
        <f>IFERROR(INDEX('Kontrol Adımları'!$D:$D,MATCH(1,INDEX(('Kontrol Adımları'!$A$1:$A$400=B131)*('Kontrol Adımları'!$B$1:$B$400=C131),0),0)),"")</f>
        <v/>
      </c>
      <c r="E131" s="5" t="inlineStr">
        <is>
          <t>yag_sisesi</t>
        </is>
      </c>
      <c r="F131" s="6">
        <f>IFERROR(INDEX('Kalem Kataloğu'!$C$1:$C$1000,MATCH(1,INDEX(('Kalem Kataloğu'!$A$1:$A$1000=A131)*('Kalem Kataloğu'!$B$1:$B$1000=E131),0),0)),"?")</f>
        <v/>
      </c>
      <c r="G131" s="6">
        <f>IFERROR(INDEX('Kalem Kataloğu'!$D$1:$D$1000,MATCH(1,INDEX(('Kalem Kataloğu'!$A$1:$A$1000=A131)*('Kalem Kataloğu'!$B$1:$B$1000=E131),0),0)),"?")</f>
        <v/>
      </c>
      <c r="H131" s="7" t="n">
        <v>1</v>
      </c>
      <c r="I131" s="7" t="inlineStr">
        <is>
          <t>Hayır</t>
        </is>
      </c>
      <c r="J131" s="5" t="inlineStr">
        <is>
          <t>Drive foto</t>
        </is>
      </c>
      <c r="K131" s="5" t="inlineStr">
        <is>
          <t xml:space="preserve"> [güven: medium]</t>
        </is>
      </c>
    </row>
    <row r="132" ht="26.4" customHeight="1">
      <c r="A132" s="5" t="inlineStr">
        <is>
          <t>Tare Village Urla</t>
        </is>
      </c>
      <c r="B132" s="5" t="inlineStr">
        <is>
          <t>VTS</t>
        </is>
      </c>
      <c r="C132" s="7" t="n"/>
      <c r="D132" s="6">
        <f>IFERROR(INDEX('Kontrol Adımları'!$D:$D,MATCH(1,INDEX(('Kontrol Adımları'!$A$1:$A$400=B132)*('Kontrol Adımları'!$B$1:$B$400=C132),0),0)),"")</f>
        <v/>
      </c>
      <c r="E132" s="5" t="inlineStr">
        <is>
          <t>kettle</t>
        </is>
      </c>
      <c r="F132" s="6">
        <f>IFERROR(INDEX('Kalem Kataloğu'!$C$1:$C$1000,MATCH(1,INDEX(('Kalem Kataloğu'!$A$1:$A$1000=A132)*('Kalem Kataloğu'!$B$1:$B$1000=E132),0),0)),"?")</f>
        <v/>
      </c>
      <c r="G132" s="6">
        <f>IFERROR(INDEX('Kalem Kataloğu'!$D$1:$D$1000,MATCH(1,INDEX(('Kalem Kataloğu'!$A$1:$A$1000=A132)*('Kalem Kataloğu'!$B$1:$B$1000=E132),0),0)),"?")</f>
        <v/>
      </c>
      <c r="H132" s="7" t="n">
        <v>1</v>
      </c>
      <c r="I132" s="7" t="inlineStr">
        <is>
          <t>Hayır</t>
        </is>
      </c>
      <c r="J132" s="5" t="inlineStr">
        <is>
          <t>Drive foto</t>
        </is>
      </c>
      <c r="K132" s="5" t="inlineStr">
        <is>
          <t>VSS beyaz Xiaomi, VTS mint yeşili [güven: medium]</t>
        </is>
      </c>
    </row>
    <row r="133" ht="26.4" customHeight="1">
      <c r="A133" s="5" t="inlineStr">
        <is>
          <t>Tare Village Urla</t>
        </is>
      </c>
      <c r="B133" s="5" t="inlineStr">
        <is>
          <t>VTS</t>
        </is>
      </c>
      <c r="C133" s="7" t="n"/>
      <c r="D133" s="6">
        <f>IFERROR(INDEX('Kontrol Adımları'!$D:$D,MATCH(1,INDEX(('Kontrol Adımları'!$A$1:$A$400=B133)*('Kontrol Adımları'!$B$1:$B$400=C133),0),0)),"")</f>
        <v/>
      </c>
      <c r="E133" s="5" t="inlineStr">
        <is>
          <t>servis_gerecleri_kabi</t>
        </is>
      </c>
      <c r="F133" s="6">
        <f>IFERROR(INDEX('Kalem Kataloğu'!$C$1:$C$1000,MATCH(1,INDEX(('Kalem Kataloğu'!$A$1:$A$1000=A133)*('Kalem Kataloğu'!$B$1:$B$1000=E133),0),0)),"?")</f>
        <v/>
      </c>
      <c r="G133" s="6">
        <f>IFERROR(INDEX('Kalem Kataloğu'!$D$1:$D$1000,MATCH(1,INDEX(('Kalem Kataloğu'!$A$1:$A$1000=A133)*('Kalem Kataloğu'!$B$1:$B$1000=E133),0),0)),"?")</f>
        <v/>
      </c>
      <c r="H133" s="7" t="n">
        <v>1</v>
      </c>
      <c r="I133" s="7" t="inlineStr">
        <is>
          <t>Hayır</t>
        </is>
      </c>
      <c r="J133" s="5" t="inlineStr">
        <is>
          <t>Drive foto</t>
        </is>
      </c>
      <c r="K133" s="5" t="inlineStr">
        <is>
          <t>Kapta 4-6 gereç; tek tek sayılamadı [güven: medium]</t>
        </is>
      </c>
    </row>
    <row r="134" ht="26.4" customHeight="1">
      <c r="A134" s="5" t="inlineStr">
        <is>
          <t>Tare Village Urla</t>
        </is>
      </c>
      <c r="B134" s="5" t="inlineStr">
        <is>
          <t>VTS</t>
        </is>
      </c>
      <c r="C134" s="7" t="n"/>
      <c r="D134" s="6">
        <f>IFERROR(INDEX('Kontrol Adımları'!$D:$D,MATCH(1,INDEX(('Kontrol Adımları'!$A$1:$A$400=B134)*('Kontrol Adımları'!$B$1:$B$400=C134),0),0)),"")</f>
        <v/>
      </c>
      <c r="E134" s="5" t="inlineStr">
        <is>
          <t>tabak_bardak_catal_vb</t>
        </is>
      </c>
      <c r="F134" s="6">
        <f>IFERROR(INDEX('Kalem Kataloğu'!$C$1:$C$1000,MATCH(1,INDEX(('Kalem Kataloğu'!$A$1:$A$1000=A134)*('Kalem Kataloğu'!$B$1:$B$1000=E134),0),0)),"?")</f>
        <v/>
      </c>
      <c r="G134" s="6">
        <f>IFERROR(INDEX('Kalem Kataloğu'!$D$1:$D$1000,MATCH(1,INDEX(('Kalem Kataloğu'!$A$1:$A$1000=A134)*('Kalem Kataloğu'!$B$1:$B$1000=E134),0),0)),"?")</f>
        <v/>
      </c>
      <c r="H134" s="7" t="n"/>
      <c r="I134" s="7" t="inlineStr">
        <is>
          <t>Hayır</t>
        </is>
      </c>
      <c r="J134" s="5" t="inlineStr">
        <is>
          <t>Drive foto</t>
        </is>
      </c>
      <c r="K134" s="5" t="inlineStr">
        <is>
          <t>Fotoğraflar tanıtım çekimi; dolap içleri görünmüyor. Odada sayılmalı [güven: none]</t>
        </is>
      </c>
    </row>
    <row r="135" ht="26.4" customHeight="1">
      <c r="A135" s="5" t="inlineStr">
        <is>
          <t>Tare Village Urla</t>
        </is>
      </c>
      <c r="B135" s="5" t="inlineStr">
        <is>
          <t>VTS</t>
        </is>
      </c>
      <c r="C135" s="7" t="n"/>
      <c r="D135" s="6">
        <f>IFERROR(INDEX('Kontrol Adımları'!$D:$D,MATCH(1,INDEX(('Kontrol Adımları'!$A$1:$A$400=B135)*('Kontrol Adımları'!$B$1:$B$400=C135),0),0)),"")</f>
        <v/>
      </c>
      <c r="E135" s="5" t="inlineStr">
        <is>
          <t>yag_sisesi</t>
        </is>
      </c>
      <c r="F135" s="6">
        <f>IFERROR(INDEX('Kalem Kataloğu'!$C$1:$C$1000,MATCH(1,INDEX(('Kalem Kataloğu'!$A$1:$A$1000=A135)*('Kalem Kataloğu'!$B$1:$B$1000=E135),0),0)),"?")</f>
        <v/>
      </c>
      <c r="G135" s="6">
        <f>IFERROR(INDEX('Kalem Kataloğu'!$D$1:$D$1000,MATCH(1,INDEX(('Kalem Kataloğu'!$A$1:$A$1000=A135)*('Kalem Kataloğu'!$B$1:$B$1000=E135),0),0)),"?")</f>
        <v/>
      </c>
      <c r="H135" s="7" t="n"/>
      <c r="I135" s="7" t="inlineStr">
        <is>
          <t>Hayır</t>
        </is>
      </c>
      <c r="J135" s="5" t="inlineStr">
        <is>
          <t>Drive foto</t>
        </is>
      </c>
      <c r="K135" s="5" t="inlineStr">
        <is>
          <t xml:space="preserve"> [güven: medium]</t>
        </is>
      </c>
    </row>
  </sheetData>
  <autoFilter ref="A1:K135"/>
  <dataValidations count="1">
    <dataValidation sqref="I2:I1000" showDropDown="0" showInputMessage="0" showErrorMessage="0" allowBlank="1" type="list">
      <formula1>"Evet,Hayır"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Oteller!$A$2:$A$30</xm:f>
          </x14:formula1>
          <xm:sqref>A2:A1000</xm:sqref>
        </x14:dataValidation>
        <x14:dataValidation type="list" allowBlank="1">
          <x14:formula1>
            <xm:f>'Oda Tipleri'!$A$2:$A$40</xm:f>
          </x14:formula1>
          <xm:sqref>B2:B1000</xm:sqref>
        </x14:dataValidation>
      </x14:dataValidations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10" customWidth="1" min="2" max="2"/>
    <col width="7" customWidth="1" min="3" max="3"/>
    <col width="16" customWidth="1" min="4" max="4"/>
    <col width="20" customWidth="1" min="5" max="5"/>
    <col width="30" customWidth="1" min="6" max="6"/>
    <col width="10" customWidth="1" min="7" max="7"/>
    <col width="50" customWidth="1" min="8" max="8"/>
  </cols>
  <sheetData>
    <row r="1" ht="30" customHeight="1">
      <c r="A1" s="4" t="inlineStr">
        <is>
          <t>Tesis</t>
        </is>
      </c>
      <c r="B1" s="4" t="inlineStr">
        <is>
          <t>Oda Tipi Kodu</t>
        </is>
      </c>
      <c r="C1" s="4" t="inlineStr">
        <is>
          <t>Adım No</t>
        </is>
      </c>
      <c r="D1" s="4" t="inlineStr">
        <is>
          <t>Yer</t>
        </is>
      </c>
      <c r="E1" s="4" t="inlineStr">
        <is>
          <t>Kalem Kodu</t>
        </is>
      </c>
      <c r="F1" s="4" t="inlineStr">
        <is>
          <t>Ürün</t>
        </is>
      </c>
      <c r="G1" s="4" t="inlineStr">
        <is>
          <t>Standart Adet</t>
        </is>
      </c>
      <c r="H1" s="4" t="inlineStr">
        <is>
          <t>Not</t>
        </is>
      </c>
    </row>
    <row r="2">
      <c r="A2" s="5" t="inlineStr">
        <is>
          <t>Tare Houses Hotel</t>
        </is>
      </c>
      <c r="B2" s="5" t="inlineStr">
        <is>
          <t>X3</t>
        </is>
      </c>
      <c r="C2" s="5" t="n">
        <v>13</v>
      </c>
      <c r="D2" s="5" t="inlineStr">
        <is>
          <t>Minibar (dolap)</t>
        </is>
      </c>
      <c r="E2" s="5" t="inlineStr">
        <is>
          <t>water</t>
        </is>
      </c>
      <c r="F2" s="5" t="inlineStr">
        <is>
          <t>Su (şişe)</t>
        </is>
      </c>
      <c r="G2" s="7" t="n"/>
      <c r="H2" s="5" t="inlineStr">
        <is>
          <t>Ücretsiz. Marka/şişe boyu ve adet teyit edilecek.</t>
        </is>
      </c>
    </row>
    <row r="3">
      <c r="A3" s="5" t="inlineStr">
        <is>
          <t>Tare Houses Hotel</t>
        </is>
      </c>
      <c r="B3" s="5" t="inlineStr">
        <is>
          <t>X3</t>
        </is>
      </c>
      <c r="C3" s="5" t="n">
        <v>16</v>
      </c>
      <c r="D3" s="5" t="inlineStr">
        <is>
          <t>İkram tepsisi</t>
        </is>
      </c>
      <c r="E3" s="5" t="inlineStr">
        <is>
          <t>tea</t>
        </is>
      </c>
      <c r="F3" s="5" t="inlineStr">
        <is>
          <t>Çay (poşet)</t>
        </is>
      </c>
      <c r="G3" s="7" t="n"/>
      <c r="H3" s="5" t="inlineStr">
        <is>
          <t>Ücretsiz. Çeşit ve adet teyit edilecek.</t>
        </is>
      </c>
    </row>
    <row r="4">
      <c r="A4" s="5" t="inlineStr">
        <is>
          <t>Tare Houses Hotel</t>
        </is>
      </c>
      <c r="B4" s="5" t="inlineStr">
        <is>
          <t>X3</t>
        </is>
      </c>
      <c r="C4" s="5" t="n">
        <v>16</v>
      </c>
      <c r="D4" s="5" t="inlineStr">
        <is>
          <t>İkram tepsisi</t>
        </is>
      </c>
      <c r="E4" s="5" t="inlineStr">
        <is>
          <t>coffee</t>
        </is>
      </c>
      <c r="F4" s="5" t="inlineStr">
        <is>
          <t>Kahve (stick/kapsül)</t>
        </is>
      </c>
      <c r="G4" s="7" t="n"/>
      <c r="H4" s="5" t="inlineStr">
        <is>
          <t>Ücretsiz. Tür ve adet teyit edilecek.</t>
        </is>
      </c>
    </row>
    <row r="5">
      <c r="A5" s="5" t="inlineStr">
        <is>
          <t>Tare Houses Hotel</t>
        </is>
      </c>
      <c r="B5" s="5" t="inlineStr">
        <is>
          <t>X3</t>
        </is>
      </c>
      <c r="C5" s="5" t="n">
        <v>16</v>
      </c>
      <c r="D5" s="5" t="inlineStr">
        <is>
          <t>İkram tepsisi</t>
        </is>
      </c>
      <c r="E5" s="5" t="inlineStr">
        <is>
          <t>sugar</t>
        </is>
      </c>
      <c r="F5" s="5" t="inlineStr">
        <is>
          <t>Şeker (stick)</t>
        </is>
      </c>
      <c r="G5" s="7" t="n"/>
      <c r="H5" s="5" t="inlineStr">
        <is>
          <t>Ücretsiz. Adet teyit edilecek.</t>
        </is>
      </c>
    </row>
    <row r="6" ht="26.4" customHeight="1">
      <c r="A6" s="5" t="inlineStr">
        <is>
          <t>Tare Suites Urla</t>
        </is>
      </c>
      <c r="B6" s="5" t="inlineStr">
        <is>
          <t>Tümü</t>
        </is>
      </c>
      <c r="C6" s="5" t="n"/>
      <c r="D6" s="5" t="inlineStr">
        <is>
          <t>Minibar (dolap)</t>
        </is>
      </c>
      <c r="E6" s="7" t="n"/>
      <c r="F6" s="5" t="inlineStr">
        <is>
          <t>İçecek (su vb.)</t>
        </is>
      </c>
      <c r="G6" s="7" t="n"/>
      <c r="H6" s="5" t="inlineStr">
        <is>
          <t>Hiçbir fotoğrafta buzdolabı içi görünmüyor; dolap içi standardı belirlenmeli güven: low (Drive fotoğrafından)</t>
        </is>
      </c>
    </row>
    <row r="7" ht="26.4" customHeight="1">
      <c r="A7" s="5" t="inlineStr">
        <is>
          <t>Tare Suites Urla</t>
        </is>
      </c>
      <c r="B7" s="5" t="inlineStr">
        <is>
          <t>Tümü</t>
        </is>
      </c>
      <c r="C7" s="5" t="n"/>
      <c r="D7" s="5" t="inlineStr">
        <is>
          <t>İkram tepsisi</t>
        </is>
      </c>
      <c r="E7" s="7" t="n"/>
      <c r="F7" s="5" t="inlineStr">
        <is>
          <t>Nescafé Classic (tek içimlik sachet)</t>
        </is>
      </c>
      <c r="G7" s="5" t="n">
        <v>2</v>
      </c>
      <c r="H7" s="5" t="inlineStr">
        <is>
          <t>güven: high (Drive fotoğrafından)</t>
        </is>
      </c>
    </row>
    <row r="8" ht="26.4" customHeight="1">
      <c r="A8" s="5" t="inlineStr">
        <is>
          <t>Tare Suites Urla</t>
        </is>
      </c>
      <c r="B8" s="5" t="inlineStr">
        <is>
          <t>Tümü</t>
        </is>
      </c>
      <c r="C8" s="5" t="n"/>
      <c r="D8" s="5" t="inlineStr">
        <is>
          <t>İkram tepsisi</t>
        </is>
      </c>
      <c r="E8" s="7" t="n"/>
      <c r="F8" s="5" t="inlineStr">
        <is>
          <t>Hazır Türk kahvesi sachet (Shazel, şekersiz/sade)</t>
        </is>
      </c>
      <c r="G8" s="5" t="n">
        <v>2</v>
      </c>
      <c r="H8" s="5" t="inlineStr">
        <is>
          <t>Marka yazısı kısmen okunuyor güven: medium (Drive fotoğrafından)</t>
        </is>
      </c>
    </row>
    <row r="9" ht="26.4" customHeight="1">
      <c r="A9" s="5" t="inlineStr">
        <is>
          <t>Tare Suites Urla</t>
        </is>
      </c>
      <c r="B9" s="5" t="inlineStr">
        <is>
          <t>Tümü</t>
        </is>
      </c>
      <c r="C9" s="5" t="n"/>
      <c r="D9" s="5" t="inlineStr">
        <is>
          <t>İkram tepsisi</t>
        </is>
      </c>
      <c r="E9" s="7" t="n"/>
      <c r="F9" s="5" t="inlineStr">
        <is>
          <t>Lokum (bambu kasede)</t>
        </is>
      </c>
      <c r="G9" s="7" t="n"/>
      <c r="H9" s="5" t="inlineStr">
        <is>
          <t>Kasede 2-3 parça; standart adet teyit güven: high (Drive fotoğrafından)</t>
        </is>
      </c>
    </row>
    <row r="10">
      <c r="A10" s="5" t="inlineStr">
        <is>
          <t>Tare Suites Urla</t>
        </is>
      </c>
      <c r="B10" s="5" t="inlineStr">
        <is>
          <t>Tümü</t>
        </is>
      </c>
      <c r="C10" s="5" t="n"/>
      <c r="D10" s="5" t="inlineStr">
        <is>
          <t>İkram tepsisi</t>
        </is>
      </c>
      <c r="E10" s="7" t="n"/>
      <c r="F10" s="5" t="inlineStr">
        <is>
          <t>Bambu küçük kase</t>
        </is>
      </c>
      <c r="G10" s="5" t="n">
        <v>1</v>
      </c>
      <c r="H10" s="5" t="inlineStr">
        <is>
          <t>güven: high (Drive fotoğrafından)</t>
        </is>
      </c>
    </row>
    <row r="11">
      <c r="A11" s="5" t="inlineStr">
        <is>
          <t>Tare Suites Urla</t>
        </is>
      </c>
      <c r="B11" s="5" t="inlineStr">
        <is>
          <t>Tümü</t>
        </is>
      </c>
      <c r="C11" s="5" t="n"/>
      <c r="D11" s="5" t="inlineStr">
        <is>
          <t>İkram tepsisi</t>
        </is>
      </c>
      <c r="E11" s="7" t="n"/>
      <c r="F11" s="5" t="inlineStr">
        <is>
          <t>Ahşap karıştırıcı çubuk</t>
        </is>
      </c>
      <c r="G11" s="5" t="n">
        <v>2</v>
      </c>
      <c r="H11" s="5" t="inlineStr">
        <is>
          <t>güven: high (Drive fotoğrafından)</t>
        </is>
      </c>
    </row>
    <row r="12">
      <c r="A12" s="5" t="inlineStr">
        <is>
          <t>Tare Suites Urla</t>
        </is>
      </c>
      <c r="B12" s="5" t="inlineStr">
        <is>
          <t>Tümü</t>
        </is>
      </c>
      <c r="C12" s="5" t="n"/>
      <c r="D12" s="5" t="inlineStr">
        <is>
          <t>İkram tepsisi</t>
        </is>
      </c>
      <c r="E12" s="7" t="n"/>
      <c r="F12" s="5" t="inlineStr">
        <is>
          <t>Çift cidarlı cam fincan</t>
        </is>
      </c>
      <c r="G12" s="5" t="n">
        <v>2</v>
      </c>
      <c r="H12" s="5" t="inlineStr">
        <is>
          <t>güven: high (Drive fotoğrafından)</t>
        </is>
      </c>
    </row>
    <row r="13" ht="39.6" customHeight="1">
      <c r="A13" s="5" t="inlineStr">
        <is>
          <t>Tare Suites Urla</t>
        </is>
      </c>
      <c r="B13" s="5" t="inlineStr">
        <is>
          <t>Tümü</t>
        </is>
      </c>
      <c r="C13" s="5" t="n"/>
      <c r="D13" s="5" t="inlineStr">
        <is>
          <t>İkram tepsisi</t>
        </is>
      </c>
      <c r="E13" s="7" t="n"/>
      <c r="F13" s="5" t="inlineStr">
        <is>
          <t>Çay poşeti / şeker</t>
        </is>
      </c>
      <c r="G13" s="7" t="n"/>
      <c r="H13" s="5" t="inlineStr">
        <is>
          <t>Fotoğrafta görünmüyor; EDR tepsisinde koyu renk sachetler var, içerik okunamıyor güven: low (Drive fotoğrafından)</t>
        </is>
      </c>
    </row>
    <row r="14">
      <c r="A14" s="5" t="inlineStr">
        <is>
          <t>Tiny Houses</t>
        </is>
      </c>
      <c r="B14" s="5" t="inlineStr">
        <is>
          <t>Tümü</t>
        </is>
      </c>
      <c r="C14" s="5" t="n"/>
      <c r="D14" s="5" t="inlineStr">
        <is>
          <t>Minibar (dolap)</t>
        </is>
      </c>
      <c r="E14" s="7" t="n"/>
      <c r="F14" s="5" t="inlineStr">
        <is>
          <t>Buzdolabı içeceği</t>
        </is>
      </c>
      <c r="G14" s="7" t="n"/>
      <c r="H14" s="5" t="inlineStr">
        <is>
          <t>Görünmüyor güven: low (Drive fotoğrafından)</t>
        </is>
      </c>
    </row>
    <row r="15" ht="26.4" customHeight="1">
      <c r="A15" s="5" t="inlineStr">
        <is>
          <t>Tiny Houses</t>
        </is>
      </c>
      <c r="B15" s="5" t="inlineStr">
        <is>
          <t>Tümü</t>
        </is>
      </c>
      <c r="C15" s="5" t="n"/>
      <c r="D15" s="5" t="inlineStr">
        <is>
          <t>İkram tepsisi</t>
        </is>
      </c>
      <c r="E15" s="7" t="n"/>
      <c r="F15" s="5" t="inlineStr">
        <is>
          <t>İkram tepsisi</t>
        </is>
      </c>
      <c r="G15" s="7" t="n"/>
      <c r="H15" s="5" t="inlineStr">
        <is>
          <t>Tiny House fotoğraflarında tepsi görünmüyor güven: low (Drive fotoğrafından)</t>
        </is>
      </c>
    </row>
    <row r="16" ht="39.6" customHeight="1">
      <c r="A16" s="5" t="inlineStr">
        <is>
          <t>Tare Village Urla</t>
        </is>
      </c>
      <c r="B16" s="5" t="inlineStr">
        <is>
          <t>VSS</t>
        </is>
      </c>
      <c r="C16" s="5" t="n"/>
      <c r="D16" s="5" t="inlineStr">
        <is>
          <t>İkram tepsisi</t>
        </is>
      </c>
      <c r="E16" s="7" t="n"/>
      <c r="F16" s="5" t="inlineStr">
        <is>
          <t>Tezgahta ahşap tepsi içinde küçük eşyalar (çay kaşığı/şeker vb. olabilir) — net değil</t>
        </is>
      </c>
      <c r="G16" s="7" t="n"/>
      <c r="H16" s="5" t="inlineStr">
        <is>
          <t>güven: low (Drive fotoğrafından)</t>
        </is>
      </c>
    </row>
    <row r="17" ht="39.6" customHeight="1">
      <c r="A17" s="5" t="inlineStr">
        <is>
          <t>Tare Village Urla</t>
        </is>
      </c>
      <c r="B17" s="5" t="inlineStr">
        <is>
          <t>VTS</t>
        </is>
      </c>
      <c r="C17" s="5" t="n"/>
      <c r="D17" s="5" t="inlineStr">
        <is>
          <t>İkram tepsisi</t>
        </is>
      </c>
      <c r="E17" s="7" t="n"/>
      <c r="F17" s="5" t="inlineStr">
        <is>
          <t>Tezgahta ahşap tepsi üzerinde 2 bakır kap (şekerlik/kahve kabı olabilir)</t>
        </is>
      </c>
      <c r="G17" s="7" t="n"/>
      <c r="H17" s="5" t="inlineStr">
        <is>
          <t>güven: low (Drive fotoğrafından)</t>
        </is>
      </c>
    </row>
    <row r="19">
      <c r="A19" s="8" t="inlineStr">
        <is>
          <t>Hiçbir ürün ücretli değildir. Dolaptaki içecekler ve masadaki tepsideki ikramlar oda standardıdır; eksikse HK tamamlar.</t>
        </is>
      </c>
    </row>
  </sheetData>
  <dataValidations count="1">
    <dataValidation sqref="D2:D300" showDropDown="0" showInputMessage="0" showErrorMessage="0" allowBlank="1" type="list">
      <formula1>"Minibar (dolap),İkram tepsisi,Banyo amenity"</formula1>
    </dataValidation>
  </dataValidations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'Oda Tipleri'!$A$2:$A$40</xm:f>
          </x14:formula1>
          <xm:sqref>B2:B300</xm:sqref>
        </x14:dataValidation>
      </x14:dataValidations>
    </ext>
  </extLst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4"/>
  <cols>
    <col width="18" customWidth="1" min="1" max="1"/>
    <col width="75" customWidth="1" min="2" max="2"/>
    <col width="50" customWidth="1" min="3" max="3"/>
    <col width="9" customWidth="1" min="4" max="4"/>
  </cols>
  <sheetData>
    <row r="1" ht="30" customHeight="1">
      <c r="A1" s="4" t="inlineStr">
        <is>
          <t>Sayfa</t>
        </is>
      </c>
      <c r="B1" s="4" t="inlineStr">
        <is>
          <t>Ne eksik</t>
        </is>
      </c>
      <c r="C1" s="4" t="inlineStr">
        <is>
          <t>Kim / nasıl</t>
        </is>
      </c>
      <c r="D1" s="4" t="inlineStr">
        <is>
          <t>Öncelik</t>
        </is>
      </c>
    </row>
    <row r="2" ht="26.4" customHeight="1">
      <c r="A2" s="6" t="inlineStr">
        <is>
          <t>Oda Tipleri</t>
        </is>
      </c>
      <c r="B2" s="6" t="inlineStr">
        <is>
          <t>X1 = Deluxe Suite, X2 = Deluxe Triple Room, X4 = Exclusive Suite eşlemesi Özellikler.xlsx sütun sırasından yapıldı (X3 = Deluxe Double ile tutarlı). Teyit et.</t>
        </is>
      </c>
      <c r="C2" s="6" t="inlineStr">
        <is>
          <t>Gökçer</t>
        </is>
      </c>
      <c r="D2" s="6" t="inlineStr">
        <is>
          <t>Yüksek</t>
        </is>
      </c>
    </row>
    <row r="3" ht="26.4" customHeight="1">
      <c r="A3" s="6" t="inlineStr">
        <is>
          <t>Oda Tipleri</t>
        </is>
      </c>
      <c r="B3" s="6" t="inlineStr">
        <is>
          <t>Maks. kişi (tüm tipler); min/max temizlik süreleri (X3 dışında); hangi tiplerde max süre takibi açılacak</t>
        </is>
      </c>
      <c r="C3" s="6" t="inlineStr">
        <is>
          <t>Süpervizörlerle belirle</t>
        </is>
      </c>
      <c r="D3" s="6" t="inlineStr">
        <is>
          <t>Orta</t>
        </is>
      </c>
    </row>
    <row r="4" ht="26.4" customHeight="1">
      <c r="A4" s="6" t="inlineStr">
        <is>
          <t>Oda Tipleri / Özellikler</t>
        </is>
      </c>
      <c r="B4" s="6" t="inlineStr">
        <is>
          <t>Village tipleri (VGS, VBS, VSS, VTS) Özellikler.xlsx'te yok: m², yatak, mutfak, banyo, özellikler</t>
        </is>
      </c>
      <c r="C4" s="6" t="inlineStr">
        <is>
          <t>HotelRunner / Airbnb ilanından</t>
        </is>
      </c>
      <c r="D4" s="6" t="inlineStr">
        <is>
          <t>Orta</t>
        </is>
      </c>
    </row>
    <row r="5" ht="39.6" customHeight="1">
      <c r="A5" s="6" t="inlineStr">
        <is>
          <t>Oda Özellikleri</t>
        </is>
      </c>
      <c r="B5" s="6" t="inlineStr">
        <is>
          <t>Fotoğraflarla çelişki: Urla Suites tiplerinde 'Buzdolabı' yok yazıyor ama tüm tiplerde masa altı mini buzdolabı + kettle + ikram tepsisi var; Tiny House'ta 'Ocak' yok yazıyor ama tek gözlü ocak görünüyor</t>
        </is>
      </c>
      <c r="C5" s="6" t="inlineStr">
        <is>
          <t>Gökçer</t>
        </is>
      </c>
      <c r="D5" s="6" t="inlineStr">
        <is>
          <t>Düşük</t>
        </is>
      </c>
    </row>
    <row r="6" ht="39.6" customHeight="1">
      <c r="A6" s="6" t="inlineStr">
        <is>
          <t>Envanter</t>
        </is>
      </c>
      <c r="B6" s="6" t="inlineStr">
        <is>
          <t>Tare Houses X3: Drive fotoğrafında 4 şarap kadehi, 3 kupa ve 3-4 ince belli çay bardağı var; videoda 2 kadeh, 2 kupa, çay bardağı yok. Silikon set fotoğrafta 4 farklı parça (kepçe, servis kaşığı, spatula, delikli kepçe). Odada say</t>
        </is>
      </c>
      <c r="C6" s="6" t="inlineStr">
        <is>
          <t>HK süpervizörü</t>
        </is>
      </c>
      <c r="D6" s="6" t="inlineStr">
        <is>
          <t>Orta</t>
        </is>
      </c>
    </row>
    <row r="7" ht="26.4" customHeight="1">
      <c r="A7" s="6" t="inlineStr">
        <is>
          <t>Envanter</t>
        </is>
      </c>
      <c r="B7" s="6" t="inlineStr">
        <is>
          <t>Tiny House'lar birbirinin aynı değil (bazılarında alt katta çift kişilik yatak var, bahçe sandalyeleri farklı). Tek tip mi kalsın, iki tipe mi bölünsün?</t>
        </is>
      </c>
      <c r="C7" s="6" t="inlineStr">
        <is>
          <t>Gökçer</t>
        </is>
      </c>
      <c r="D7" s="6" t="inlineStr">
        <is>
          <t>Orta</t>
        </is>
      </c>
    </row>
    <row r="8" ht="26.4" customHeight="1">
      <c r="A8" s="6" t="inlineStr">
        <is>
          <t>Envanter</t>
        </is>
      </c>
      <c r="B8" s="6" t="inlineStr">
        <is>
          <t>Drive fotoğrafları tanıtım çekimi (Tare Houses Temmuz 2024): dolap/çekmece içleri, havlular, tencere-tava çoğu yerde görünmüyor; bu satırlar boş veya varsayım</t>
        </is>
      </c>
      <c r="C8" s="6" t="inlineStr">
        <is>
          <t>Bilgi</t>
        </is>
      </c>
      <c r="D8" s="6" t="inlineStr">
        <is>
          <t>—</t>
        </is>
      </c>
    </row>
    <row r="9" ht="26.4" customHeight="1">
      <c r="A9" s="6" t="inlineStr">
        <is>
          <t>Oda Özellikleri</t>
        </is>
      </c>
      <c r="B9" s="6" t="inlineStr">
        <is>
          <t>X3 (Deluxe Double) için 'Oturma Alanı' ve 'Çalışma Masası' yok görünüyor, ama 18.10 videosunda masa + 2 koltuk var. Özellikler.xlsx düzeltilmeli mi?</t>
        </is>
      </c>
      <c r="C9" s="6" t="inlineStr">
        <is>
          <t>Gökçer</t>
        </is>
      </c>
      <c r="D9" s="6" t="inlineStr">
        <is>
          <t>Düşük</t>
        </is>
      </c>
    </row>
    <row r="10" ht="26.4" customHeight="1">
      <c r="A10" s="6" t="inlineStr">
        <is>
          <t>Kontrol Adımları</t>
        </is>
      </c>
      <c r="B10" s="6" t="inlineStr">
        <is>
          <t>X3 dışındaki 17 tip için çekim adımları</t>
        </is>
      </c>
      <c r="C10" s="6" t="inlineStr">
        <is>
          <t>Drive'a gelecek video/fotoğraflardan; X3 şablonu kopyalanıp düzenlenecek</t>
        </is>
      </c>
      <c r="D10" s="6" t="inlineStr">
        <is>
          <t>Yüksek</t>
        </is>
      </c>
    </row>
    <row r="11">
      <c r="A11" s="6" t="inlineStr">
        <is>
          <t>Envanter</t>
        </is>
      </c>
      <c r="B11" s="6" t="inlineStr">
        <is>
          <t>Tüm 'Doğrulandı mı = Hayır' satırları odada elle sayılmalı</t>
        </is>
      </c>
      <c r="C11" s="6" t="inlineStr">
        <is>
          <t>HK süpervizörü</t>
        </is>
      </c>
      <c r="D11" s="6" t="inlineStr">
        <is>
          <t>Yüksek</t>
        </is>
      </c>
    </row>
    <row r="12" ht="26.4" customHeight="1">
      <c r="A12" s="6" t="inlineStr">
        <is>
          <t>Envanter</t>
        </is>
      </c>
      <c r="B12" s="6" t="inlineStr">
        <is>
          <t>Tare Suites Beşiktaş: Drive fotoğrafları 19–30 MB olduğu için indirilemedi (araç sınırı 10 MB). 2000 px civarı küçültülmüş kopyalar yüklenirse envanter çıkarılır</t>
        </is>
      </c>
      <c r="C12" s="6" t="inlineStr">
        <is>
          <t>Gökçer: küçültülmüş kopya yükle</t>
        </is>
      </c>
      <c r="D12" s="6" t="inlineStr">
        <is>
          <t>Orta</t>
        </is>
      </c>
    </row>
    <row r="13">
      <c r="A13" s="6" t="inlineStr">
        <is>
          <t>Envanter</t>
        </is>
      </c>
      <c r="B13" s="6" t="inlineStr">
        <is>
          <t>PH (501) için Drive'da klasör yok</t>
        </is>
      </c>
      <c r="C13" s="6" t="inlineStr">
        <is>
          <t>Foto/video çekilecek</t>
        </is>
      </c>
      <c r="D13" s="6" t="inlineStr">
        <is>
          <t>Orta</t>
        </is>
      </c>
    </row>
    <row r="14" ht="26.4" customHeight="1">
      <c r="A14" s="6" t="inlineStr">
        <is>
          <t>Minibar ve İkram</t>
        </is>
      </c>
      <c r="B14" s="6" t="inlineStr">
        <is>
          <t>X3 dolap içecekleri ve ikram tepsisi: ürün, marka, adet. 18.10 videosu bu oturumda yoktu; videodaki tepsi detayları burada değil</t>
        </is>
      </c>
      <c r="C14" s="6" t="inlineStr">
        <is>
          <t>Video Drive'a yüklenince detaylandırılacak</t>
        </is>
      </c>
      <c r="D14" s="6" t="inlineStr">
        <is>
          <t>Orta</t>
        </is>
      </c>
    </row>
    <row r="15" ht="26.4" customHeight="1">
      <c r="A15" s="6" t="inlineStr">
        <is>
          <t>Kalem Kataloğu</t>
        </is>
      </c>
      <c r="B15" s="6" t="inlineStr">
        <is>
          <t>Foto Durumu = Çekilecek olan kalemler: admin panelinden fotoğraf yüklenecek (veya beyaz zemin önünde tek tek çekilip data/item_photos'a eklenecek)</t>
        </is>
      </c>
      <c r="C15" s="6" t="inlineStr">
        <is>
          <t>HK süpervizörü</t>
        </is>
      </c>
      <c r="D15" s="6" t="inlineStr">
        <is>
          <t>Orta</t>
        </is>
      </c>
    </row>
    <row r="16">
      <c r="A16" s="6" t="inlineStr">
        <is>
          <t>Oteller</t>
        </is>
      </c>
      <c r="B16" s="6" t="inlineStr">
        <is>
          <t>PMS adları HotelRunner'daki adlarla birebir mi (Faz 3 entegrasyonu)</t>
        </is>
      </c>
      <c r="C16" s="6" t="inlineStr">
        <is>
          <t>HotelRunner panelinden kontrol</t>
        </is>
      </c>
      <c r="D16" s="6" t="inlineStr">
        <is>
          <t>Düşük</t>
        </is>
      </c>
    </row>
    <row r="17" ht="92.40000000000001" customHeight="1">
      <c r="A17" s="6" t="inlineStr">
        <is>
          <t>Envanter (gözlem)</t>
        </is>
      </c>
      <c r="B17" s="6" t="inlineStr">
        <is>
          <t>Tare Suites Beşiktaş: Envanter çıkarılamadı: 3 klasördeki 57 fotoğrafın 54'ü 19–30 MB (Drive aracının indirme limiti 10 MB, reddedildi). 9,26 MB olan tek dosya (20250710-tare2208.jpg, 3 klasörde aynı) indirilirken Drive MCP bağlantısı mesaj boyutu nedeniyle koptu. Resize.zip 105 MB, atlandı. Çözüm: fotoğrafların küçültülmüş (&lt;5 MB, ör. 2000 px) kopyalarını Drive'a yüklemek veya sohbete eklemek. Klasörler: 101 ÖZET (BGS) 20 foto, 201-301 ÖZET (BSAB) 17 foto, 202-302 ÖZET (BSA) 20 foto; hepsi 10.07.2025 profesyonel çekim.</t>
        </is>
      </c>
      <c r="C17" s="6" t="inlineStr">
        <is>
          <t>Bilgi</t>
        </is>
      </c>
      <c r="D17" s="6" t="inlineStr">
        <is>
          <t>—</t>
        </is>
      </c>
    </row>
    <row r="18" ht="105.6" customHeight="1">
      <c r="A18" s="6" t="inlineStr">
        <is>
          <t>Envanter (gözlem)</t>
        </is>
      </c>
      <c r="B18" s="6" t="inlineStr">
        <is>
          <t>Tare Suites Urla: Kaynak: Drive "Tare Suites Urla/Meral &lt;oda&gt;" klasörleri (Mayıs 2025 çekimi). Örneklenen odalar: EDR=102,202; DSSW=201; EXSB=203; DS=304; DFS=303. İç Mekan klasörü = lobi/ortak alan fotoğrafları (Lobi.jpeg, image000xx) + 270MB WeTransfer zip; oda envanteri değil, atlandı. Fotoğraflar tanıtım çekimi; mutfak çekmeceleri/dolap içleri hiç çekilmemiş, bu yüzden tabak-çatal-bardak sayısı yok. Özellik dosyası Urla Suites için "Mutfak/Buzdolabı: -" diyor ama tüm tiplerde masa altı mini buzdolabı + kettle + ikram tepsisi var. Banyo standardı tüm tiplerde aynı: köşe duş kabini, asma klozet, lavabo dolabı, krom havlu rafı. Tablolar ve yastık sayıları tipe göre değişiyor.</t>
        </is>
      </c>
      <c r="C18" s="6" t="inlineStr">
        <is>
          <t>Bilgi</t>
        </is>
      </c>
      <c r="D18" s="6" t="inlineStr">
        <is>
          <t>—</t>
        </is>
      </c>
    </row>
    <row r="19" ht="211.2" customHeight="1">
      <c r="A19" s="6" t="inlineStr">
        <is>
          <t>Envanter (gözlem)</t>
        </is>
      </c>
      <c r="B19" s="6" t="inlineStr">
        <is>
          <t>Tare Houses Hotel: {'genel': "Tüm TH odaları aynı malzeme dilini paylaşıyor: ahşap platform yatak, rattan önlü komodin, bukle berjer, siyah banyo armatürleri, traverten lavabo, LED ayna, 3'lü dispenser, Xiaomi kettle, Beko 2 gözlü ocak, siyah asma çöp + bulaşıklık. Mutfak seti (hardal/gri seramik, silikon 4'lü, Kiyomi bıçak seti) tüm tiplerde ortak olabilir.", 'X1': '401 Deluxe Suite: ayrı yatak odası (kemerli geçiş) + oturma alanı. Oturma alanında gri kanepe, cam sehpa, lambader, halı, çalışma masası + berjer, açık raflı mutfak. 2 tablo, muhtemelen 2 TV. Ek kontrol adımı önerisi: "Oturma alanı (kanepe, sehpa, halı)" ve "Çalışma masası".', 'X2': '402 Deluxe Triple: tek hacim, uzun oda. King yatak + gri kanepe (3. kişi), yuvarlak masa + 2 berjer, cam sehpa, lambader, halı, kapı yanında konsol masa. Ek adım önerisi: kanepe açılıyorsa "Kanepe/ek yatak düzeni".', 'X3': "403 Deluxe Double: Excel'deki 17 adımlı akışla uyumlu. 2024 fotoğrafı ile 2026 videosu arasındaki farklar: şarap kadehi 4→2, fincan 3→2, çay bardağı (videoda yok). Bu kalemler elle sayılmalı.", 'X4': '404 Exclusive Suite: köşe oda, geniş pencereler, yuvarlak yatak + kavisli ahşap başlık (üzerinde 2 küre masa lambası), sarkıt avize, yuvarlak hasır halı, yuvarlak masa + 2 berjer. Komodin yok. Ek adım önerisi: "Yatak başlığı tablası ve lambalar", geniş perde/tül alanı için ayrı çekim.'}</t>
        </is>
      </c>
      <c r="C19" s="6" t="inlineStr">
        <is>
          <t>Bilgi</t>
        </is>
      </c>
      <c r="D19" s="6" t="inlineStr">
        <is>
          <t>—</t>
        </is>
      </c>
    </row>
    <row r="20" ht="92.40000000000001" customHeight="1">
      <c r="A20" s="6" t="inlineStr">
        <is>
          <t>Envanter (gözlem)</t>
        </is>
      </c>
      <c r="B20" s="6" t="inlineStr">
        <is>
          <t>Tiny Houses: Kaynak: Drive "Tare Suites Urla/Meral Tiny House 1-2/Jpeg" (Haziran 2025, 14 foto örneklendi). "Tiny House 3-4" klasörü yalnız HEIC/JPEG alt klasörleri içeriyor, örneklenmedi; 1-2 ile aynı tip varsayıldı. Ünite: alt kat oturma (kanepe, sehpa, TV, klima), mini mutfak (tek göz ocak, evye), banyo (sürgülü duş, lavabo dolabı, ışıklı ayna), merdivenli asma kat yatak; bazı ünitelerde alt katta ayrıca çift kişilik yatak var. Dışarıda ahşap deck, bahçe masası/sandalyeler, ortak şemsiyeler. Mutfak dolapları içi çekilmemiş — tabak/çatal sayısı yok.</t>
        </is>
      </c>
      <c r="C20" s="6" t="inlineStr">
        <is>
          <t>Bilgi</t>
        </is>
      </c>
      <c r="D20" s="6" t="inlineStr">
        <is>
          <t>—</t>
        </is>
      </c>
    </row>
    <row r="21" ht="105.6" customHeight="1">
      <c r="A21" s="6" t="inlineStr">
        <is>
          <t>Envanter (gözlem)</t>
        </is>
      </c>
      <c r="B21" s="6" t="inlineStr">
        <is>
          <t>Tare Village Urla: 57 fotoğraftan 33'ü incelendi (6-7 MB'lık birkaç dosya Drive bağlantısından indirilemedi). Fotoğraflar Ağustos 2026 tanıtım çekimi: oda düzeni, mobilya, banyo ve tezgah üstü net; dolap/çekmece içleri, tabak-bardak-çatal sayıları ve minibar içeriği yok. Mutfak malzemesi adetleri odada elle sayılmalı. Tüm odalarda ortak set: taş çanak lavabo, yuvarlak ayna, hasır sepet, jüt paspas, saç kurutma, yeşil kadife kanepe, ahşap orta sehpa, 2 yastık + beyaz waffle pike. VBS ve VTS'de balkon/teras oturma grubu var. VGS (Garden Suite) en büyük birim: köşe koltuk, yemek masası, tam boy buzdolabı. TTLock yok (key-box).</t>
        </is>
      </c>
      <c r="C21" s="6" t="inlineStr">
        <is>
          <t>Bilgi</t>
        </is>
      </c>
      <c r="D21" s="6" t="inlineStr">
        <is>
          <t>—</t>
        </is>
      </c>
    </row>
  </sheetData>
  <pageMargins left="0.75" right="0.75" top="1" bottom="1" header="0.5" footer="0.5"/>
  <headerFooter>
    <oddHeader/>
    <oddFooter>&amp;C&amp;"Aptos"&amp;6 &amp;K626469_x000d_#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2026-10-18T21:42:31Z</dcterms:created>
  <dcterms:modified xmlns:dcterms="http://purl.org/dc/terms/" xmlns:xsi="http://www.w3.org/2001/XMLSchema-instance" xsi:type="dcterms:W3CDTF">2026-10-19T22:45:27Z</dcterms:modified>
  <cp:lastModifiedBy>Gokcer Cakir</cp:lastModifiedBy>
</cp:coreProperties>
</file>